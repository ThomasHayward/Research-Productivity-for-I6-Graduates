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4b8102530b18a9/Desktop/Ongoing research^J not published/"/>
    </mc:Choice>
  </mc:AlternateContent>
  <xr:revisionPtr revIDLastSave="71" documentId="13_ncr:1_{4EF7AFE3-56E7-4D21-BB4D-4FD5BD0E0C9E}" xr6:coauthVersionLast="47" xr6:coauthVersionMax="47" xr10:uidLastSave="{73A00956-3C70-47E1-A1C5-2D79775010F6}"/>
  <bookViews>
    <workbookView xWindow="28680" yWindow="-120" windowWidth="29040" windowHeight="15720" activeTab="4" xr2:uid="{31961662-5C03-421B-B8AD-772D3534D723}"/>
  </bookViews>
  <sheets>
    <sheet name="All data 12.29.24" sheetId="7" r:id="rId1"/>
    <sheet name="Archive All data w links 2023" sheetId="11" r:id="rId2"/>
    <sheet name="Excluded" sheetId="6" r:id="rId3"/>
    <sheet name="Graduated " sheetId="9" r:id="rId4"/>
    <sheet name="Graduated publications 2025" sheetId="10" r:id="rId5"/>
  </sheets>
  <definedNames>
    <definedName name="_xlnm._FilterDatabase" localSheetId="0" hidden="1">'All data 12.29.24'!$A$1:$BI$301</definedName>
    <definedName name="_xlnm._FilterDatabase" localSheetId="1" hidden="1">'Archive All data w links 2023'!$A$1:$A$272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2" i="11" l="1"/>
  <c r="AM271" i="11"/>
  <c r="AM270" i="11"/>
  <c r="A270" i="11"/>
  <c r="AM269" i="11"/>
  <c r="AM268" i="11"/>
  <c r="AM267" i="11"/>
  <c r="AM266" i="11"/>
  <c r="AM265" i="11"/>
  <c r="AM264" i="11"/>
  <c r="AM263" i="11"/>
  <c r="AM262" i="11"/>
  <c r="AM261" i="11"/>
  <c r="AM260" i="11"/>
  <c r="AM259" i="11"/>
  <c r="AM258" i="11"/>
  <c r="AM257" i="11"/>
  <c r="AM256" i="11"/>
  <c r="AM255" i="11"/>
  <c r="AM254" i="11"/>
  <c r="AM253" i="11"/>
  <c r="AM252" i="11"/>
  <c r="AM251" i="11"/>
  <c r="AM250" i="11"/>
  <c r="AM249" i="11"/>
  <c r="AM248" i="11"/>
  <c r="AM247" i="11"/>
  <c r="AM246" i="11"/>
  <c r="AM245" i="11"/>
  <c r="AM244" i="11"/>
  <c r="AM243" i="11"/>
  <c r="AM242" i="11"/>
  <c r="AM241" i="11"/>
  <c r="AM240" i="11"/>
  <c r="AM239" i="11"/>
  <c r="AM238" i="11"/>
  <c r="AM237" i="11"/>
  <c r="AM236" i="11"/>
  <c r="AM235" i="11"/>
  <c r="AM234" i="11"/>
  <c r="AM233" i="11"/>
  <c r="AM232" i="11"/>
  <c r="AM231" i="11"/>
  <c r="AM230" i="11"/>
  <c r="AM229" i="11"/>
  <c r="AM228" i="11"/>
  <c r="AM227" i="11"/>
  <c r="AM226" i="11"/>
  <c r="AM225" i="11"/>
  <c r="AM224" i="11"/>
  <c r="AM223" i="11"/>
  <c r="AM222" i="11"/>
  <c r="AM221" i="11"/>
  <c r="AM220" i="11"/>
  <c r="AM219" i="11"/>
  <c r="AM218" i="11"/>
  <c r="AM217" i="11"/>
  <c r="AM216" i="11"/>
  <c r="AM215" i="11"/>
  <c r="AM214" i="11"/>
  <c r="AM213" i="11"/>
  <c r="AM212" i="11"/>
  <c r="AM211" i="11"/>
  <c r="AM210" i="11"/>
  <c r="AM209" i="11"/>
  <c r="AM208" i="11"/>
  <c r="AM207" i="11"/>
  <c r="AM206" i="11"/>
  <c r="AM205" i="11"/>
  <c r="AM204" i="11"/>
  <c r="AM203" i="11"/>
  <c r="AM202" i="11"/>
  <c r="AM201" i="11"/>
  <c r="AM200" i="11"/>
  <c r="AM199" i="11"/>
  <c r="AM198" i="11"/>
  <c r="AM197" i="11"/>
  <c r="AM196" i="11"/>
  <c r="AM195" i="11"/>
  <c r="AM194" i="11"/>
  <c r="AM193" i="11"/>
  <c r="AM192" i="11"/>
  <c r="AM191" i="11"/>
  <c r="AM190" i="11"/>
  <c r="AM189" i="11"/>
  <c r="AM188" i="11"/>
  <c r="AM187" i="11"/>
  <c r="AM186" i="11"/>
  <c r="AM185" i="11"/>
  <c r="AM177" i="11"/>
  <c r="AM176" i="11"/>
  <c r="AM128" i="11"/>
  <c r="AM126" i="11"/>
  <c r="AM119" i="11"/>
  <c r="AM114" i="11"/>
  <c r="AM113" i="11"/>
  <c r="AM112" i="11"/>
  <c r="AM111" i="11"/>
  <c r="AM110" i="11"/>
  <c r="AM109" i="11"/>
  <c r="AM108" i="11"/>
  <c r="AM107" i="11"/>
  <c r="AM106" i="11"/>
  <c r="AM105" i="11"/>
  <c r="AM104" i="11"/>
  <c r="AM103" i="11"/>
  <c r="AM102" i="11"/>
  <c r="AM101" i="11"/>
  <c r="AM100" i="11"/>
  <c r="AM99" i="11"/>
  <c r="AM98" i="11"/>
  <c r="AM97" i="11"/>
  <c r="AM96" i="11"/>
  <c r="AM95" i="11"/>
  <c r="AM94" i="11"/>
  <c r="AM93" i="11"/>
  <c r="AM92" i="11"/>
  <c r="AM91" i="11"/>
  <c r="AM90" i="11"/>
  <c r="AM89" i="11"/>
  <c r="AM88" i="11"/>
  <c r="AM87" i="11"/>
  <c r="AM86" i="11"/>
  <c r="AM85" i="11"/>
  <c r="AM84" i="11"/>
  <c r="AM83" i="11"/>
  <c r="AM82" i="11"/>
  <c r="AM81" i="11"/>
  <c r="AM80" i="11"/>
  <c r="AM79" i="11"/>
  <c r="AM78" i="11"/>
  <c r="AM77" i="11"/>
  <c r="AM76" i="11"/>
  <c r="AM75" i="11"/>
  <c r="AM74" i="11"/>
  <c r="AM73" i="11"/>
  <c r="AM72" i="11"/>
  <c r="AM71" i="11"/>
  <c r="AM70" i="11"/>
  <c r="AM69" i="11"/>
  <c r="AM68" i="11"/>
  <c r="AM67" i="11"/>
  <c r="AM63" i="11"/>
  <c r="AM62" i="11"/>
  <c r="AM61" i="11"/>
  <c r="AM60" i="11"/>
  <c r="AM59" i="11"/>
  <c r="AM58" i="11"/>
  <c r="AM57" i="11"/>
  <c r="AM56" i="11"/>
  <c r="AM55" i="11"/>
  <c r="AM54" i="11"/>
  <c r="AM53" i="11"/>
  <c r="AM52" i="11"/>
  <c r="AM51" i="11"/>
  <c r="AM50" i="11"/>
  <c r="AM49" i="11"/>
  <c r="AM48" i="11"/>
  <c r="AM47" i="11"/>
  <c r="AM46" i="11"/>
  <c r="AM45" i="11"/>
  <c r="AM44" i="11"/>
  <c r="AM43" i="11"/>
  <c r="AM42" i="11"/>
  <c r="AM41" i="11"/>
  <c r="AM40" i="11"/>
  <c r="AM39" i="11"/>
  <c r="AM38" i="11"/>
  <c r="AM37" i="11"/>
  <c r="AM36" i="11"/>
  <c r="AM35" i="11"/>
  <c r="AM34" i="11"/>
  <c r="AM33" i="11"/>
  <c r="AM32" i="11"/>
  <c r="AM31" i="11"/>
  <c r="AM30" i="11"/>
  <c r="AM29" i="11"/>
  <c r="AM28" i="11"/>
  <c r="AM27" i="11"/>
  <c r="AM26" i="11"/>
  <c r="AM25" i="11"/>
  <c r="AM24" i="11"/>
  <c r="AM23" i="11"/>
  <c r="AM22" i="11"/>
  <c r="AM21" i="11"/>
  <c r="AM20" i="11"/>
  <c r="AM19" i="11"/>
  <c r="AM18" i="11"/>
  <c r="AM17" i="11"/>
  <c r="AM16" i="11"/>
  <c r="AM15" i="11"/>
  <c r="AM14" i="11"/>
  <c r="AM13" i="11"/>
  <c r="AM12" i="11"/>
  <c r="AM11" i="11"/>
  <c r="AM10" i="11"/>
  <c r="AM9" i="11"/>
  <c r="AM8" i="11"/>
  <c r="AM7" i="11"/>
  <c r="AM6" i="11"/>
  <c r="AM5" i="11"/>
  <c r="AM4" i="11"/>
  <c r="AM3" i="11"/>
  <c r="AM2" i="11"/>
  <c r="Z290" i="7" l="1"/>
  <c r="L290" i="7"/>
  <c r="AL119" i="7"/>
  <c r="AK119" i="7"/>
  <c r="AJ119" i="7"/>
  <c r="AI119" i="7"/>
  <c r="AH119" i="7"/>
  <c r="AG119" i="7"/>
  <c r="Z119" i="7"/>
  <c r="L119" i="7"/>
  <c r="AL189" i="7"/>
  <c r="AK189" i="7"/>
  <c r="AJ189" i="7"/>
  <c r="AI189" i="7"/>
  <c r="AH189" i="7"/>
  <c r="AG189" i="7"/>
  <c r="Z189" i="7"/>
  <c r="L189" i="7"/>
  <c r="AS194" i="7"/>
  <c r="AS195" i="7"/>
  <c r="AS196" i="7"/>
  <c r="AS197" i="7"/>
  <c r="AL194" i="7"/>
  <c r="AK194" i="7"/>
  <c r="AJ194" i="7"/>
  <c r="AI194" i="7"/>
  <c r="AH194" i="7"/>
  <c r="AG194" i="7"/>
  <c r="Z194" i="7"/>
  <c r="L194" i="7"/>
  <c r="AL281" i="7"/>
  <c r="AK281" i="7"/>
  <c r="AJ281" i="7"/>
  <c r="AI281" i="7"/>
  <c r="AH281" i="7"/>
  <c r="AG281" i="7"/>
  <c r="Z281" i="7"/>
  <c r="AW113" i="7"/>
  <c r="AS110" i="7"/>
  <c r="AL110" i="7"/>
  <c r="BC110" i="7" s="1"/>
  <c r="AK110" i="7"/>
  <c r="BB110" i="7" s="1"/>
  <c r="AJ110" i="7"/>
  <c r="BA110" i="7" s="1"/>
  <c r="AI110" i="7"/>
  <c r="AZ110" i="7" s="1"/>
  <c r="AH110" i="7"/>
  <c r="AY110" i="7" s="1"/>
  <c r="AG110" i="7"/>
  <c r="AX110" i="7" s="1"/>
  <c r="Z110" i="7"/>
  <c r="AS109" i="7"/>
  <c r="AL109" i="7"/>
  <c r="AK109" i="7"/>
  <c r="AJ109" i="7"/>
  <c r="AI109" i="7"/>
  <c r="AH109" i="7"/>
  <c r="AG109" i="7"/>
  <c r="Z109" i="7"/>
  <c r="L109" i="7"/>
  <c r="AS108" i="7"/>
  <c r="AL108" i="7"/>
  <c r="AK108" i="7"/>
  <c r="AJ108" i="7"/>
  <c r="AI108" i="7"/>
  <c r="AH108" i="7"/>
  <c r="AG108" i="7"/>
  <c r="Z108" i="7"/>
  <c r="AW108" i="7" s="1"/>
  <c r="L108" i="7"/>
  <c r="AS107" i="7"/>
  <c r="AL107" i="7"/>
  <c r="AK107" i="7"/>
  <c r="AJ107" i="7"/>
  <c r="AI107" i="7"/>
  <c r="AH107" i="7"/>
  <c r="AG107" i="7"/>
  <c r="Z107" i="7"/>
  <c r="L107" i="7"/>
  <c r="AS106" i="7"/>
  <c r="AL106" i="7"/>
  <c r="AK106" i="7"/>
  <c r="AJ106" i="7"/>
  <c r="AI106" i="7"/>
  <c r="AH106" i="7"/>
  <c r="AG106" i="7"/>
  <c r="Z106" i="7"/>
  <c r="L106" i="7"/>
  <c r="AS105" i="7"/>
  <c r="AL105" i="7"/>
  <c r="AK105" i="7"/>
  <c r="AJ105" i="7"/>
  <c r="AI105" i="7"/>
  <c r="AH105" i="7"/>
  <c r="AG105" i="7"/>
  <c r="Z105" i="7"/>
  <c r="AW105" i="7" s="1"/>
  <c r="L105" i="7"/>
  <c r="AS104" i="7"/>
  <c r="AL104" i="7"/>
  <c r="AK104" i="7"/>
  <c r="AJ104" i="7"/>
  <c r="AI104" i="7"/>
  <c r="AH104" i="7"/>
  <c r="AG104" i="7"/>
  <c r="Z104" i="7"/>
  <c r="AW104" i="7" s="1"/>
  <c r="L104" i="7"/>
  <c r="AS103" i="7"/>
  <c r="AL103" i="7"/>
  <c r="AK103" i="7"/>
  <c r="AJ103" i="7"/>
  <c r="AI103" i="7"/>
  <c r="AH103" i="7"/>
  <c r="AG103" i="7"/>
  <c r="Z103" i="7"/>
  <c r="AW103" i="7" s="1"/>
  <c r="L103" i="7"/>
  <c r="Y107" i="7" l="1"/>
  <c r="AT107" i="7" s="1"/>
  <c r="AX107" i="7"/>
  <c r="AY107" i="7"/>
  <c r="AY108" i="7"/>
  <c r="BA108" i="7"/>
  <c r="BC107" i="7"/>
  <c r="BA109" i="7"/>
  <c r="AZ108" i="7"/>
  <c r="AX103" i="7"/>
  <c r="Y103" i="7"/>
  <c r="X103" i="7" s="1"/>
  <c r="BB105" i="7"/>
  <c r="BA106" i="7"/>
  <c r="AX109" i="7"/>
  <c r="Y110" i="7"/>
  <c r="AT110" i="7" s="1"/>
  <c r="AX104" i="7"/>
  <c r="BC105" i="7"/>
  <c r="BA107" i="7"/>
  <c r="AY109" i="7"/>
  <c r="AW107" i="7"/>
  <c r="Y109" i="7"/>
  <c r="AU109" i="7" s="1"/>
  <c r="AV109" i="7" s="1"/>
  <c r="BC106" i="7"/>
  <c r="BB107" i="7"/>
  <c r="AZ109" i="7"/>
  <c r="BB108" i="7"/>
  <c r="AZ105" i="7"/>
  <c r="Y108" i="7"/>
  <c r="AT108" i="7" s="1"/>
  <c r="BC103" i="7"/>
  <c r="BB104" i="7"/>
  <c r="BA105" i="7"/>
  <c r="AX108" i="7"/>
  <c r="AZ106" i="7"/>
  <c r="AZ103" i="7"/>
  <c r="AY104" i="7"/>
  <c r="AX105" i="7"/>
  <c r="AZ107" i="7"/>
  <c r="BC108" i="7"/>
  <c r="BB109" i="7"/>
  <c r="AY103" i="7"/>
  <c r="AX106" i="7"/>
  <c r="BC109" i="7"/>
  <c r="BC104" i="7"/>
  <c r="BA103" i="7"/>
  <c r="AZ104" i="7"/>
  <c r="AY105" i="7"/>
  <c r="BB103" i="7"/>
  <c r="BA104" i="7"/>
  <c r="AY106" i="7"/>
  <c r="Y105" i="7"/>
  <c r="AW110" i="7"/>
  <c r="AW109" i="7"/>
  <c r="BB106" i="7"/>
  <c r="Y106" i="7"/>
  <c r="AU106" i="7" s="1"/>
  <c r="AV106" i="7" s="1"/>
  <c r="AW106" i="7"/>
  <c r="Y104" i="7"/>
  <c r="AS65" i="7"/>
  <c r="AL65" i="7"/>
  <c r="BC65" i="7" s="1"/>
  <c r="AK65" i="7"/>
  <c r="BB65" i="7" s="1"/>
  <c r="AJ65" i="7"/>
  <c r="BA65" i="7" s="1"/>
  <c r="AI65" i="7"/>
  <c r="AZ65" i="7" s="1"/>
  <c r="AH65" i="7"/>
  <c r="AY65" i="7" s="1"/>
  <c r="AG65" i="7"/>
  <c r="AX65" i="7" s="1"/>
  <c r="Z65" i="7"/>
  <c r="AW65" i="7" s="1"/>
  <c r="AS27" i="7"/>
  <c r="AL27" i="7"/>
  <c r="AK27" i="7"/>
  <c r="AJ27" i="7"/>
  <c r="AI27" i="7"/>
  <c r="AH27" i="7"/>
  <c r="AG27" i="7"/>
  <c r="Z27" i="7"/>
  <c r="L27" i="7"/>
  <c r="AS5" i="6"/>
  <c r="AL5" i="6"/>
  <c r="AK5" i="6"/>
  <c r="AJ5" i="6"/>
  <c r="AI5" i="6"/>
  <c r="AH5" i="6"/>
  <c r="AG5" i="6"/>
  <c r="Z5" i="6"/>
  <c r="Y5" i="6" s="1"/>
  <c r="L5" i="6"/>
  <c r="AS301" i="7"/>
  <c r="AL301" i="7"/>
  <c r="AK301" i="7"/>
  <c r="AJ301" i="7"/>
  <c r="AI301" i="7"/>
  <c r="AH301" i="7"/>
  <c r="AG301" i="7"/>
  <c r="Z301" i="7"/>
  <c r="AW301" i="7" s="1"/>
  <c r="L301" i="7"/>
  <c r="AS300" i="7"/>
  <c r="AL300" i="7"/>
  <c r="AK300" i="7"/>
  <c r="AJ300" i="7"/>
  <c r="AI300" i="7"/>
  <c r="AH300" i="7"/>
  <c r="AG300" i="7"/>
  <c r="Z300" i="7"/>
  <c r="AW300" i="7" s="1"/>
  <c r="L300" i="7"/>
  <c r="AS299" i="7"/>
  <c r="AL299" i="7"/>
  <c r="AK299" i="7"/>
  <c r="AJ299" i="7"/>
  <c r="AI299" i="7"/>
  <c r="AH299" i="7"/>
  <c r="AG299" i="7"/>
  <c r="Z299" i="7"/>
  <c r="AW299" i="7" s="1"/>
  <c r="L299" i="7"/>
  <c r="AS298" i="7"/>
  <c r="AL298" i="7"/>
  <c r="AK298" i="7"/>
  <c r="AJ298" i="7"/>
  <c r="AI298" i="7"/>
  <c r="AH298" i="7"/>
  <c r="AG298" i="7"/>
  <c r="Z298" i="7"/>
  <c r="AW298" i="7" s="1"/>
  <c r="L298" i="7"/>
  <c r="AS297" i="7"/>
  <c r="AL297" i="7"/>
  <c r="AK297" i="7"/>
  <c r="AJ297" i="7"/>
  <c r="AI297" i="7"/>
  <c r="AH297" i="7"/>
  <c r="AG297" i="7"/>
  <c r="Z297" i="7"/>
  <c r="AW297" i="7" s="1"/>
  <c r="L297" i="7"/>
  <c r="AS296" i="7"/>
  <c r="AL296" i="7"/>
  <c r="AK296" i="7"/>
  <c r="AJ296" i="7"/>
  <c r="AI296" i="7"/>
  <c r="AH296" i="7"/>
  <c r="AG296" i="7"/>
  <c r="Z296" i="7"/>
  <c r="AW296" i="7" s="1"/>
  <c r="L296" i="7"/>
  <c r="AS295" i="7"/>
  <c r="AL295" i="7"/>
  <c r="AK295" i="7"/>
  <c r="AJ295" i="7"/>
  <c r="AI295" i="7"/>
  <c r="AH295" i="7"/>
  <c r="AG295" i="7"/>
  <c r="Z295" i="7"/>
  <c r="AW295" i="7" s="1"/>
  <c r="L295" i="7"/>
  <c r="AS294" i="7"/>
  <c r="AL294" i="7"/>
  <c r="AK294" i="7"/>
  <c r="AJ294" i="7"/>
  <c r="AI294" i="7"/>
  <c r="AH294" i="7"/>
  <c r="AG294" i="7"/>
  <c r="Z294" i="7"/>
  <c r="AW294" i="7" s="1"/>
  <c r="L294" i="7"/>
  <c r="AS293" i="7"/>
  <c r="AL293" i="7"/>
  <c r="AK293" i="7"/>
  <c r="AJ293" i="7"/>
  <c r="AI293" i="7"/>
  <c r="AH293" i="7"/>
  <c r="AG293" i="7"/>
  <c r="Z293" i="7"/>
  <c r="AW293" i="7" s="1"/>
  <c r="L293" i="7"/>
  <c r="AS292" i="7"/>
  <c r="AL292" i="7"/>
  <c r="AK292" i="7"/>
  <c r="AJ292" i="7"/>
  <c r="AI292" i="7"/>
  <c r="AH292" i="7"/>
  <c r="AG292" i="7"/>
  <c r="Z292" i="7"/>
  <c r="AW292" i="7" s="1"/>
  <c r="L292" i="7"/>
  <c r="AS291" i="7"/>
  <c r="AL291" i="7"/>
  <c r="AK291" i="7"/>
  <c r="AJ291" i="7"/>
  <c r="AI291" i="7"/>
  <c r="AH291" i="7"/>
  <c r="AG291" i="7"/>
  <c r="Z291" i="7"/>
  <c r="AW291" i="7" s="1"/>
  <c r="L291" i="7"/>
  <c r="AS290" i="7"/>
  <c r="Y290" i="7" s="1"/>
  <c r="X290" i="7" s="1"/>
  <c r="AL290" i="7"/>
  <c r="BC290" i="7" s="1"/>
  <c r="AK290" i="7"/>
  <c r="BB290" i="7" s="1"/>
  <c r="AJ290" i="7"/>
  <c r="AI290" i="7"/>
  <c r="AH290" i="7"/>
  <c r="AG290" i="7"/>
  <c r="AW290" i="7"/>
  <c r="AS289" i="7"/>
  <c r="AL289" i="7"/>
  <c r="AK289" i="7"/>
  <c r="AJ289" i="7"/>
  <c r="AI289" i="7"/>
  <c r="AH289" i="7"/>
  <c r="AG289" i="7"/>
  <c r="Z289" i="7"/>
  <c r="AW289" i="7" s="1"/>
  <c r="L289" i="7"/>
  <c r="AS288" i="7"/>
  <c r="AL288" i="7"/>
  <c r="AK288" i="7"/>
  <c r="AJ288" i="7"/>
  <c r="AI288" i="7"/>
  <c r="AH288" i="7"/>
  <c r="AG288" i="7"/>
  <c r="Z288" i="7"/>
  <c r="AW288" i="7" s="1"/>
  <c r="L288" i="7"/>
  <c r="AS287" i="7"/>
  <c r="AL287" i="7"/>
  <c r="AK287" i="7"/>
  <c r="AJ287" i="7"/>
  <c r="AI287" i="7"/>
  <c r="AH287" i="7"/>
  <c r="AG287" i="7"/>
  <c r="Z287" i="7"/>
  <c r="AW287" i="7" s="1"/>
  <c r="L287" i="7"/>
  <c r="AS286" i="7"/>
  <c r="AL286" i="7"/>
  <c r="AK286" i="7"/>
  <c r="AJ286" i="7"/>
  <c r="AI286" i="7"/>
  <c r="AH286" i="7"/>
  <c r="AG286" i="7"/>
  <c r="Z286" i="7"/>
  <c r="AW286" i="7" s="1"/>
  <c r="L286" i="7"/>
  <c r="AS285" i="7"/>
  <c r="AL285" i="7"/>
  <c r="AK285" i="7"/>
  <c r="AJ285" i="7"/>
  <c r="AI285" i="7"/>
  <c r="AH285" i="7"/>
  <c r="AG285" i="7"/>
  <c r="Z285" i="7"/>
  <c r="AW285" i="7" s="1"/>
  <c r="L285" i="7"/>
  <c r="AS284" i="7"/>
  <c r="AL284" i="7"/>
  <c r="AK284" i="7"/>
  <c r="AJ284" i="7"/>
  <c r="AI284" i="7"/>
  <c r="AH284" i="7"/>
  <c r="AG284" i="7"/>
  <c r="Z284" i="7"/>
  <c r="AW284" i="7" s="1"/>
  <c r="L284" i="7"/>
  <c r="AS283" i="7"/>
  <c r="AL283" i="7"/>
  <c r="AK283" i="7"/>
  <c r="AJ283" i="7"/>
  <c r="AI283" i="7"/>
  <c r="AH283" i="7"/>
  <c r="AG283" i="7"/>
  <c r="Z283" i="7"/>
  <c r="AW283" i="7" s="1"/>
  <c r="L283" i="7"/>
  <c r="AS282" i="7"/>
  <c r="AL282" i="7"/>
  <c r="AK282" i="7"/>
  <c r="AJ282" i="7"/>
  <c r="AI282" i="7"/>
  <c r="AH282" i="7"/>
  <c r="AG282" i="7"/>
  <c r="Z282" i="7"/>
  <c r="AW282" i="7" s="1"/>
  <c r="L282" i="7"/>
  <c r="AS281" i="7"/>
  <c r="Y281" i="7" s="1"/>
  <c r="X281" i="7" s="1"/>
  <c r="AW281" i="7"/>
  <c r="L281" i="7"/>
  <c r="BC281" i="7" s="1"/>
  <c r="AS280" i="7"/>
  <c r="AL280" i="7"/>
  <c r="AK280" i="7"/>
  <c r="AJ280" i="7"/>
  <c r="AI280" i="7"/>
  <c r="AH280" i="7"/>
  <c r="AG280" i="7"/>
  <c r="Z280" i="7"/>
  <c r="AW280" i="7" s="1"/>
  <c r="L280" i="7"/>
  <c r="AS279" i="7"/>
  <c r="AL279" i="7"/>
  <c r="AK279" i="7"/>
  <c r="AJ279" i="7"/>
  <c r="AI279" i="7"/>
  <c r="AH279" i="7"/>
  <c r="AG279" i="7"/>
  <c r="Z279" i="7"/>
  <c r="AW279" i="7" s="1"/>
  <c r="L279" i="7"/>
  <c r="AS278" i="7"/>
  <c r="AL278" i="7"/>
  <c r="AK278" i="7"/>
  <c r="AJ278" i="7"/>
  <c r="AI278" i="7"/>
  <c r="AH278" i="7"/>
  <c r="AG278" i="7"/>
  <c r="Z278" i="7"/>
  <c r="AW278" i="7" s="1"/>
  <c r="L278" i="7"/>
  <c r="AS277" i="7"/>
  <c r="AL277" i="7"/>
  <c r="AK277" i="7"/>
  <c r="AJ277" i="7"/>
  <c r="AI277" i="7"/>
  <c r="AH277" i="7"/>
  <c r="AG277" i="7"/>
  <c r="Z277" i="7"/>
  <c r="AW277" i="7" s="1"/>
  <c r="L277" i="7"/>
  <c r="AS276" i="7"/>
  <c r="AL276" i="7"/>
  <c r="AK276" i="7"/>
  <c r="AJ276" i="7"/>
  <c r="AI276" i="7"/>
  <c r="AH276" i="7"/>
  <c r="AG276" i="7"/>
  <c r="Z276" i="7"/>
  <c r="AW276" i="7" s="1"/>
  <c r="L276" i="7"/>
  <c r="AS275" i="7"/>
  <c r="AL275" i="7"/>
  <c r="AK275" i="7"/>
  <c r="AJ275" i="7"/>
  <c r="AI275" i="7"/>
  <c r="AH275" i="7"/>
  <c r="AG275" i="7"/>
  <c r="Z275" i="7"/>
  <c r="AW275" i="7" s="1"/>
  <c r="L275" i="7"/>
  <c r="AS274" i="7"/>
  <c r="AL274" i="7"/>
  <c r="AK274" i="7"/>
  <c r="AJ274" i="7"/>
  <c r="AI274" i="7"/>
  <c r="AH274" i="7"/>
  <c r="AG274" i="7"/>
  <c r="Z274" i="7"/>
  <c r="AW274" i="7" s="1"/>
  <c r="L274" i="7"/>
  <c r="AS273" i="7"/>
  <c r="AL273" i="7"/>
  <c r="AK273" i="7"/>
  <c r="AJ273" i="7"/>
  <c r="AI273" i="7"/>
  <c r="AH273" i="7"/>
  <c r="AG273" i="7"/>
  <c r="Z273" i="7"/>
  <c r="AW273" i="7" s="1"/>
  <c r="L273" i="7"/>
  <c r="AS272" i="7"/>
  <c r="AL272" i="7"/>
  <c r="AK272" i="7"/>
  <c r="AJ272" i="7"/>
  <c r="AI272" i="7"/>
  <c r="AH272" i="7"/>
  <c r="AG272" i="7"/>
  <c r="Z272" i="7"/>
  <c r="AW272" i="7" s="1"/>
  <c r="L272" i="7"/>
  <c r="AS271" i="7"/>
  <c r="AL271" i="7"/>
  <c r="AK271" i="7"/>
  <c r="AJ271" i="7"/>
  <c r="AI271" i="7"/>
  <c r="AH271" i="7"/>
  <c r="AG271" i="7"/>
  <c r="Z271" i="7"/>
  <c r="AW271" i="7" s="1"/>
  <c r="L271" i="7"/>
  <c r="AS270" i="7"/>
  <c r="AL270" i="7"/>
  <c r="AK270" i="7"/>
  <c r="AJ270" i="7"/>
  <c r="AI270" i="7"/>
  <c r="AH270" i="7"/>
  <c r="AG270" i="7"/>
  <c r="Z270" i="7"/>
  <c r="AW270" i="7" s="1"/>
  <c r="L270" i="7"/>
  <c r="AS269" i="7"/>
  <c r="AL269" i="7"/>
  <c r="AK269" i="7"/>
  <c r="AJ269" i="7"/>
  <c r="AI269" i="7"/>
  <c r="AH269" i="7"/>
  <c r="AG269" i="7"/>
  <c r="Z269" i="7"/>
  <c r="AW269" i="7" s="1"/>
  <c r="L269" i="7"/>
  <c r="AS268" i="7"/>
  <c r="AL268" i="7"/>
  <c r="AK268" i="7"/>
  <c r="AJ268" i="7"/>
  <c r="AI268" i="7"/>
  <c r="AH268" i="7"/>
  <c r="AG268" i="7"/>
  <c r="Z268" i="7"/>
  <c r="AW268" i="7" s="1"/>
  <c r="L268" i="7"/>
  <c r="AS267" i="7"/>
  <c r="AL267" i="7"/>
  <c r="AK267" i="7"/>
  <c r="AJ267" i="7"/>
  <c r="AI267" i="7"/>
  <c r="AH267" i="7"/>
  <c r="AG267" i="7"/>
  <c r="Z267" i="7"/>
  <c r="AW267" i="7" s="1"/>
  <c r="L267" i="7"/>
  <c r="AS266" i="7"/>
  <c r="AL266" i="7"/>
  <c r="AK266" i="7"/>
  <c r="AJ266" i="7"/>
  <c r="AI266" i="7"/>
  <c r="AH266" i="7"/>
  <c r="AG266" i="7"/>
  <c r="Z266" i="7"/>
  <c r="AW266" i="7" s="1"/>
  <c r="L266" i="7"/>
  <c r="AS265" i="7"/>
  <c r="AL265" i="7"/>
  <c r="AK265" i="7"/>
  <c r="AJ265" i="7"/>
  <c r="AI265" i="7"/>
  <c r="AH265" i="7"/>
  <c r="AG265" i="7"/>
  <c r="Z265" i="7"/>
  <c r="AW265" i="7" s="1"/>
  <c r="L265" i="7"/>
  <c r="AS264" i="7"/>
  <c r="AL264" i="7"/>
  <c r="AK264" i="7"/>
  <c r="AJ264" i="7"/>
  <c r="AI264" i="7"/>
  <c r="AH264" i="7"/>
  <c r="AG264" i="7"/>
  <c r="Z264" i="7"/>
  <c r="AW264" i="7" s="1"/>
  <c r="L264" i="7"/>
  <c r="AS263" i="7"/>
  <c r="AL263" i="7"/>
  <c r="AK263" i="7"/>
  <c r="AJ263" i="7"/>
  <c r="AI263" i="7"/>
  <c r="AH263" i="7"/>
  <c r="AG263" i="7"/>
  <c r="Z263" i="7"/>
  <c r="AW263" i="7" s="1"/>
  <c r="L263" i="7"/>
  <c r="AS262" i="7"/>
  <c r="AL262" i="7"/>
  <c r="AK262" i="7"/>
  <c r="AJ262" i="7"/>
  <c r="AI262" i="7"/>
  <c r="AH262" i="7"/>
  <c r="AG262" i="7"/>
  <c r="Z262" i="7"/>
  <c r="AW262" i="7" s="1"/>
  <c r="L262" i="7"/>
  <c r="AS261" i="7"/>
  <c r="AL261" i="7"/>
  <c r="AK261" i="7"/>
  <c r="AJ261" i="7"/>
  <c r="AI261" i="7"/>
  <c r="AH261" i="7"/>
  <c r="AG261" i="7"/>
  <c r="Z261" i="7"/>
  <c r="AW261" i="7" s="1"/>
  <c r="L261" i="7"/>
  <c r="AS260" i="7"/>
  <c r="AL260" i="7"/>
  <c r="AK260" i="7"/>
  <c r="AJ260" i="7"/>
  <c r="AI260" i="7"/>
  <c r="AH260" i="7"/>
  <c r="AG260" i="7"/>
  <c r="Z260" i="7"/>
  <c r="AW260" i="7" s="1"/>
  <c r="L260" i="7"/>
  <c r="AS259" i="7"/>
  <c r="AL259" i="7"/>
  <c r="AK259" i="7"/>
  <c r="AJ259" i="7"/>
  <c r="AI259" i="7"/>
  <c r="AH259" i="7"/>
  <c r="AG259" i="7"/>
  <c r="Z259" i="7"/>
  <c r="AW259" i="7" s="1"/>
  <c r="L259" i="7"/>
  <c r="AS258" i="7"/>
  <c r="AL258" i="7"/>
  <c r="AK258" i="7"/>
  <c r="AJ258" i="7"/>
  <c r="AI258" i="7"/>
  <c r="AH258" i="7"/>
  <c r="AG258" i="7"/>
  <c r="Z258" i="7"/>
  <c r="AW258" i="7" s="1"/>
  <c r="L258" i="7"/>
  <c r="AS257" i="7"/>
  <c r="AL257" i="7"/>
  <c r="AK257" i="7"/>
  <c r="AJ257" i="7"/>
  <c r="AI257" i="7"/>
  <c r="AH257" i="7"/>
  <c r="AG257" i="7"/>
  <c r="Z257" i="7"/>
  <c r="AW257" i="7" s="1"/>
  <c r="L257" i="7"/>
  <c r="AS256" i="7"/>
  <c r="AL256" i="7"/>
  <c r="AK256" i="7"/>
  <c r="AJ256" i="7"/>
  <c r="AI256" i="7"/>
  <c r="AH256" i="7"/>
  <c r="AG256" i="7"/>
  <c r="Z256" i="7"/>
  <c r="AW256" i="7" s="1"/>
  <c r="L256" i="7"/>
  <c r="AS255" i="7"/>
  <c r="AL255" i="7"/>
  <c r="AK255" i="7"/>
  <c r="AJ255" i="7"/>
  <c r="AI255" i="7"/>
  <c r="AH255" i="7"/>
  <c r="AG255" i="7"/>
  <c r="Z255" i="7"/>
  <c r="AW255" i="7" s="1"/>
  <c r="L255" i="7"/>
  <c r="AS254" i="7"/>
  <c r="AL254" i="7"/>
  <c r="AK254" i="7"/>
  <c r="AJ254" i="7"/>
  <c r="AI254" i="7"/>
  <c r="AH254" i="7"/>
  <c r="AG254" i="7"/>
  <c r="Z254" i="7"/>
  <c r="AW254" i="7" s="1"/>
  <c r="L254" i="7"/>
  <c r="AS253" i="7"/>
  <c r="AL253" i="7"/>
  <c r="AK253" i="7"/>
  <c r="AJ253" i="7"/>
  <c r="AI253" i="7"/>
  <c r="AH253" i="7"/>
  <c r="AG253" i="7"/>
  <c r="Z253" i="7"/>
  <c r="AW253" i="7" s="1"/>
  <c r="L253" i="7"/>
  <c r="AS252" i="7"/>
  <c r="AL252" i="7"/>
  <c r="AK252" i="7"/>
  <c r="AJ252" i="7"/>
  <c r="AI252" i="7"/>
  <c r="AH252" i="7"/>
  <c r="AG252" i="7"/>
  <c r="Z252" i="7"/>
  <c r="AW252" i="7" s="1"/>
  <c r="L252" i="7"/>
  <c r="AS251" i="7"/>
  <c r="AL251" i="7"/>
  <c r="AK251" i="7"/>
  <c r="AJ251" i="7"/>
  <c r="AI251" i="7"/>
  <c r="AH251" i="7"/>
  <c r="AG251" i="7"/>
  <c r="Z251" i="7"/>
  <c r="AW251" i="7" s="1"/>
  <c r="L251" i="7"/>
  <c r="AS250" i="7"/>
  <c r="AL250" i="7"/>
  <c r="AK250" i="7"/>
  <c r="AJ250" i="7"/>
  <c r="AI250" i="7"/>
  <c r="AH250" i="7"/>
  <c r="AG250" i="7"/>
  <c r="Z250" i="7"/>
  <c r="AW250" i="7" s="1"/>
  <c r="L250" i="7"/>
  <c r="AS249" i="7"/>
  <c r="AL249" i="7"/>
  <c r="AK249" i="7"/>
  <c r="AJ249" i="7"/>
  <c r="AI249" i="7"/>
  <c r="AH249" i="7"/>
  <c r="AG249" i="7"/>
  <c r="Z249" i="7"/>
  <c r="AW249" i="7" s="1"/>
  <c r="L249" i="7"/>
  <c r="AS248" i="7"/>
  <c r="AL248" i="7"/>
  <c r="AK248" i="7"/>
  <c r="AJ248" i="7"/>
  <c r="AI248" i="7"/>
  <c r="AH248" i="7"/>
  <c r="AG248" i="7"/>
  <c r="Z248" i="7"/>
  <c r="AW248" i="7" s="1"/>
  <c r="L248" i="7"/>
  <c r="AS247" i="7"/>
  <c r="AL247" i="7"/>
  <c r="AK247" i="7"/>
  <c r="AJ247" i="7"/>
  <c r="AI247" i="7"/>
  <c r="AH247" i="7"/>
  <c r="AG247" i="7"/>
  <c r="Z247" i="7"/>
  <c r="AW247" i="7" s="1"/>
  <c r="L247" i="7"/>
  <c r="AS246" i="7"/>
  <c r="AL246" i="7"/>
  <c r="AK246" i="7"/>
  <c r="AJ246" i="7"/>
  <c r="AI246" i="7"/>
  <c r="AH246" i="7"/>
  <c r="AG246" i="7"/>
  <c r="Z246" i="7"/>
  <c r="AW246" i="7" s="1"/>
  <c r="L246" i="7"/>
  <c r="AS245" i="7"/>
  <c r="AL245" i="7"/>
  <c r="AK245" i="7"/>
  <c r="AJ245" i="7"/>
  <c r="AI245" i="7"/>
  <c r="AH245" i="7"/>
  <c r="AG245" i="7"/>
  <c r="Z245" i="7"/>
  <c r="AW245" i="7" s="1"/>
  <c r="L245" i="7"/>
  <c r="AS244" i="7"/>
  <c r="AL244" i="7"/>
  <c r="AK244" i="7"/>
  <c r="AJ244" i="7"/>
  <c r="AI244" i="7"/>
  <c r="AH244" i="7"/>
  <c r="AG244" i="7"/>
  <c r="Z244" i="7"/>
  <c r="AW244" i="7" s="1"/>
  <c r="L244" i="7"/>
  <c r="AS243" i="7"/>
  <c r="AL243" i="7"/>
  <c r="AK243" i="7"/>
  <c r="AJ243" i="7"/>
  <c r="AI243" i="7"/>
  <c r="AH243" i="7"/>
  <c r="AG243" i="7"/>
  <c r="Z243" i="7"/>
  <c r="AW243" i="7" s="1"/>
  <c r="L243" i="7"/>
  <c r="AS242" i="7"/>
  <c r="AL242" i="7"/>
  <c r="AK242" i="7"/>
  <c r="AJ242" i="7"/>
  <c r="AI242" i="7"/>
  <c r="AH242" i="7"/>
  <c r="AG242" i="7"/>
  <c r="Z242" i="7"/>
  <c r="AW242" i="7" s="1"/>
  <c r="L242" i="7"/>
  <c r="AS241" i="7"/>
  <c r="AL241" i="7"/>
  <c r="AK241" i="7"/>
  <c r="AJ241" i="7"/>
  <c r="AI241" i="7"/>
  <c r="AH241" i="7"/>
  <c r="AG241" i="7"/>
  <c r="Z241" i="7"/>
  <c r="AW241" i="7" s="1"/>
  <c r="L241" i="7"/>
  <c r="AS240" i="7"/>
  <c r="AL240" i="7"/>
  <c r="AK240" i="7"/>
  <c r="AJ240" i="7"/>
  <c r="AI240" i="7"/>
  <c r="AH240" i="7"/>
  <c r="AG240" i="7"/>
  <c r="Z240" i="7"/>
  <c r="AW240" i="7" s="1"/>
  <c r="L240" i="7"/>
  <c r="AS239" i="7"/>
  <c r="AL239" i="7"/>
  <c r="AK239" i="7"/>
  <c r="AJ239" i="7"/>
  <c r="AI239" i="7"/>
  <c r="AH239" i="7"/>
  <c r="AG239" i="7"/>
  <c r="Z239" i="7"/>
  <c r="AW239" i="7" s="1"/>
  <c r="L239" i="7"/>
  <c r="AS238" i="7"/>
  <c r="AL238" i="7"/>
  <c r="AK238" i="7"/>
  <c r="AJ238" i="7"/>
  <c r="AI238" i="7"/>
  <c r="AH238" i="7"/>
  <c r="AG238" i="7"/>
  <c r="Z238" i="7"/>
  <c r="AW238" i="7" s="1"/>
  <c r="L238" i="7"/>
  <c r="AS237" i="7"/>
  <c r="AL237" i="7"/>
  <c r="AK237" i="7"/>
  <c r="AJ237" i="7"/>
  <c r="AI237" i="7"/>
  <c r="AH237" i="7"/>
  <c r="AG237" i="7"/>
  <c r="Z237" i="7"/>
  <c r="AW237" i="7" s="1"/>
  <c r="L237" i="7"/>
  <c r="AS236" i="7"/>
  <c r="AL236" i="7"/>
  <c r="AK236" i="7"/>
  <c r="AJ236" i="7"/>
  <c r="AI236" i="7"/>
  <c r="AH236" i="7"/>
  <c r="AG236" i="7"/>
  <c r="Z236" i="7"/>
  <c r="AW236" i="7" s="1"/>
  <c r="L236" i="7"/>
  <c r="AS235" i="7"/>
  <c r="AL235" i="7"/>
  <c r="AK235" i="7"/>
  <c r="AJ235" i="7"/>
  <c r="AI235" i="7"/>
  <c r="AH235" i="7"/>
  <c r="AG235" i="7"/>
  <c r="Z235" i="7"/>
  <c r="AW235" i="7" s="1"/>
  <c r="L235" i="7"/>
  <c r="AS234" i="7"/>
  <c r="AL234" i="7"/>
  <c r="AK234" i="7"/>
  <c r="AJ234" i="7"/>
  <c r="AI234" i="7"/>
  <c r="AH234" i="7"/>
  <c r="AG234" i="7"/>
  <c r="Z234" i="7"/>
  <c r="AW234" i="7" s="1"/>
  <c r="L234" i="7"/>
  <c r="AS233" i="7"/>
  <c r="AL233" i="7"/>
  <c r="AK233" i="7"/>
  <c r="AJ233" i="7"/>
  <c r="AI233" i="7"/>
  <c r="AH233" i="7"/>
  <c r="AG233" i="7"/>
  <c r="Z233" i="7"/>
  <c r="AW233" i="7" s="1"/>
  <c r="L233" i="7"/>
  <c r="AS232" i="7"/>
  <c r="AL232" i="7"/>
  <c r="AK232" i="7"/>
  <c r="AJ232" i="7"/>
  <c r="AI232" i="7"/>
  <c r="AH232" i="7"/>
  <c r="AG232" i="7"/>
  <c r="Z232" i="7"/>
  <c r="AW232" i="7" s="1"/>
  <c r="L232" i="7"/>
  <c r="AS231" i="7"/>
  <c r="AL231" i="7"/>
  <c r="AK231" i="7"/>
  <c r="AJ231" i="7"/>
  <c r="AI231" i="7"/>
  <c r="AH231" i="7"/>
  <c r="AG231" i="7"/>
  <c r="Z231" i="7"/>
  <c r="AW231" i="7" s="1"/>
  <c r="L231" i="7"/>
  <c r="AS230" i="7"/>
  <c r="AL230" i="7"/>
  <c r="AK230" i="7"/>
  <c r="AJ230" i="7"/>
  <c r="AI230" i="7"/>
  <c r="AH230" i="7"/>
  <c r="AG230" i="7"/>
  <c r="Z230" i="7"/>
  <c r="AW230" i="7" s="1"/>
  <c r="L230" i="7"/>
  <c r="AS229" i="7"/>
  <c r="AL229" i="7"/>
  <c r="AK229" i="7"/>
  <c r="AJ229" i="7"/>
  <c r="AI229" i="7"/>
  <c r="AH229" i="7"/>
  <c r="AG229" i="7"/>
  <c r="Z229" i="7"/>
  <c r="AW229" i="7" s="1"/>
  <c r="L229" i="7"/>
  <c r="AS228" i="7"/>
  <c r="AL228" i="7"/>
  <c r="AK228" i="7"/>
  <c r="AJ228" i="7"/>
  <c r="AI228" i="7"/>
  <c r="AH228" i="7"/>
  <c r="AG228" i="7"/>
  <c r="Z228" i="7"/>
  <c r="AW228" i="7" s="1"/>
  <c r="L228" i="7"/>
  <c r="AS227" i="7"/>
  <c r="AL227" i="7"/>
  <c r="AK227" i="7"/>
  <c r="AJ227" i="7"/>
  <c r="AI227" i="7"/>
  <c r="AH227" i="7"/>
  <c r="AG227" i="7"/>
  <c r="Z227" i="7"/>
  <c r="AW227" i="7" s="1"/>
  <c r="L227" i="7"/>
  <c r="AS226" i="7"/>
  <c r="AL226" i="7"/>
  <c r="AK226" i="7"/>
  <c r="AJ226" i="7"/>
  <c r="AI226" i="7"/>
  <c r="AH226" i="7"/>
  <c r="AG226" i="7"/>
  <c r="Z226" i="7"/>
  <c r="AW226" i="7" s="1"/>
  <c r="L226" i="7"/>
  <c r="AS225" i="7"/>
  <c r="AL225" i="7"/>
  <c r="AK225" i="7"/>
  <c r="AJ225" i="7"/>
  <c r="AI225" i="7"/>
  <c r="AH225" i="7"/>
  <c r="AG225" i="7"/>
  <c r="Z225" i="7"/>
  <c r="AW225" i="7" s="1"/>
  <c r="L225" i="7"/>
  <c r="AS224" i="7"/>
  <c r="AL224" i="7"/>
  <c r="AK224" i="7"/>
  <c r="AJ224" i="7"/>
  <c r="AI224" i="7"/>
  <c r="AH224" i="7"/>
  <c r="AG224" i="7"/>
  <c r="Z224" i="7"/>
  <c r="AW224" i="7" s="1"/>
  <c r="L224" i="7"/>
  <c r="AS223" i="7"/>
  <c r="AL223" i="7"/>
  <c r="AK223" i="7"/>
  <c r="AJ223" i="7"/>
  <c r="AI223" i="7"/>
  <c r="AH223" i="7"/>
  <c r="AG223" i="7"/>
  <c r="Z223" i="7"/>
  <c r="AW223" i="7" s="1"/>
  <c r="L223" i="7"/>
  <c r="AS222" i="7"/>
  <c r="AL222" i="7"/>
  <c r="AK222" i="7"/>
  <c r="AJ222" i="7"/>
  <c r="AI222" i="7"/>
  <c r="AH222" i="7"/>
  <c r="AG222" i="7"/>
  <c r="Z222" i="7"/>
  <c r="AW222" i="7" s="1"/>
  <c r="L222" i="7"/>
  <c r="AS221" i="7"/>
  <c r="AL221" i="7"/>
  <c r="AK221" i="7"/>
  <c r="AJ221" i="7"/>
  <c r="AI221" i="7"/>
  <c r="AH221" i="7"/>
  <c r="AG221" i="7"/>
  <c r="Z221" i="7"/>
  <c r="AW221" i="7" s="1"/>
  <c r="L221" i="7"/>
  <c r="AS220" i="7"/>
  <c r="AL220" i="7"/>
  <c r="AK220" i="7"/>
  <c r="AJ220" i="7"/>
  <c r="AI220" i="7"/>
  <c r="AH220" i="7"/>
  <c r="AG220" i="7"/>
  <c r="Z220" i="7"/>
  <c r="AW220" i="7" s="1"/>
  <c r="L220" i="7"/>
  <c r="AS219" i="7"/>
  <c r="AL219" i="7"/>
  <c r="AK219" i="7"/>
  <c r="AJ219" i="7"/>
  <c r="AI219" i="7"/>
  <c r="AH219" i="7"/>
  <c r="AG219" i="7"/>
  <c r="Z219" i="7"/>
  <c r="AW219" i="7" s="1"/>
  <c r="L219" i="7"/>
  <c r="AS218" i="7"/>
  <c r="AL218" i="7"/>
  <c r="AK218" i="7"/>
  <c r="AJ218" i="7"/>
  <c r="AI218" i="7"/>
  <c r="AH218" i="7"/>
  <c r="AG218" i="7"/>
  <c r="Z218" i="7"/>
  <c r="AW218" i="7" s="1"/>
  <c r="L218" i="7"/>
  <c r="AS217" i="7"/>
  <c r="AL217" i="7"/>
  <c r="AK217" i="7"/>
  <c r="AJ217" i="7"/>
  <c r="AI217" i="7"/>
  <c r="AH217" i="7"/>
  <c r="AG217" i="7"/>
  <c r="Z217" i="7"/>
  <c r="AW217" i="7" s="1"/>
  <c r="L217" i="7"/>
  <c r="AS216" i="7"/>
  <c r="AL216" i="7"/>
  <c r="AK216" i="7"/>
  <c r="AJ216" i="7"/>
  <c r="AI216" i="7"/>
  <c r="AH216" i="7"/>
  <c r="AG216" i="7"/>
  <c r="Z216" i="7"/>
  <c r="AW216" i="7" s="1"/>
  <c r="L216" i="7"/>
  <c r="AS215" i="7"/>
  <c r="AL215" i="7"/>
  <c r="AK215" i="7"/>
  <c r="AJ215" i="7"/>
  <c r="AI215" i="7"/>
  <c r="AH215" i="7"/>
  <c r="AG215" i="7"/>
  <c r="Z215" i="7"/>
  <c r="AW215" i="7" s="1"/>
  <c r="L215" i="7"/>
  <c r="AS214" i="7"/>
  <c r="AL214" i="7"/>
  <c r="AK214" i="7"/>
  <c r="AJ214" i="7"/>
  <c r="AI214" i="7"/>
  <c r="AH214" i="7"/>
  <c r="AG214" i="7"/>
  <c r="Z214" i="7"/>
  <c r="AW214" i="7" s="1"/>
  <c r="L214" i="7"/>
  <c r="AS213" i="7"/>
  <c r="AL213" i="7"/>
  <c r="AK213" i="7"/>
  <c r="AJ213" i="7"/>
  <c r="AI213" i="7"/>
  <c r="AH213" i="7"/>
  <c r="AG213" i="7"/>
  <c r="Z213" i="7"/>
  <c r="AW213" i="7" s="1"/>
  <c r="L213" i="7"/>
  <c r="AS212" i="7"/>
  <c r="AL212" i="7"/>
  <c r="AK212" i="7"/>
  <c r="AJ212" i="7"/>
  <c r="AI212" i="7"/>
  <c r="AH212" i="7"/>
  <c r="AG212" i="7"/>
  <c r="Z212" i="7"/>
  <c r="AW212" i="7" s="1"/>
  <c r="L212" i="7"/>
  <c r="AS211" i="7"/>
  <c r="AL211" i="7"/>
  <c r="AK211" i="7"/>
  <c r="AJ211" i="7"/>
  <c r="AI211" i="7"/>
  <c r="AH211" i="7"/>
  <c r="AG211" i="7"/>
  <c r="Z211" i="7"/>
  <c r="AW211" i="7" s="1"/>
  <c r="L211" i="7"/>
  <c r="AS210" i="7"/>
  <c r="AL210" i="7"/>
  <c r="AK210" i="7"/>
  <c r="AJ210" i="7"/>
  <c r="AI210" i="7"/>
  <c r="AH210" i="7"/>
  <c r="AG210" i="7"/>
  <c r="Z210" i="7"/>
  <c r="AW210" i="7" s="1"/>
  <c r="L210" i="7"/>
  <c r="AS209" i="7"/>
  <c r="AL209" i="7"/>
  <c r="AK209" i="7"/>
  <c r="AJ209" i="7"/>
  <c r="AI209" i="7"/>
  <c r="AH209" i="7"/>
  <c r="AG209" i="7"/>
  <c r="Z209" i="7"/>
  <c r="AW209" i="7" s="1"/>
  <c r="L209" i="7"/>
  <c r="AS208" i="7"/>
  <c r="AL208" i="7"/>
  <c r="AK208" i="7"/>
  <c r="AJ208" i="7"/>
  <c r="AI208" i="7"/>
  <c r="AH208" i="7"/>
  <c r="AG208" i="7"/>
  <c r="Z208" i="7"/>
  <c r="AW208" i="7" s="1"/>
  <c r="L208" i="7"/>
  <c r="AS207" i="7"/>
  <c r="AL207" i="7"/>
  <c r="AK207" i="7"/>
  <c r="AJ207" i="7"/>
  <c r="AI207" i="7"/>
  <c r="AH207" i="7"/>
  <c r="AG207" i="7"/>
  <c r="Z207" i="7"/>
  <c r="AW207" i="7" s="1"/>
  <c r="L207" i="7"/>
  <c r="AS206" i="7"/>
  <c r="AL206" i="7"/>
  <c r="AK206" i="7"/>
  <c r="AJ206" i="7"/>
  <c r="AI206" i="7"/>
  <c r="AH206" i="7"/>
  <c r="AG206" i="7"/>
  <c r="Z206" i="7"/>
  <c r="AW206" i="7" s="1"/>
  <c r="L206" i="7"/>
  <c r="AS205" i="7"/>
  <c r="AL205" i="7"/>
  <c r="AK205" i="7"/>
  <c r="AJ205" i="7"/>
  <c r="AI205" i="7"/>
  <c r="AH205" i="7"/>
  <c r="AG205" i="7"/>
  <c r="Z205" i="7"/>
  <c r="AW205" i="7" s="1"/>
  <c r="L205" i="7"/>
  <c r="AS204" i="7"/>
  <c r="AL204" i="7"/>
  <c r="AK204" i="7"/>
  <c r="AJ204" i="7"/>
  <c r="AI204" i="7"/>
  <c r="AH204" i="7"/>
  <c r="AG204" i="7"/>
  <c r="Z204" i="7"/>
  <c r="AW204" i="7" s="1"/>
  <c r="L204" i="7"/>
  <c r="AS203" i="7"/>
  <c r="AL203" i="7"/>
  <c r="AK203" i="7"/>
  <c r="AJ203" i="7"/>
  <c r="AI203" i="7"/>
  <c r="AH203" i="7"/>
  <c r="AG203" i="7"/>
  <c r="Z203" i="7"/>
  <c r="AW203" i="7" s="1"/>
  <c r="L203" i="7"/>
  <c r="AS202" i="7"/>
  <c r="AL202" i="7"/>
  <c r="AK202" i="7"/>
  <c r="AJ202" i="7"/>
  <c r="AI202" i="7"/>
  <c r="AH202" i="7"/>
  <c r="AG202" i="7"/>
  <c r="Z202" i="7"/>
  <c r="AW202" i="7" s="1"/>
  <c r="L202" i="7"/>
  <c r="AS201" i="7"/>
  <c r="AL201" i="7"/>
  <c r="AK201" i="7"/>
  <c r="AJ201" i="7"/>
  <c r="AI201" i="7"/>
  <c r="AH201" i="7"/>
  <c r="AG201" i="7"/>
  <c r="Z201" i="7"/>
  <c r="AW201" i="7" s="1"/>
  <c r="L201" i="7"/>
  <c r="AS200" i="7"/>
  <c r="AL200" i="7"/>
  <c r="AK200" i="7"/>
  <c r="AJ200" i="7"/>
  <c r="AI200" i="7"/>
  <c r="AH200" i="7"/>
  <c r="AG200" i="7"/>
  <c r="Z200" i="7"/>
  <c r="AW200" i="7" s="1"/>
  <c r="L200" i="7"/>
  <c r="AS199" i="7"/>
  <c r="AL199" i="7"/>
  <c r="AK199" i="7"/>
  <c r="AJ199" i="7"/>
  <c r="AI199" i="7"/>
  <c r="AH199" i="7"/>
  <c r="AG199" i="7"/>
  <c r="Z199" i="7"/>
  <c r="AW199" i="7" s="1"/>
  <c r="L199" i="7"/>
  <c r="AS198" i="7"/>
  <c r="AL198" i="7"/>
  <c r="AK198" i="7"/>
  <c r="AJ198" i="7"/>
  <c r="AI198" i="7"/>
  <c r="AH198" i="7"/>
  <c r="AG198" i="7"/>
  <c r="Z198" i="7"/>
  <c r="AW198" i="7" s="1"/>
  <c r="L198" i="7"/>
  <c r="AL197" i="7"/>
  <c r="AK197" i="7"/>
  <c r="AJ197" i="7"/>
  <c r="AI197" i="7"/>
  <c r="AG197" i="7"/>
  <c r="Z197" i="7"/>
  <c r="AW197" i="7" s="1"/>
  <c r="L197" i="7"/>
  <c r="AY197" i="7" s="1"/>
  <c r="AL196" i="7"/>
  <c r="AK196" i="7"/>
  <c r="AJ196" i="7"/>
  <c r="AI196" i="7"/>
  <c r="AH196" i="7"/>
  <c r="AG196" i="7"/>
  <c r="Z196" i="7"/>
  <c r="AW196" i="7" s="1"/>
  <c r="L196" i="7"/>
  <c r="AL195" i="7"/>
  <c r="AK195" i="7"/>
  <c r="AJ195" i="7"/>
  <c r="AI195" i="7"/>
  <c r="AH195" i="7"/>
  <c r="AG195" i="7"/>
  <c r="Z195" i="7"/>
  <c r="AW195" i="7" s="1"/>
  <c r="L195" i="7"/>
  <c r="Y194" i="7"/>
  <c r="X194" i="7" s="1"/>
  <c r="AW194" i="7"/>
  <c r="AS193" i="7"/>
  <c r="AL193" i="7"/>
  <c r="AK193" i="7"/>
  <c r="AJ193" i="7"/>
  <c r="AI193" i="7"/>
  <c r="AH193" i="7"/>
  <c r="AG193" i="7"/>
  <c r="Z193" i="7"/>
  <c r="AW193" i="7" s="1"/>
  <c r="L193" i="7"/>
  <c r="AS192" i="7"/>
  <c r="AL192" i="7"/>
  <c r="AK192" i="7"/>
  <c r="AJ192" i="7"/>
  <c r="AI192" i="7"/>
  <c r="AH192" i="7"/>
  <c r="AG192" i="7"/>
  <c r="Z192" i="7"/>
  <c r="AW192" i="7" s="1"/>
  <c r="L192" i="7"/>
  <c r="AS191" i="7"/>
  <c r="AL191" i="7"/>
  <c r="AK191" i="7"/>
  <c r="AJ191" i="7"/>
  <c r="AI191" i="7"/>
  <c r="AH191" i="7"/>
  <c r="AG191" i="7"/>
  <c r="Z191" i="7"/>
  <c r="AW191" i="7" s="1"/>
  <c r="L191" i="7"/>
  <c r="AS190" i="7"/>
  <c r="AL190" i="7"/>
  <c r="AK190" i="7"/>
  <c r="AJ190" i="7"/>
  <c r="AI190" i="7"/>
  <c r="AH190" i="7"/>
  <c r="AG190" i="7"/>
  <c r="Z190" i="7"/>
  <c r="AW190" i="7" s="1"/>
  <c r="L190" i="7"/>
  <c r="AS189" i="7"/>
  <c r="Y189" i="7" s="1"/>
  <c r="X189" i="7" s="1"/>
  <c r="AY189" i="7"/>
  <c r="AX189" i="7"/>
  <c r="AW189" i="7"/>
  <c r="AS188" i="7"/>
  <c r="AL188" i="7"/>
  <c r="AK188" i="7"/>
  <c r="AJ188" i="7"/>
  <c r="AI188" i="7"/>
  <c r="AH188" i="7"/>
  <c r="AG188" i="7"/>
  <c r="Z188" i="7"/>
  <c r="AW188" i="7" s="1"/>
  <c r="L188" i="7"/>
  <c r="AS187" i="7"/>
  <c r="AL187" i="7"/>
  <c r="AK187" i="7"/>
  <c r="AJ187" i="7"/>
  <c r="AI187" i="7"/>
  <c r="AH187" i="7"/>
  <c r="AG187" i="7"/>
  <c r="Z187" i="7"/>
  <c r="AW187" i="7" s="1"/>
  <c r="L187" i="7"/>
  <c r="AS186" i="7"/>
  <c r="AL186" i="7"/>
  <c r="AK186" i="7"/>
  <c r="AJ186" i="7"/>
  <c r="AI186" i="7"/>
  <c r="AH186" i="7"/>
  <c r="AG186" i="7"/>
  <c r="Z186" i="7"/>
  <c r="AW186" i="7" s="1"/>
  <c r="L186" i="7"/>
  <c r="AS185" i="7"/>
  <c r="AL185" i="7"/>
  <c r="AK185" i="7"/>
  <c r="AJ185" i="7"/>
  <c r="AI185" i="7"/>
  <c r="AH185" i="7"/>
  <c r="AG185" i="7"/>
  <c r="Z185" i="7"/>
  <c r="AW185" i="7" s="1"/>
  <c r="L185" i="7"/>
  <c r="AS184" i="7"/>
  <c r="AL184" i="7"/>
  <c r="AK184" i="7"/>
  <c r="AJ184" i="7"/>
  <c r="AI184" i="7"/>
  <c r="AH184" i="7"/>
  <c r="AG184" i="7"/>
  <c r="Z184" i="7"/>
  <c r="AW184" i="7" s="1"/>
  <c r="L184" i="7"/>
  <c r="AS183" i="7"/>
  <c r="AL183" i="7"/>
  <c r="AK183" i="7"/>
  <c r="AJ183" i="7"/>
  <c r="AI183" i="7"/>
  <c r="AH183" i="7"/>
  <c r="AG183" i="7"/>
  <c r="Z183" i="7"/>
  <c r="AW183" i="7" s="1"/>
  <c r="L183" i="7"/>
  <c r="AS182" i="7"/>
  <c r="AL182" i="7"/>
  <c r="AK182" i="7"/>
  <c r="AJ182" i="7"/>
  <c r="AI182" i="7"/>
  <c r="AH182" i="7"/>
  <c r="AG182" i="7"/>
  <c r="Z182" i="7"/>
  <c r="AW182" i="7" s="1"/>
  <c r="L182" i="7"/>
  <c r="AS181" i="7"/>
  <c r="AL181" i="7"/>
  <c r="AK181" i="7"/>
  <c r="AJ181" i="7"/>
  <c r="AI181" i="7"/>
  <c r="AH181" i="7"/>
  <c r="AG181" i="7"/>
  <c r="Z181" i="7"/>
  <c r="AW181" i="7" s="1"/>
  <c r="L181" i="7"/>
  <c r="AS180" i="7"/>
  <c r="AL180" i="7"/>
  <c r="AK180" i="7"/>
  <c r="AJ180" i="7"/>
  <c r="AI180" i="7"/>
  <c r="AH180" i="7"/>
  <c r="AG180" i="7"/>
  <c r="Z180" i="7"/>
  <c r="AW180" i="7" s="1"/>
  <c r="L180" i="7"/>
  <c r="AS179" i="7"/>
  <c r="AL179" i="7"/>
  <c r="AK179" i="7"/>
  <c r="AJ179" i="7"/>
  <c r="AI179" i="7"/>
  <c r="AH179" i="7"/>
  <c r="AG179" i="7"/>
  <c r="Z179" i="7"/>
  <c r="AW179" i="7" s="1"/>
  <c r="L179" i="7"/>
  <c r="AS178" i="7"/>
  <c r="AL178" i="7"/>
  <c r="AK178" i="7"/>
  <c r="AJ178" i="7"/>
  <c r="AI178" i="7"/>
  <c r="AH178" i="7"/>
  <c r="AG178" i="7"/>
  <c r="Z178" i="7"/>
  <c r="AW178" i="7" s="1"/>
  <c r="L178" i="7"/>
  <c r="AS177" i="7"/>
  <c r="AL177" i="7"/>
  <c r="AK177" i="7"/>
  <c r="AJ177" i="7"/>
  <c r="AI177" i="7"/>
  <c r="AH177" i="7"/>
  <c r="AG177" i="7"/>
  <c r="Z177" i="7"/>
  <c r="AW177" i="7" s="1"/>
  <c r="L177" i="7"/>
  <c r="AS176" i="7"/>
  <c r="AL176" i="7"/>
  <c r="AK176" i="7"/>
  <c r="AJ176" i="7"/>
  <c r="AI176" i="7"/>
  <c r="AH176" i="7"/>
  <c r="AG176" i="7"/>
  <c r="Z176" i="7"/>
  <c r="AW176" i="7" s="1"/>
  <c r="L176" i="7"/>
  <c r="AS175" i="7"/>
  <c r="AL175" i="7"/>
  <c r="AK175" i="7"/>
  <c r="AJ175" i="7"/>
  <c r="AI175" i="7"/>
  <c r="AH175" i="7"/>
  <c r="AG175" i="7"/>
  <c r="Z175" i="7"/>
  <c r="AW175" i="7" s="1"/>
  <c r="L175" i="7"/>
  <c r="AS174" i="7"/>
  <c r="AL174" i="7"/>
  <c r="AK174" i="7"/>
  <c r="AJ174" i="7"/>
  <c r="AI174" i="7"/>
  <c r="AH174" i="7"/>
  <c r="AG174" i="7"/>
  <c r="Z174" i="7"/>
  <c r="AW174" i="7" s="1"/>
  <c r="L174" i="7"/>
  <c r="AS173" i="7"/>
  <c r="AL173" i="7"/>
  <c r="AK173" i="7"/>
  <c r="AJ173" i="7"/>
  <c r="AI173" i="7"/>
  <c r="AH173" i="7"/>
  <c r="AG173" i="7"/>
  <c r="Z173" i="7"/>
  <c r="AW173" i="7" s="1"/>
  <c r="L173" i="7"/>
  <c r="AS172" i="7"/>
  <c r="AL172" i="7"/>
  <c r="AK172" i="7"/>
  <c r="AJ172" i="7"/>
  <c r="AI172" i="7"/>
  <c r="AH172" i="7"/>
  <c r="AG172" i="7"/>
  <c r="Z172" i="7"/>
  <c r="AW172" i="7" s="1"/>
  <c r="L172" i="7"/>
  <c r="AS171" i="7"/>
  <c r="AL171" i="7"/>
  <c r="AK171" i="7"/>
  <c r="AJ171" i="7"/>
  <c r="AI171" i="7"/>
  <c r="AH171" i="7"/>
  <c r="AG171" i="7"/>
  <c r="Z171" i="7"/>
  <c r="AW171" i="7" s="1"/>
  <c r="L171" i="7"/>
  <c r="AS170" i="7"/>
  <c r="AL170" i="7"/>
  <c r="AK170" i="7"/>
  <c r="AJ170" i="7"/>
  <c r="AI170" i="7"/>
  <c r="AH170" i="7"/>
  <c r="AG170" i="7"/>
  <c r="Z170" i="7"/>
  <c r="AW170" i="7" s="1"/>
  <c r="L170" i="7"/>
  <c r="AS169" i="7"/>
  <c r="AL169" i="7"/>
  <c r="AK169" i="7"/>
  <c r="AJ169" i="7"/>
  <c r="AI169" i="7"/>
  <c r="AH169" i="7"/>
  <c r="AG169" i="7"/>
  <c r="Z169" i="7"/>
  <c r="AW169" i="7" s="1"/>
  <c r="L169" i="7"/>
  <c r="AS168" i="7"/>
  <c r="AL168" i="7"/>
  <c r="AK168" i="7"/>
  <c r="AJ168" i="7"/>
  <c r="AI168" i="7"/>
  <c r="AH168" i="7"/>
  <c r="AG168" i="7"/>
  <c r="Z168" i="7"/>
  <c r="AW168" i="7" s="1"/>
  <c r="L168" i="7"/>
  <c r="AS167" i="7"/>
  <c r="AL167" i="7"/>
  <c r="AK167" i="7"/>
  <c r="AJ167" i="7"/>
  <c r="AI167" i="7"/>
  <c r="AH167" i="7"/>
  <c r="AG167" i="7"/>
  <c r="Z167" i="7"/>
  <c r="AW167" i="7" s="1"/>
  <c r="L167" i="7"/>
  <c r="AS166" i="7"/>
  <c r="AL166" i="7"/>
  <c r="AK166" i="7"/>
  <c r="AJ166" i="7"/>
  <c r="AI166" i="7"/>
  <c r="AH166" i="7"/>
  <c r="AG166" i="7"/>
  <c r="Z166" i="7"/>
  <c r="AW166" i="7" s="1"/>
  <c r="L166" i="7"/>
  <c r="AS165" i="7"/>
  <c r="AL165" i="7"/>
  <c r="AK165" i="7"/>
  <c r="AJ165" i="7"/>
  <c r="AI165" i="7"/>
  <c r="AH165" i="7"/>
  <c r="AG165" i="7"/>
  <c r="Z165" i="7"/>
  <c r="AW165" i="7" s="1"/>
  <c r="L165" i="7"/>
  <c r="AS164" i="7"/>
  <c r="AL164" i="7"/>
  <c r="AK164" i="7"/>
  <c r="AJ164" i="7"/>
  <c r="AI164" i="7"/>
  <c r="AH164" i="7"/>
  <c r="AG164" i="7"/>
  <c r="Z164" i="7"/>
  <c r="AW164" i="7" s="1"/>
  <c r="L164" i="7"/>
  <c r="AS163" i="7"/>
  <c r="AL163" i="7"/>
  <c r="AK163" i="7"/>
  <c r="AJ163" i="7"/>
  <c r="AI163" i="7"/>
  <c r="AH163" i="7"/>
  <c r="AG163" i="7"/>
  <c r="Z163" i="7"/>
  <c r="AW163" i="7" s="1"/>
  <c r="L163" i="7"/>
  <c r="AS162" i="7"/>
  <c r="AL162" i="7"/>
  <c r="AK162" i="7"/>
  <c r="AJ162" i="7"/>
  <c r="AI162" i="7"/>
  <c r="AH162" i="7"/>
  <c r="AG162" i="7"/>
  <c r="Z162" i="7"/>
  <c r="AW162" i="7" s="1"/>
  <c r="L162" i="7"/>
  <c r="AS161" i="7"/>
  <c r="AL161" i="7"/>
  <c r="AK161" i="7"/>
  <c r="AJ161" i="7"/>
  <c r="AI161" i="7"/>
  <c r="AH161" i="7"/>
  <c r="AG161" i="7"/>
  <c r="Z161" i="7"/>
  <c r="AW161" i="7" s="1"/>
  <c r="L161" i="7"/>
  <c r="AS160" i="7"/>
  <c r="AL160" i="7"/>
  <c r="AK160" i="7"/>
  <c r="AJ160" i="7"/>
  <c r="AI160" i="7"/>
  <c r="AH160" i="7"/>
  <c r="AG160" i="7"/>
  <c r="Z160" i="7"/>
  <c r="AW160" i="7" s="1"/>
  <c r="L160" i="7"/>
  <c r="AS159" i="7"/>
  <c r="AL159" i="7"/>
  <c r="AK159" i="7"/>
  <c r="AJ159" i="7"/>
  <c r="AI159" i="7"/>
  <c r="AH159" i="7"/>
  <c r="AG159" i="7"/>
  <c r="Z159" i="7"/>
  <c r="AW159" i="7" s="1"/>
  <c r="L159" i="7"/>
  <c r="AS158" i="7"/>
  <c r="AL158" i="7"/>
  <c r="AK158" i="7"/>
  <c r="AJ158" i="7"/>
  <c r="AI158" i="7"/>
  <c r="AH158" i="7"/>
  <c r="AG158" i="7"/>
  <c r="Z158" i="7"/>
  <c r="AW158" i="7" s="1"/>
  <c r="L158" i="7"/>
  <c r="AS157" i="7"/>
  <c r="AL157" i="7"/>
  <c r="AK157" i="7"/>
  <c r="AJ157" i="7"/>
  <c r="AI157" i="7"/>
  <c r="AH157" i="7"/>
  <c r="AG157" i="7"/>
  <c r="Z157" i="7"/>
  <c r="AW157" i="7" s="1"/>
  <c r="L157" i="7"/>
  <c r="AS156" i="7"/>
  <c r="AL156" i="7"/>
  <c r="AK156" i="7"/>
  <c r="AJ156" i="7"/>
  <c r="AI156" i="7"/>
  <c r="AH156" i="7"/>
  <c r="AG156" i="7"/>
  <c r="Z156" i="7"/>
  <c r="AW156" i="7" s="1"/>
  <c r="L156" i="7"/>
  <c r="AS155" i="7"/>
  <c r="AL155" i="7"/>
  <c r="AK155" i="7"/>
  <c r="AJ155" i="7"/>
  <c r="AI155" i="7"/>
  <c r="AH155" i="7"/>
  <c r="AG155" i="7"/>
  <c r="Z155" i="7"/>
  <c r="AW155" i="7" s="1"/>
  <c r="L155" i="7"/>
  <c r="AS154" i="7"/>
  <c r="AL154" i="7"/>
  <c r="AK154" i="7"/>
  <c r="AJ154" i="7"/>
  <c r="AI154" i="7"/>
  <c r="AH154" i="7"/>
  <c r="AG154" i="7"/>
  <c r="Z154" i="7"/>
  <c r="AW154" i="7" s="1"/>
  <c r="L154" i="7"/>
  <c r="AS153" i="7"/>
  <c r="AL153" i="7"/>
  <c r="AK153" i="7"/>
  <c r="AJ153" i="7"/>
  <c r="AI153" i="7"/>
  <c r="AH153" i="7"/>
  <c r="AG153" i="7"/>
  <c r="Z153" i="7"/>
  <c r="AW153" i="7" s="1"/>
  <c r="L153" i="7"/>
  <c r="AS152" i="7"/>
  <c r="AL152" i="7"/>
  <c r="AK152" i="7"/>
  <c r="AJ152" i="7"/>
  <c r="AI152" i="7"/>
  <c r="AH152" i="7"/>
  <c r="AG152" i="7"/>
  <c r="Z152" i="7"/>
  <c r="AW152" i="7" s="1"/>
  <c r="L152" i="7"/>
  <c r="AS151" i="7"/>
  <c r="AL151" i="7"/>
  <c r="AK151" i="7"/>
  <c r="AJ151" i="7"/>
  <c r="AI151" i="7"/>
  <c r="AH151" i="7"/>
  <c r="AG151" i="7"/>
  <c r="Z151" i="7"/>
  <c r="AW151" i="7" s="1"/>
  <c r="L151" i="7"/>
  <c r="AS150" i="7"/>
  <c r="AL150" i="7"/>
  <c r="AK150" i="7"/>
  <c r="AJ150" i="7"/>
  <c r="AI150" i="7"/>
  <c r="AH150" i="7"/>
  <c r="AG150" i="7"/>
  <c r="Z150" i="7"/>
  <c r="AW150" i="7" s="1"/>
  <c r="L150" i="7"/>
  <c r="AS149" i="7"/>
  <c r="AL149" i="7"/>
  <c r="AK149" i="7"/>
  <c r="AJ149" i="7"/>
  <c r="AI149" i="7"/>
  <c r="AH149" i="7"/>
  <c r="AG149" i="7"/>
  <c r="Z149" i="7"/>
  <c r="AW149" i="7" s="1"/>
  <c r="L149" i="7"/>
  <c r="AS148" i="7"/>
  <c r="AL148" i="7"/>
  <c r="AK148" i="7"/>
  <c r="AJ148" i="7"/>
  <c r="AI148" i="7"/>
  <c r="AH148" i="7"/>
  <c r="AG148" i="7"/>
  <c r="Z148" i="7"/>
  <c r="AW148" i="7" s="1"/>
  <c r="L148" i="7"/>
  <c r="AS147" i="7"/>
  <c r="AL147" i="7"/>
  <c r="AK147" i="7"/>
  <c r="AJ147" i="7"/>
  <c r="AI147" i="7"/>
  <c r="AH147" i="7"/>
  <c r="AG147" i="7"/>
  <c r="Z147" i="7"/>
  <c r="AW147" i="7" s="1"/>
  <c r="L147" i="7"/>
  <c r="AS146" i="7"/>
  <c r="AL146" i="7"/>
  <c r="AK146" i="7"/>
  <c r="AJ146" i="7"/>
  <c r="AI146" i="7"/>
  <c r="AH146" i="7"/>
  <c r="AG146" i="7"/>
  <c r="Z146" i="7"/>
  <c r="AW146" i="7" s="1"/>
  <c r="L146" i="7"/>
  <c r="AS145" i="7"/>
  <c r="AL145" i="7"/>
  <c r="AK145" i="7"/>
  <c r="AJ145" i="7"/>
  <c r="AI145" i="7"/>
  <c r="AH145" i="7"/>
  <c r="AG145" i="7"/>
  <c r="Z145" i="7"/>
  <c r="AW145" i="7" s="1"/>
  <c r="L145" i="7"/>
  <c r="AS144" i="7"/>
  <c r="AL144" i="7"/>
  <c r="AK144" i="7"/>
  <c r="AJ144" i="7"/>
  <c r="AI144" i="7"/>
  <c r="AH144" i="7"/>
  <c r="AG144" i="7"/>
  <c r="Z144" i="7"/>
  <c r="AW144" i="7" s="1"/>
  <c r="L144" i="7"/>
  <c r="AS143" i="7"/>
  <c r="AL143" i="7"/>
  <c r="AK143" i="7"/>
  <c r="AJ143" i="7"/>
  <c r="AI143" i="7"/>
  <c r="AH143" i="7"/>
  <c r="AG143" i="7"/>
  <c r="Z143" i="7"/>
  <c r="AW143" i="7" s="1"/>
  <c r="L143" i="7"/>
  <c r="AS142" i="7"/>
  <c r="AL142" i="7"/>
  <c r="AK142" i="7"/>
  <c r="AJ142" i="7"/>
  <c r="AI142" i="7"/>
  <c r="AH142" i="7"/>
  <c r="AG142" i="7"/>
  <c r="Z142" i="7"/>
  <c r="AW142" i="7" s="1"/>
  <c r="L142" i="7"/>
  <c r="AS141" i="7"/>
  <c r="AL141" i="7"/>
  <c r="AK141" i="7"/>
  <c r="AJ141" i="7"/>
  <c r="AI141" i="7"/>
  <c r="AH141" i="7"/>
  <c r="AG141" i="7"/>
  <c r="Z141" i="7"/>
  <c r="AW141" i="7" s="1"/>
  <c r="L141" i="7"/>
  <c r="AS140" i="7"/>
  <c r="AL140" i="7"/>
  <c r="AK140" i="7"/>
  <c r="AJ140" i="7"/>
  <c r="AI140" i="7"/>
  <c r="AH140" i="7"/>
  <c r="AG140" i="7"/>
  <c r="Z140" i="7"/>
  <c r="AW140" i="7" s="1"/>
  <c r="L140" i="7"/>
  <c r="AS139" i="7"/>
  <c r="AL139" i="7"/>
  <c r="AK139" i="7"/>
  <c r="AJ139" i="7"/>
  <c r="AI139" i="7"/>
  <c r="AH139" i="7"/>
  <c r="AG139" i="7"/>
  <c r="Z139" i="7"/>
  <c r="AW139" i="7" s="1"/>
  <c r="L139" i="7"/>
  <c r="AS138" i="7"/>
  <c r="AL138" i="7"/>
  <c r="AK138" i="7"/>
  <c r="AJ138" i="7"/>
  <c r="AI138" i="7"/>
  <c r="AH138" i="7"/>
  <c r="AG138" i="7"/>
  <c r="Z138" i="7"/>
  <c r="AW138" i="7" s="1"/>
  <c r="L138" i="7"/>
  <c r="AS137" i="7"/>
  <c r="AL137" i="7"/>
  <c r="AK137" i="7"/>
  <c r="AJ137" i="7"/>
  <c r="AI137" i="7"/>
  <c r="AH137" i="7"/>
  <c r="AG137" i="7"/>
  <c r="Z137" i="7"/>
  <c r="AW137" i="7" s="1"/>
  <c r="L137" i="7"/>
  <c r="AS136" i="7"/>
  <c r="AL136" i="7"/>
  <c r="AK136" i="7"/>
  <c r="AJ136" i="7"/>
  <c r="AI136" i="7"/>
  <c r="AH136" i="7"/>
  <c r="AG136" i="7"/>
  <c r="Z136" i="7"/>
  <c r="AW136" i="7" s="1"/>
  <c r="L136" i="7"/>
  <c r="AS135" i="7"/>
  <c r="AL135" i="7"/>
  <c r="AK135" i="7"/>
  <c r="AJ135" i="7"/>
  <c r="AI135" i="7"/>
  <c r="AH135" i="7"/>
  <c r="AG135" i="7"/>
  <c r="Z135" i="7"/>
  <c r="AW135" i="7" s="1"/>
  <c r="L135" i="7"/>
  <c r="AS134" i="7"/>
  <c r="AL134" i="7"/>
  <c r="AK134" i="7"/>
  <c r="AJ134" i="7"/>
  <c r="AI134" i="7"/>
  <c r="AH134" i="7"/>
  <c r="AG134" i="7"/>
  <c r="Z134" i="7"/>
  <c r="AW134" i="7" s="1"/>
  <c r="L134" i="7"/>
  <c r="AS133" i="7"/>
  <c r="AL133" i="7"/>
  <c r="AK133" i="7"/>
  <c r="AJ133" i="7"/>
  <c r="AI133" i="7"/>
  <c r="AH133" i="7"/>
  <c r="AG133" i="7"/>
  <c r="Z133" i="7"/>
  <c r="AW133" i="7" s="1"/>
  <c r="L133" i="7"/>
  <c r="AS132" i="7"/>
  <c r="AL132" i="7"/>
  <c r="AK132" i="7"/>
  <c r="AJ132" i="7"/>
  <c r="AI132" i="7"/>
  <c r="AH132" i="7"/>
  <c r="AG132" i="7"/>
  <c r="Z132" i="7"/>
  <c r="AW132" i="7" s="1"/>
  <c r="L132" i="7"/>
  <c r="AS131" i="7"/>
  <c r="AL131" i="7"/>
  <c r="AK131" i="7"/>
  <c r="AJ131" i="7"/>
  <c r="AI131" i="7"/>
  <c r="AH131" i="7"/>
  <c r="AG131" i="7"/>
  <c r="Z131" i="7"/>
  <c r="AW131" i="7" s="1"/>
  <c r="L131" i="7"/>
  <c r="AS130" i="7"/>
  <c r="AL130" i="7"/>
  <c r="AK130" i="7"/>
  <c r="AJ130" i="7"/>
  <c r="AI130" i="7"/>
  <c r="AH130" i="7"/>
  <c r="AG130" i="7"/>
  <c r="Z130" i="7"/>
  <c r="AW130" i="7" s="1"/>
  <c r="L130" i="7"/>
  <c r="AS129" i="7"/>
  <c r="AL129" i="7"/>
  <c r="AK129" i="7"/>
  <c r="AJ129" i="7"/>
  <c r="AI129" i="7"/>
  <c r="AH129" i="7"/>
  <c r="AG129" i="7"/>
  <c r="Z129" i="7"/>
  <c r="AW129" i="7" s="1"/>
  <c r="L129" i="7"/>
  <c r="AS128" i="7"/>
  <c r="AL128" i="7"/>
  <c r="AK128" i="7"/>
  <c r="AJ128" i="7"/>
  <c r="AI128" i="7"/>
  <c r="AH128" i="7"/>
  <c r="AG128" i="7"/>
  <c r="Z128" i="7"/>
  <c r="AW128" i="7" s="1"/>
  <c r="L128" i="7"/>
  <c r="AS127" i="7"/>
  <c r="AL127" i="7"/>
  <c r="AK127" i="7"/>
  <c r="AJ127" i="7"/>
  <c r="AI127" i="7"/>
  <c r="AH127" i="7"/>
  <c r="AG127" i="7"/>
  <c r="Z127" i="7"/>
  <c r="AW127" i="7" s="1"/>
  <c r="L127" i="7"/>
  <c r="AS126" i="7"/>
  <c r="AL126" i="7"/>
  <c r="AK126" i="7"/>
  <c r="AJ126" i="7"/>
  <c r="AI126" i="7"/>
  <c r="AH126" i="7"/>
  <c r="AG126" i="7"/>
  <c r="Z126" i="7"/>
  <c r="AW126" i="7" s="1"/>
  <c r="L126" i="7"/>
  <c r="AS125" i="7"/>
  <c r="AL125" i="7"/>
  <c r="AK125" i="7"/>
  <c r="AJ125" i="7"/>
  <c r="AI125" i="7"/>
  <c r="AH125" i="7"/>
  <c r="AG125" i="7"/>
  <c r="Z125" i="7"/>
  <c r="AW125" i="7" s="1"/>
  <c r="L125" i="7"/>
  <c r="AS124" i="7"/>
  <c r="AL124" i="7"/>
  <c r="AK124" i="7"/>
  <c r="AJ124" i="7"/>
  <c r="AI124" i="7"/>
  <c r="AH124" i="7"/>
  <c r="AG124" i="7"/>
  <c r="Z124" i="7"/>
  <c r="AW124" i="7" s="1"/>
  <c r="L124" i="7"/>
  <c r="AS123" i="7"/>
  <c r="AL123" i="7"/>
  <c r="AK123" i="7"/>
  <c r="AJ123" i="7"/>
  <c r="AI123" i="7"/>
  <c r="AH123" i="7"/>
  <c r="AG123" i="7"/>
  <c r="Z123" i="7"/>
  <c r="AW123" i="7" s="1"/>
  <c r="L123" i="7"/>
  <c r="AS122" i="7"/>
  <c r="AL122" i="7"/>
  <c r="AK122" i="7"/>
  <c r="AJ122" i="7"/>
  <c r="AI122" i="7"/>
  <c r="AH122" i="7"/>
  <c r="AG122" i="7"/>
  <c r="Z122" i="7"/>
  <c r="AW122" i="7" s="1"/>
  <c r="L122" i="7"/>
  <c r="AS121" i="7"/>
  <c r="AL121" i="7"/>
  <c r="AK121" i="7"/>
  <c r="AJ121" i="7"/>
  <c r="AI121" i="7"/>
  <c r="AH121" i="7"/>
  <c r="AG121" i="7"/>
  <c r="Z121" i="7"/>
  <c r="AW121" i="7" s="1"/>
  <c r="L121" i="7"/>
  <c r="AS120" i="7"/>
  <c r="AL120" i="7"/>
  <c r="AK120" i="7"/>
  <c r="AJ120" i="7"/>
  <c r="AI120" i="7"/>
  <c r="AH120" i="7"/>
  <c r="AG120" i="7"/>
  <c r="Z120" i="7"/>
  <c r="AW120" i="7" s="1"/>
  <c r="L120" i="7"/>
  <c r="AS119" i="7"/>
  <c r="Y119" i="7" s="1"/>
  <c r="X119" i="7" s="1"/>
  <c r="AW119" i="7"/>
  <c r="AS118" i="7"/>
  <c r="AL118" i="7"/>
  <c r="AK118" i="7"/>
  <c r="AJ118" i="7"/>
  <c r="AI118" i="7"/>
  <c r="AH118" i="7"/>
  <c r="AG118" i="7"/>
  <c r="Z118" i="7"/>
  <c r="AW118" i="7" s="1"/>
  <c r="L118" i="7"/>
  <c r="AS117" i="7"/>
  <c r="AL117" i="7"/>
  <c r="AK117" i="7"/>
  <c r="AJ117" i="7"/>
  <c r="AI117" i="7"/>
  <c r="AH117" i="7"/>
  <c r="AG117" i="7"/>
  <c r="Z117" i="7"/>
  <c r="AW117" i="7" s="1"/>
  <c r="L117" i="7"/>
  <c r="AS116" i="7"/>
  <c r="AL116" i="7"/>
  <c r="AK116" i="7"/>
  <c r="AJ116" i="7"/>
  <c r="AI116" i="7"/>
  <c r="AH116" i="7"/>
  <c r="AG116" i="7"/>
  <c r="Z116" i="7"/>
  <c r="AW116" i="7" s="1"/>
  <c r="L116" i="7"/>
  <c r="AS115" i="7"/>
  <c r="AL115" i="7"/>
  <c r="AK115" i="7"/>
  <c r="AJ115" i="7"/>
  <c r="AI115" i="7"/>
  <c r="AH115" i="7"/>
  <c r="AG115" i="7"/>
  <c r="Z115" i="7"/>
  <c r="AW115" i="7" s="1"/>
  <c r="L115" i="7"/>
  <c r="AS114" i="7"/>
  <c r="AL114" i="7"/>
  <c r="AK114" i="7"/>
  <c r="AJ114" i="7"/>
  <c r="AI114" i="7"/>
  <c r="AH114" i="7"/>
  <c r="AG114" i="7"/>
  <c r="Z114" i="7"/>
  <c r="AW114" i="7" s="1"/>
  <c r="L114" i="7"/>
  <c r="AS113" i="7"/>
  <c r="Y113" i="7" s="1"/>
  <c r="AL113" i="7"/>
  <c r="AK113" i="7"/>
  <c r="AJ113" i="7"/>
  <c r="AI113" i="7"/>
  <c r="AH113" i="7"/>
  <c r="AG113" i="7"/>
  <c r="L113" i="7"/>
  <c r="AS112" i="7"/>
  <c r="AL112" i="7"/>
  <c r="AK112" i="7"/>
  <c r="AJ112" i="7"/>
  <c r="AI112" i="7"/>
  <c r="AH112" i="7"/>
  <c r="AG112" i="7"/>
  <c r="Z112" i="7"/>
  <c r="AW112" i="7" s="1"/>
  <c r="L112" i="7"/>
  <c r="AS111" i="7"/>
  <c r="AL111" i="7"/>
  <c r="AK111" i="7"/>
  <c r="AJ111" i="7"/>
  <c r="AI111" i="7"/>
  <c r="AH111" i="7"/>
  <c r="AG111" i="7"/>
  <c r="Z111" i="7"/>
  <c r="AW111" i="7" s="1"/>
  <c r="L111" i="7"/>
  <c r="AS102" i="7"/>
  <c r="AL102" i="7"/>
  <c r="AK102" i="7"/>
  <c r="AJ102" i="7"/>
  <c r="AI102" i="7"/>
  <c r="AH102" i="7"/>
  <c r="AG102" i="7"/>
  <c r="Z102" i="7"/>
  <c r="AW102" i="7" s="1"/>
  <c r="L102" i="7"/>
  <c r="AS101" i="7"/>
  <c r="AL101" i="7"/>
  <c r="AK101" i="7"/>
  <c r="AJ101" i="7"/>
  <c r="AI101" i="7"/>
  <c r="AH101" i="7"/>
  <c r="AG101" i="7"/>
  <c r="Z101" i="7"/>
  <c r="AW101" i="7" s="1"/>
  <c r="L101" i="7"/>
  <c r="AS100" i="7"/>
  <c r="AL100" i="7"/>
  <c r="AK100" i="7"/>
  <c r="AJ100" i="7"/>
  <c r="AI100" i="7"/>
  <c r="AH100" i="7"/>
  <c r="AG100" i="7"/>
  <c r="Z100" i="7"/>
  <c r="AW100" i="7" s="1"/>
  <c r="L100" i="7"/>
  <c r="AS99" i="7"/>
  <c r="AL99" i="7"/>
  <c r="AK99" i="7"/>
  <c r="AJ99" i="7"/>
  <c r="AI99" i="7"/>
  <c r="AH99" i="7"/>
  <c r="AG99" i="7"/>
  <c r="Z99" i="7"/>
  <c r="AW99" i="7" s="1"/>
  <c r="L99" i="7"/>
  <c r="AS98" i="7"/>
  <c r="AL98" i="7"/>
  <c r="AK98" i="7"/>
  <c r="AJ98" i="7"/>
  <c r="AI98" i="7"/>
  <c r="AH98" i="7"/>
  <c r="AG98" i="7"/>
  <c r="Z98" i="7"/>
  <c r="AW98" i="7" s="1"/>
  <c r="L98" i="7"/>
  <c r="AS97" i="7"/>
  <c r="AL97" i="7"/>
  <c r="AK97" i="7"/>
  <c r="AJ97" i="7"/>
  <c r="AI97" i="7"/>
  <c r="AH97" i="7"/>
  <c r="AG97" i="7"/>
  <c r="Z97" i="7"/>
  <c r="AW97" i="7" s="1"/>
  <c r="L97" i="7"/>
  <c r="AS96" i="7"/>
  <c r="AL96" i="7"/>
  <c r="AK96" i="7"/>
  <c r="AJ96" i="7"/>
  <c r="AI96" i="7"/>
  <c r="AH96" i="7"/>
  <c r="AG96" i="7"/>
  <c r="Z96" i="7"/>
  <c r="AW96" i="7" s="1"/>
  <c r="L96" i="7"/>
  <c r="AS95" i="7"/>
  <c r="AL95" i="7"/>
  <c r="AK95" i="7"/>
  <c r="AJ95" i="7"/>
  <c r="AI95" i="7"/>
  <c r="AH95" i="7"/>
  <c r="AG95" i="7"/>
  <c r="Z95" i="7"/>
  <c r="AW95" i="7" s="1"/>
  <c r="L95" i="7"/>
  <c r="AS94" i="7"/>
  <c r="AL94" i="7"/>
  <c r="AK94" i="7"/>
  <c r="AJ94" i="7"/>
  <c r="AI94" i="7"/>
  <c r="AH94" i="7"/>
  <c r="AG94" i="7"/>
  <c r="Z94" i="7"/>
  <c r="AW94" i="7" s="1"/>
  <c r="L94" i="7"/>
  <c r="AS93" i="7"/>
  <c r="AL93" i="7"/>
  <c r="AK93" i="7"/>
  <c r="AJ93" i="7"/>
  <c r="AI93" i="7"/>
  <c r="AH93" i="7"/>
  <c r="AG93" i="7"/>
  <c r="Z93" i="7"/>
  <c r="AW93" i="7" s="1"/>
  <c r="L93" i="7"/>
  <c r="AS92" i="7"/>
  <c r="AL92" i="7"/>
  <c r="AK92" i="7"/>
  <c r="AJ92" i="7"/>
  <c r="AI92" i="7"/>
  <c r="AH92" i="7"/>
  <c r="AG92" i="7"/>
  <c r="Z92" i="7"/>
  <c r="AW92" i="7" s="1"/>
  <c r="L92" i="7"/>
  <c r="AS91" i="7"/>
  <c r="AL91" i="7"/>
  <c r="AK91" i="7"/>
  <c r="AJ91" i="7"/>
  <c r="AI91" i="7"/>
  <c r="AH91" i="7"/>
  <c r="AG91" i="7"/>
  <c r="Z91" i="7"/>
  <c r="AW91" i="7" s="1"/>
  <c r="L91" i="7"/>
  <c r="AS90" i="7"/>
  <c r="AL90" i="7"/>
  <c r="AK90" i="7"/>
  <c r="AJ90" i="7"/>
  <c r="AI90" i="7"/>
  <c r="AH90" i="7"/>
  <c r="AG90" i="7"/>
  <c r="Z90" i="7"/>
  <c r="AW90" i="7" s="1"/>
  <c r="L90" i="7"/>
  <c r="AS89" i="7"/>
  <c r="AL89" i="7"/>
  <c r="AK89" i="7"/>
  <c r="AJ89" i="7"/>
  <c r="AI89" i="7"/>
  <c r="AH89" i="7"/>
  <c r="AG89" i="7"/>
  <c r="Z89" i="7"/>
  <c r="AW89" i="7" s="1"/>
  <c r="L89" i="7"/>
  <c r="AS88" i="7"/>
  <c r="AL88" i="7"/>
  <c r="AK88" i="7"/>
  <c r="AJ88" i="7"/>
  <c r="AI88" i="7"/>
  <c r="AH88" i="7"/>
  <c r="AG88" i="7"/>
  <c r="Z88" i="7"/>
  <c r="AW88" i="7" s="1"/>
  <c r="L88" i="7"/>
  <c r="AS87" i="7"/>
  <c r="AL87" i="7"/>
  <c r="AK87" i="7"/>
  <c r="AJ87" i="7"/>
  <c r="AI87" i="7"/>
  <c r="AH87" i="7"/>
  <c r="AG87" i="7"/>
  <c r="Z87" i="7"/>
  <c r="AW87" i="7" s="1"/>
  <c r="L87" i="7"/>
  <c r="AS86" i="7"/>
  <c r="AL86" i="7"/>
  <c r="AK86" i="7"/>
  <c r="AJ86" i="7"/>
  <c r="AI86" i="7"/>
  <c r="AH86" i="7"/>
  <c r="AG86" i="7"/>
  <c r="Z86" i="7"/>
  <c r="AW86" i="7" s="1"/>
  <c r="L86" i="7"/>
  <c r="AS85" i="7"/>
  <c r="AL85" i="7"/>
  <c r="AK85" i="7"/>
  <c r="AJ85" i="7"/>
  <c r="AI85" i="7"/>
  <c r="AH85" i="7"/>
  <c r="AG85" i="7"/>
  <c r="Z85" i="7"/>
  <c r="AW85" i="7" s="1"/>
  <c r="L85" i="7"/>
  <c r="AS84" i="7"/>
  <c r="AL84" i="7"/>
  <c r="AK84" i="7"/>
  <c r="AJ84" i="7"/>
  <c r="AI84" i="7"/>
  <c r="AH84" i="7"/>
  <c r="AG84" i="7"/>
  <c r="Z84" i="7"/>
  <c r="AW84" i="7" s="1"/>
  <c r="L84" i="7"/>
  <c r="AS83" i="7"/>
  <c r="AL83" i="7"/>
  <c r="AK83" i="7"/>
  <c r="AJ83" i="7"/>
  <c r="AI83" i="7"/>
  <c r="AH83" i="7"/>
  <c r="AG83" i="7"/>
  <c r="Z83" i="7"/>
  <c r="AW83" i="7" s="1"/>
  <c r="L83" i="7"/>
  <c r="AS82" i="7"/>
  <c r="AL82" i="7"/>
  <c r="AK82" i="7"/>
  <c r="AJ82" i="7"/>
  <c r="AI82" i="7"/>
  <c r="AH82" i="7"/>
  <c r="AG82" i="7"/>
  <c r="Z82" i="7"/>
  <c r="AW82" i="7" s="1"/>
  <c r="L82" i="7"/>
  <c r="AS81" i="7"/>
  <c r="AL81" i="7"/>
  <c r="AK81" i="7"/>
  <c r="AJ81" i="7"/>
  <c r="AI81" i="7"/>
  <c r="AH81" i="7"/>
  <c r="AG81" i="7"/>
  <c r="Z81" i="7"/>
  <c r="AW81" i="7" s="1"/>
  <c r="L81" i="7"/>
  <c r="AS80" i="7"/>
  <c r="AL80" i="7"/>
  <c r="AK80" i="7"/>
  <c r="AJ80" i="7"/>
  <c r="AI80" i="7"/>
  <c r="AH80" i="7"/>
  <c r="AG80" i="7"/>
  <c r="Z80" i="7"/>
  <c r="AW80" i="7" s="1"/>
  <c r="L80" i="7"/>
  <c r="AS79" i="7"/>
  <c r="AL79" i="7"/>
  <c r="AK79" i="7"/>
  <c r="AJ79" i="7"/>
  <c r="AI79" i="7"/>
  <c r="AH79" i="7"/>
  <c r="AG79" i="7"/>
  <c r="Z79" i="7"/>
  <c r="AW79" i="7" s="1"/>
  <c r="L79" i="7"/>
  <c r="AS78" i="7"/>
  <c r="AL78" i="7"/>
  <c r="AK78" i="7"/>
  <c r="AJ78" i="7"/>
  <c r="AI78" i="7"/>
  <c r="AH78" i="7"/>
  <c r="AG78" i="7"/>
  <c r="Z78" i="7"/>
  <c r="AW78" i="7" s="1"/>
  <c r="L78" i="7"/>
  <c r="AS77" i="7"/>
  <c r="AL77" i="7"/>
  <c r="AK77" i="7"/>
  <c r="AJ77" i="7"/>
  <c r="AI77" i="7"/>
  <c r="AH77" i="7"/>
  <c r="AG77" i="7"/>
  <c r="Z77" i="7"/>
  <c r="AW77" i="7" s="1"/>
  <c r="L77" i="7"/>
  <c r="AS76" i="7"/>
  <c r="AL76" i="7"/>
  <c r="AK76" i="7"/>
  <c r="AJ76" i="7"/>
  <c r="AI76" i="7"/>
  <c r="AH76" i="7"/>
  <c r="AG76" i="7"/>
  <c r="Z76" i="7"/>
  <c r="AW76" i="7" s="1"/>
  <c r="L76" i="7"/>
  <c r="AS75" i="7"/>
  <c r="AL75" i="7"/>
  <c r="AK75" i="7"/>
  <c r="AJ75" i="7"/>
  <c r="AI75" i="7"/>
  <c r="AH75" i="7"/>
  <c r="AG75" i="7"/>
  <c r="Z75" i="7"/>
  <c r="AW75" i="7" s="1"/>
  <c r="L75" i="7"/>
  <c r="AS74" i="7"/>
  <c r="AL74" i="7"/>
  <c r="AK74" i="7"/>
  <c r="AJ74" i="7"/>
  <c r="AI74" i="7"/>
  <c r="AH74" i="7"/>
  <c r="AG74" i="7"/>
  <c r="Z74" i="7"/>
  <c r="AW74" i="7" s="1"/>
  <c r="L74" i="7"/>
  <c r="AS73" i="7"/>
  <c r="AL73" i="7"/>
  <c r="AK73" i="7"/>
  <c r="AJ73" i="7"/>
  <c r="AI73" i="7"/>
  <c r="AH73" i="7"/>
  <c r="AG73" i="7"/>
  <c r="Z73" i="7"/>
  <c r="AW73" i="7" s="1"/>
  <c r="L73" i="7"/>
  <c r="AS72" i="7"/>
  <c r="AL72" i="7"/>
  <c r="AK72" i="7"/>
  <c r="AJ72" i="7"/>
  <c r="AI72" i="7"/>
  <c r="AH72" i="7"/>
  <c r="AG72" i="7"/>
  <c r="Z72" i="7"/>
  <c r="AW72" i="7" s="1"/>
  <c r="L72" i="7"/>
  <c r="AS71" i="7"/>
  <c r="AL71" i="7"/>
  <c r="AK71" i="7"/>
  <c r="AJ71" i="7"/>
  <c r="AI71" i="7"/>
  <c r="AH71" i="7"/>
  <c r="AG71" i="7"/>
  <c r="Z71" i="7"/>
  <c r="AW71" i="7" s="1"/>
  <c r="L71" i="7"/>
  <c r="AS70" i="7"/>
  <c r="AL70" i="7"/>
  <c r="AK70" i="7"/>
  <c r="AJ70" i="7"/>
  <c r="AI70" i="7"/>
  <c r="AH70" i="7"/>
  <c r="AG70" i="7"/>
  <c r="Z70" i="7"/>
  <c r="AW70" i="7" s="1"/>
  <c r="L70" i="7"/>
  <c r="AS69" i="7"/>
  <c r="AL69" i="7"/>
  <c r="AK69" i="7"/>
  <c r="AJ69" i="7"/>
  <c r="AI69" i="7"/>
  <c r="AH69" i="7"/>
  <c r="AG69" i="7"/>
  <c r="Z69" i="7"/>
  <c r="AW69" i="7" s="1"/>
  <c r="L69" i="7"/>
  <c r="AS68" i="7"/>
  <c r="AL68" i="7"/>
  <c r="AK68" i="7"/>
  <c r="AJ68" i="7"/>
  <c r="AI68" i="7"/>
  <c r="AH68" i="7"/>
  <c r="AG68" i="7"/>
  <c r="Z68" i="7"/>
  <c r="AW68" i="7" s="1"/>
  <c r="L68" i="7"/>
  <c r="AS67" i="7"/>
  <c r="AL67" i="7"/>
  <c r="AK67" i="7"/>
  <c r="AJ67" i="7"/>
  <c r="AI67" i="7"/>
  <c r="AH67" i="7"/>
  <c r="AG67" i="7"/>
  <c r="Z67" i="7"/>
  <c r="AW67" i="7" s="1"/>
  <c r="L67" i="7"/>
  <c r="AS66" i="7"/>
  <c r="AL66" i="7"/>
  <c r="AK66" i="7"/>
  <c r="AJ66" i="7"/>
  <c r="AI66" i="7"/>
  <c r="AH66" i="7"/>
  <c r="AG66" i="7"/>
  <c r="Z66" i="7"/>
  <c r="AW66" i="7" s="1"/>
  <c r="L66" i="7"/>
  <c r="AS64" i="7"/>
  <c r="AL64" i="7"/>
  <c r="AK64" i="7"/>
  <c r="AJ64" i="7"/>
  <c r="AI64" i="7"/>
  <c r="AH64" i="7"/>
  <c r="AG64" i="7"/>
  <c r="Z64" i="7"/>
  <c r="AW64" i="7" s="1"/>
  <c r="L64" i="7"/>
  <c r="AS63" i="7"/>
  <c r="AL63" i="7"/>
  <c r="AK63" i="7"/>
  <c r="AJ63" i="7"/>
  <c r="AI63" i="7"/>
  <c r="AH63" i="7"/>
  <c r="AG63" i="7"/>
  <c r="Z63" i="7"/>
  <c r="AW63" i="7" s="1"/>
  <c r="L63" i="7"/>
  <c r="AS62" i="7"/>
  <c r="AL62" i="7"/>
  <c r="AK62" i="7"/>
  <c r="AJ62" i="7"/>
  <c r="AI62" i="7"/>
  <c r="AH62" i="7"/>
  <c r="AG62" i="7"/>
  <c r="Z62" i="7"/>
  <c r="AW62" i="7" s="1"/>
  <c r="L62" i="7"/>
  <c r="AS61" i="7"/>
  <c r="AL61" i="7"/>
  <c r="AK61" i="7"/>
  <c r="AJ61" i="7"/>
  <c r="AI61" i="7"/>
  <c r="AH61" i="7"/>
  <c r="AG61" i="7"/>
  <c r="Z61" i="7"/>
  <c r="AW61" i="7" s="1"/>
  <c r="L61" i="7"/>
  <c r="AS60" i="7"/>
  <c r="AL60" i="7"/>
  <c r="AK60" i="7"/>
  <c r="AJ60" i="7"/>
  <c r="AI60" i="7"/>
  <c r="AH60" i="7"/>
  <c r="AG60" i="7"/>
  <c r="Z60" i="7"/>
  <c r="AW60" i="7" s="1"/>
  <c r="L60" i="7"/>
  <c r="AS59" i="7"/>
  <c r="AL59" i="7"/>
  <c r="AK59" i="7"/>
  <c r="AJ59" i="7"/>
  <c r="AI59" i="7"/>
  <c r="AH59" i="7"/>
  <c r="AG59" i="7"/>
  <c r="Z59" i="7"/>
  <c r="AW59" i="7" s="1"/>
  <c r="L59" i="7"/>
  <c r="AS58" i="7"/>
  <c r="AL58" i="7"/>
  <c r="AK58" i="7"/>
  <c r="AJ58" i="7"/>
  <c r="AI58" i="7"/>
  <c r="AH58" i="7"/>
  <c r="AG58" i="7"/>
  <c r="Z58" i="7"/>
  <c r="AW58" i="7" s="1"/>
  <c r="L58" i="7"/>
  <c r="AS57" i="7"/>
  <c r="AL57" i="7"/>
  <c r="AK57" i="7"/>
  <c r="AJ57" i="7"/>
  <c r="AI57" i="7"/>
  <c r="AH57" i="7"/>
  <c r="AG57" i="7"/>
  <c r="Z57" i="7"/>
  <c r="AW57" i="7" s="1"/>
  <c r="L57" i="7"/>
  <c r="AS56" i="7"/>
  <c r="AL56" i="7"/>
  <c r="AK56" i="7"/>
  <c r="AJ56" i="7"/>
  <c r="AI56" i="7"/>
  <c r="AH56" i="7"/>
  <c r="AG56" i="7"/>
  <c r="Z56" i="7"/>
  <c r="AW56" i="7" s="1"/>
  <c r="L56" i="7"/>
  <c r="AS55" i="7"/>
  <c r="AL55" i="7"/>
  <c r="AK55" i="7"/>
  <c r="AJ55" i="7"/>
  <c r="AI55" i="7"/>
  <c r="AH55" i="7"/>
  <c r="AG55" i="7"/>
  <c r="Z55" i="7"/>
  <c r="AW55" i="7" s="1"/>
  <c r="L55" i="7"/>
  <c r="AS54" i="7"/>
  <c r="AL54" i="7"/>
  <c r="AK54" i="7"/>
  <c r="AJ54" i="7"/>
  <c r="AI54" i="7"/>
  <c r="AH54" i="7"/>
  <c r="AG54" i="7"/>
  <c r="Z54" i="7"/>
  <c r="AW54" i="7" s="1"/>
  <c r="L54" i="7"/>
  <c r="AS53" i="7"/>
  <c r="AL53" i="7"/>
  <c r="AK53" i="7"/>
  <c r="AJ53" i="7"/>
  <c r="AI53" i="7"/>
  <c r="AH53" i="7"/>
  <c r="AG53" i="7"/>
  <c r="Z53" i="7"/>
  <c r="AW53" i="7" s="1"/>
  <c r="L53" i="7"/>
  <c r="AS52" i="7"/>
  <c r="AL52" i="7"/>
  <c r="AK52" i="7"/>
  <c r="AJ52" i="7"/>
  <c r="AI52" i="7"/>
  <c r="AH52" i="7"/>
  <c r="AG52" i="7"/>
  <c r="Z52" i="7"/>
  <c r="AW52" i="7" s="1"/>
  <c r="L52" i="7"/>
  <c r="AS51" i="7"/>
  <c r="AL51" i="7"/>
  <c r="AK51" i="7"/>
  <c r="AJ51" i="7"/>
  <c r="AI51" i="7"/>
  <c r="AH51" i="7"/>
  <c r="AG51" i="7"/>
  <c r="Z51" i="7"/>
  <c r="AW51" i="7" s="1"/>
  <c r="L51" i="7"/>
  <c r="AS50" i="7"/>
  <c r="AL50" i="7"/>
  <c r="AK50" i="7"/>
  <c r="AJ50" i="7"/>
  <c r="AI50" i="7"/>
  <c r="AH50" i="7"/>
  <c r="AG50" i="7"/>
  <c r="Z50" i="7"/>
  <c r="AW50" i="7" s="1"/>
  <c r="L50" i="7"/>
  <c r="AS49" i="7"/>
  <c r="AL49" i="7"/>
  <c r="BC49" i="7" s="1"/>
  <c r="AK49" i="7"/>
  <c r="BB49" i="7" s="1"/>
  <c r="AJ49" i="7"/>
  <c r="BA49" i="7" s="1"/>
  <c r="AI49" i="7"/>
  <c r="AZ49" i="7" s="1"/>
  <c r="AH49" i="7"/>
  <c r="AY49" i="7" s="1"/>
  <c r="AG49" i="7"/>
  <c r="AX49" i="7" s="1"/>
  <c r="Z49" i="7"/>
  <c r="AW49" i="7" s="1"/>
  <c r="AS48" i="7"/>
  <c r="AL48" i="7"/>
  <c r="BC48" i="7" s="1"/>
  <c r="AK48" i="7"/>
  <c r="BB48" i="7" s="1"/>
  <c r="AJ48" i="7"/>
  <c r="BA48" i="7" s="1"/>
  <c r="AI48" i="7"/>
  <c r="AZ48" i="7" s="1"/>
  <c r="AH48" i="7"/>
  <c r="AY48" i="7" s="1"/>
  <c r="AG48" i="7"/>
  <c r="AX48" i="7" s="1"/>
  <c r="Z48" i="7"/>
  <c r="AW48" i="7" s="1"/>
  <c r="AS47" i="7"/>
  <c r="AL47" i="7"/>
  <c r="BC47" i="7" s="1"/>
  <c r="AK47" i="7"/>
  <c r="BB47" i="7" s="1"/>
  <c r="AJ47" i="7"/>
  <c r="BA47" i="7" s="1"/>
  <c r="AI47" i="7"/>
  <c r="AZ47" i="7" s="1"/>
  <c r="AH47" i="7"/>
  <c r="AY47" i="7" s="1"/>
  <c r="AG47" i="7"/>
  <c r="AX47" i="7" s="1"/>
  <c r="Z47" i="7"/>
  <c r="AW47" i="7" s="1"/>
  <c r="AS46" i="7"/>
  <c r="AL46" i="7"/>
  <c r="BC46" i="7" s="1"/>
  <c r="AK46" i="7"/>
  <c r="BB46" i="7" s="1"/>
  <c r="AJ46" i="7"/>
  <c r="BA46" i="7" s="1"/>
  <c r="AI46" i="7"/>
  <c r="AZ46" i="7" s="1"/>
  <c r="AH46" i="7"/>
  <c r="AY46" i="7" s="1"/>
  <c r="AG46" i="7"/>
  <c r="AX46" i="7" s="1"/>
  <c r="Z46" i="7"/>
  <c r="AW46" i="7" s="1"/>
  <c r="AS45" i="7"/>
  <c r="AL45" i="7"/>
  <c r="BC45" i="7" s="1"/>
  <c r="AK45" i="7"/>
  <c r="BB45" i="7" s="1"/>
  <c r="AJ45" i="7"/>
  <c r="BA45" i="7" s="1"/>
  <c r="AI45" i="7"/>
  <c r="AZ45" i="7" s="1"/>
  <c r="AH45" i="7"/>
  <c r="AY45" i="7" s="1"/>
  <c r="AG45" i="7"/>
  <c r="AX45" i="7" s="1"/>
  <c r="Z45" i="7"/>
  <c r="AW45" i="7" s="1"/>
  <c r="AS44" i="7"/>
  <c r="AL44" i="7"/>
  <c r="BC44" i="7" s="1"/>
  <c r="AK44" i="7"/>
  <c r="BB44" i="7" s="1"/>
  <c r="AJ44" i="7"/>
  <c r="BA44" i="7" s="1"/>
  <c r="AI44" i="7"/>
  <c r="AZ44" i="7" s="1"/>
  <c r="AH44" i="7"/>
  <c r="AY44" i="7" s="1"/>
  <c r="AG44" i="7"/>
  <c r="AX44" i="7" s="1"/>
  <c r="Z44" i="7"/>
  <c r="AW44" i="7" s="1"/>
  <c r="AS43" i="7"/>
  <c r="AL43" i="7"/>
  <c r="AK43" i="7"/>
  <c r="AJ43" i="7"/>
  <c r="AI43" i="7"/>
  <c r="AH43" i="7"/>
  <c r="AG43" i="7"/>
  <c r="Z43" i="7"/>
  <c r="AW43" i="7" s="1"/>
  <c r="L43" i="7"/>
  <c r="AS42" i="7"/>
  <c r="AL42" i="7"/>
  <c r="AK42" i="7"/>
  <c r="AJ42" i="7"/>
  <c r="AI42" i="7"/>
  <c r="AH42" i="7"/>
  <c r="AG42" i="7"/>
  <c r="Z42" i="7"/>
  <c r="AW42" i="7" s="1"/>
  <c r="L42" i="7"/>
  <c r="AS41" i="7"/>
  <c r="AL41" i="7"/>
  <c r="AK41" i="7"/>
  <c r="AJ41" i="7"/>
  <c r="AI41" i="7"/>
  <c r="AH41" i="7"/>
  <c r="AG41" i="7"/>
  <c r="Z41" i="7"/>
  <c r="AW41" i="7" s="1"/>
  <c r="L41" i="7"/>
  <c r="AS40" i="7"/>
  <c r="AL40" i="7"/>
  <c r="AK40" i="7"/>
  <c r="AJ40" i="7"/>
  <c r="AI40" i="7"/>
  <c r="AH40" i="7"/>
  <c r="AG40" i="7"/>
  <c r="Z40" i="7"/>
  <c r="AW40" i="7" s="1"/>
  <c r="L40" i="7"/>
  <c r="AS39" i="7"/>
  <c r="AL39" i="7"/>
  <c r="AK39" i="7"/>
  <c r="AJ39" i="7"/>
  <c r="AI39" i="7"/>
  <c r="AH39" i="7"/>
  <c r="AG39" i="7"/>
  <c r="Z39" i="7"/>
  <c r="AW39" i="7" s="1"/>
  <c r="L39" i="7"/>
  <c r="AS38" i="7"/>
  <c r="AL38" i="7"/>
  <c r="AK38" i="7"/>
  <c r="AJ38" i="7"/>
  <c r="AI38" i="7"/>
  <c r="AH38" i="7"/>
  <c r="AG38" i="7"/>
  <c r="Z38" i="7"/>
  <c r="AW38" i="7" s="1"/>
  <c r="L38" i="7"/>
  <c r="AS37" i="7"/>
  <c r="AL37" i="7"/>
  <c r="AK37" i="7"/>
  <c r="AJ37" i="7"/>
  <c r="AI37" i="7"/>
  <c r="AH37" i="7"/>
  <c r="AG37" i="7"/>
  <c r="Z37" i="7"/>
  <c r="AW37" i="7" s="1"/>
  <c r="L37" i="7"/>
  <c r="AS36" i="7"/>
  <c r="AL36" i="7"/>
  <c r="AK36" i="7"/>
  <c r="AJ36" i="7"/>
  <c r="AI36" i="7"/>
  <c r="AH36" i="7"/>
  <c r="AG36" i="7"/>
  <c r="Z36" i="7"/>
  <c r="AW36" i="7" s="1"/>
  <c r="L36" i="7"/>
  <c r="AS35" i="7"/>
  <c r="AL35" i="7"/>
  <c r="AK35" i="7"/>
  <c r="AJ35" i="7"/>
  <c r="AI35" i="7"/>
  <c r="AH35" i="7"/>
  <c r="AG35" i="7"/>
  <c r="Z35" i="7"/>
  <c r="AW35" i="7" s="1"/>
  <c r="L35" i="7"/>
  <c r="AS34" i="7"/>
  <c r="AL34" i="7"/>
  <c r="AK34" i="7"/>
  <c r="AJ34" i="7"/>
  <c r="AI34" i="7"/>
  <c r="AH34" i="7"/>
  <c r="AG34" i="7"/>
  <c r="Z34" i="7"/>
  <c r="AW34" i="7" s="1"/>
  <c r="L34" i="7"/>
  <c r="AS33" i="7"/>
  <c r="AL33" i="7"/>
  <c r="AK33" i="7"/>
  <c r="AJ33" i="7"/>
  <c r="AI33" i="7"/>
  <c r="AH33" i="7"/>
  <c r="AG33" i="7"/>
  <c r="Z33" i="7"/>
  <c r="AW33" i="7" s="1"/>
  <c r="L33" i="7"/>
  <c r="AS32" i="7"/>
  <c r="AL32" i="7"/>
  <c r="AK32" i="7"/>
  <c r="AJ32" i="7"/>
  <c r="AI32" i="7"/>
  <c r="AH32" i="7"/>
  <c r="AG32" i="7"/>
  <c r="Z32" i="7"/>
  <c r="AW32" i="7" s="1"/>
  <c r="L32" i="7"/>
  <c r="AS31" i="7"/>
  <c r="AL31" i="7"/>
  <c r="AK31" i="7"/>
  <c r="AJ31" i="7"/>
  <c r="AI31" i="7"/>
  <c r="AH31" i="7"/>
  <c r="AG31" i="7"/>
  <c r="Z31" i="7"/>
  <c r="AW31" i="7" s="1"/>
  <c r="L31" i="7"/>
  <c r="AS30" i="7"/>
  <c r="AL30" i="7"/>
  <c r="AK30" i="7"/>
  <c r="AJ30" i="7"/>
  <c r="AI30" i="7"/>
  <c r="AH30" i="7"/>
  <c r="AG30" i="7"/>
  <c r="Z30" i="7"/>
  <c r="AW30" i="7" s="1"/>
  <c r="L30" i="7"/>
  <c r="AS29" i="7"/>
  <c r="AL29" i="7"/>
  <c r="AK29" i="7"/>
  <c r="AJ29" i="7"/>
  <c r="AI29" i="7"/>
  <c r="AH29" i="7"/>
  <c r="AG29" i="7"/>
  <c r="Z29" i="7"/>
  <c r="AW29" i="7" s="1"/>
  <c r="L29" i="7"/>
  <c r="AS28" i="7"/>
  <c r="AL28" i="7"/>
  <c r="BC28" i="7" s="1"/>
  <c r="AK28" i="7"/>
  <c r="BB28" i="7" s="1"/>
  <c r="AJ28" i="7"/>
  <c r="BA28" i="7" s="1"/>
  <c r="AI28" i="7"/>
  <c r="AZ28" i="7" s="1"/>
  <c r="AH28" i="7"/>
  <c r="AY28" i="7" s="1"/>
  <c r="AG28" i="7"/>
  <c r="AX28" i="7" s="1"/>
  <c r="Z28" i="7"/>
  <c r="AW28" i="7" s="1"/>
  <c r="AS26" i="7"/>
  <c r="AL26" i="7"/>
  <c r="AK26" i="7"/>
  <c r="AJ26" i="7"/>
  <c r="AI26" i="7"/>
  <c r="AH26" i="7"/>
  <c r="AG26" i="7"/>
  <c r="Z26" i="7"/>
  <c r="AW26" i="7" s="1"/>
  <c r="L26" i="7"/>
  <c r="AS25" i="7"/>
  <c r="AL25" i="7"/>
  <c r="AK25" i="7"/>
  <c r="AJ25" i="7"/>
  <c r="AI25" i="7"/>
  <c r="AH25" i="7"/>
  <c r="AG25" i="7"/>
  <c r="Z25" i="7"/>
  <c r="AW25" i="7" s="1"/>
  <c r="L25" i="7"/>
  <c r="AS24" i="7"/>
  <c r="AL24" i="7"/>
  <c r="AK24" i="7"/>
  <c r="AJ24" i="7"/>
  <c r="AI24" i="7"/>
  <c r="AH24" i="7"/>
  <c r="AG24" i="7"/>
  <c r="Z24" i="7"/>
  <c r="AW24" i="7" s="1"/>
  <c r="L24" i="7"/>
  <c r="AS23" i="7"/>
  <c r="AL23" i="7"/>
  <c r="AK23" i="7"/>
  <c r="AJ23" i="7"/>
  <c r="AI23" i="7"/>
  <c r="AH23" i="7"/>
  <c r="AG23" i="7"/>
  <c r="Z23" i="7"/>
  <c r="AW23" i="7" s="1"/>
  <c r="L23" i="7"/>
  <c r="AS22" i="7"/>
  <c r="AL22" i="7"/>
  <c r="AK22" i="7"/>
  <c r="AJ22" i="7"/>
  <c r="AI22" i="7"/>
  <c r="AH22" i="7"/>
  <c r="AG22" i="7"/>
  <c r="Z22" i="7"/>
  <c r="AW22" i="7" s="1"/>
  <c r="L22" i="7"/>
  <c r="AS21" i="7"/>
  <c r="AL21" i="7"/>
  <c r="AK21" i="7"/>
  <c r="AJ21" i="7"/>
  <c r="AI21" i="7"/>
  <c r="AH21" i="7"/>
  <c r="AG21" i="7"/>
  <c r="Z21" i="7"/>
  <c r="AW21" i="7" s="1"/>
  <c r="L21" i="7"/>
  <c r="AS20" i="7"/>
  <c r="AL20" i="7"/>
  <c r="AK20" i="7"/>
  <c r="AJ20" i="7"/>
  <c r="AI20" i="7"/>
  <c r="AH20" i="7"/>
  <c r="AG20" i="7"/>
  <c r="Z20" i="7"/>
  <c r="AW20" i="7" s="1"/>
  <c r="L20" i="7"/>
  <c r="AS19" i="7"/>
  <c r="AL19" i="7"/>
  <c r="AK19" i="7"/>
  <c r="AJ19" i="7"/>
  <c r="AI19" i="7"/>
  <c r="AH19" i="7"/>
  <c r="AG19" i="7"/>
  <c r="Z19" i="7"/>
  <c r="AW19" i="7" s="1"/>
  <c r="L19" i="7"/>
  <c r="AS18" i="7"/>
  <c r="AL18" i="7"/>
  <c r="AK18" i="7"/>
  <c r="AJ18" i="7"/>
  <c r="AI18" i="7"/>
  <c r="AH18" i="7"/>
  <c r="AG18" i="7"/>
  <c r="Z18" i="7"/>
  <c r="AW18" i="7" s="1"/>
  <c r="L18" i="7"/>
  <c r="AS17" i="7"/>
  <c r="AL17" i="7"/>
  <c r="AK17" i="7"/>
  <c r="AJ17" i="7"/>
  <c r="AI17" i="7"/>
  <c r="AH17" i="7"/>
  <c r="AG17" i="7"/>
  <c r="Z17" i="7"/>
  <c r="AW17" i="7" s="1"/>
  <c r="L17" i="7"/>
  <c r="AS16" i="7"/>
  <c r="AL16" i="7"/>
  <c r="AK16" i="7"/>
  <c r="AJ16" i="7"/>
  <c r="AI16" i="7"/>
  <c r="AH16" i="7"/>
  <c r="AG16" i="7"/>
  <c r="Z16" i="7"/>
  <c r="AW16" i="7" s="1"/>
  <c r="L16" i="7"/>
  <c r="AS15" i="7"/>
  <c r="AL15" i="7"/>
  <c r="AK15" i="7"/>
  <c r="AJ15" i="7"/>
  <c r="AI15" i="7"/>
  <c r="AH15" i="7"/>
  <c r="AG15" i="7"/>
  <c r="Z15" i="7"/>
  <c r="AW15" i="7" s="1"/>
  <c r="L15" i="7"/>
  <c r="AS14" i="7"/>
  <c r="AL14" i="7"/>
  <c r="AK14" i="7"/>
  <c r="AJ14" i="7"/>
  <c r="AI14" i="7"/>
  <c r="AH14" i="7"/>
  <c r="AG14" i="7"/>
  <c r="Z14" i="7"/>
  <c r="AW14" i="7" s="1"/>
  <c r="L14" i="7"/>
  <c r="AS13" i="7"/>
  <c r="AL13" i="7"/>
  <c r="AK13" i="7"/>
  <c r="AJ13" i="7"/>
  <c r="AI13" i="7"/>
  <c r="AH13" i="7"/>
  <c r="AG13" i="7"/>
  <c r="Z13" i="7"/>
  <c r="AW13" i="7" s="1"/>
  <c r="L13" i="7"/>
  <c r="AS12" i="7"/>
  <c r="AL12" i="7"/>
  <c r="AK12" i="7"/>
  <c r="AJ12" i="7"/>
  <c r="AI12" i="7"/>
  <c r="AH12" i="7"/>
  <c r="AG12" i="7"/>
  <c r="Z12" i="7"/>
  <c r="AW12" i="7" s="1"/>
  <c r="L12" i="7"/>
  <c r="AS11" i="7"/>
  <c r="AL11" i="7"/>
  <c r="AK11" i="7"/>
  <c r="AJ11" i="7"/>
  <c r="AI11" i="7"/>
  <c r="AH11" i="7"/>
  <c r="AG11" i="7"/>
  <c r="Z11" i="7"/>
  <c r="AW11" i="7" s="1"/>
  <c r="L11" i="7"/>
  <c r="AS10" i="7"/>
  <c r="AL10" i="7"/>
  <c r="AK10" i="7"/>
  <c r="AJ10" i="7"/>
  <c r="AI10" i="7"/>
  <c r="AH10" i="7"/>
  <c r="AG10" i="7"/>
  <c r="Z10" i="7"/>
  <c r="AW10" i="7" s="1"/>
  <c r="L10" i="7"/>
  <c r="AS9" i="7"/>
  <c r="AL9" i="7"/>
  <c r="AK9" i="7"/>
  <c r="AJ9" i="7"/>
  <c r="AI9" i="7"/>
  <c r="AH9" i="7"/>
  <c r="AG9" i="7"/>
  <c r="Z9" i="7"/>
  <c r="AW9" i="7" s="1"/>
  <c r="L9" i="7"/>
  <c r="AS8" i="7"/>
  <c r="AL8" i="7"/>
  <c r="AK8" i="7"/>
  <c r="AJ8" i="7"/>
  <c r="AI8" i="7"/>
  <c r="AH8" i="7"/>
  <c r="AG8" i="7"/>
  <c r="Z8" i="7"/>
  <c r="AW8" i="7" s="1"/>
  <c r="L8" i="7"/>
  <c r="AS7" i="7"/>
  <c r="AL7" i="7"/>
  <c r="AK7" i="7"/>
  <c r="AJ7" i="7"/>
  <c r="AI7" i="7"/>
  <c r="AH7" i="7"/>
  <c r="AG7" i="7"/>
  <c r="Z7" i="7"/>
  <c r="AW7" i="7" s="1"/>
  <c r="L7" i="7"/>
  <c r="AS6" i="7"/>
  <c r="AL6" i="7"/>
  <c r="AK6" i="7"/>
  <c r="AJ6" i="7"/>
  <c r="AI6" i="7"/>
  <c r="AH6" i="7"/>
  <c r="AG6" i="7"/>
  <c r="Z6" i="7"/>
  <c r="AW6" i="7" s="1"/>
  <c r="L6" i="7"/>
  <c r="AS5" i="7"/>
  <c r="AL5" i="7"/>
  <c r="AK5" i="7"/>
  <c r="AJ5" i="7"/>
  <c r="AI5" i="7"/>
  <c r="AH5" i="7"/>
  <c r="AG5" i="7"/>
  <c r="Z5" i="7"/>
  <c r="AW5" i="7" s="1"/>
  <c r="L5" i="7"/>
  <c r="AS4" i="7"/>
  <c r="AL4" i="7"/>
  <c r="AK4" i="7"/>
  <c r="AJ4" i="7"/>
  <c r="AI4" i="7"/>
  <c r="AH4" i="7"/>
  <c r="AG4" i="7"/>
  <c r="Z4" i="7"/>
  <c r="AW4" i="7" s="1"/>
  <c r="L4" i="7"/>
  <c r="AS3" i="7"/>
  <c r="AL3" i="7"/>
  <c r="AK3" i="7"/>
  <c r="AJ3" i="7"/>
  <c r="AI3" i="7"/>
  <c r="AH3" i="7"/>
  <c r="AG3" i="7"/>
  <c r="Z3" i="7"/>
  <c r="AW3" i="7" s="1"/>
  <c r="L3" i="7"/>
  <c r="AS2" i="7"/>
  <c r="AL2" i="7"/>
  <c r="AK2" i="7"/>
  <c r="AJ2" i="7"/>
  <c r="AI2" i="7"/>
  <c r="AH2" i="7"/>
  <c r="AG2" i="7"/>
  <c r="Z2" i="7"/>
  <c r="AW2" i="7" s="1"/>
  <c r="L2" i="7"/>
  <c r="AS4" i="6"/>
  <c r="AL4" i="6"/>
  <c r="AK4" i="6"/>
  <c r="AJ4" i="6"/>
  <c r="AI4" i="6"/>
  <c r="AH4" i="6"/>
  <c r="AG4" i="6"/>
  <c r="Z4" i="6"/>
  <c r="L4" i="6"/>
  <c r="AS3" i="6"/>
  <c r="AL3" i="6"/>
  <c r="AK3" i="6"/>
  <c r="AJ3" i="6"/>
  <c r="AI3" i="6"/>
  <c r="AH3" i="6"/>
  <c r="AG3" i="6"/>
  <c r="Z3" i="6"/>
  <c r="L3" i="6"/>
  <c r="AS2" i="6"/>
  <c r="AL2" i="6"/>
  <c r="AK2" i="6"/>
  <c r="AJ2" i="6"/>
  <c r="AI2" i="6"/>
  <c r="AH2" i="6"/>
  <c r="AG2" i="6"/>
  <c r="Z2" i="6"/>
  <c r="L2" i="6"/>
  <c r="X107" i="7" l="1"/>
  <c r="AT103" i="7"/>
  <c r="AU107" i="7"/>
  <c r="AV107" i="7" s="1"/>
  <c r="X108" i="7"/>
  <c r="AU103" i="7"/>
  <c r="AV103" i="7" s="1"/>
  <c r="AU108" i="7"/>
  <c r="AV108" i="7" s="1"/>
  <c r="BC2" i="7"/>
  <c r="BC289" i="7"/>
  <c r="BC42" i="7"/>
  <c r="BC114" i="7"/>
  <c r="BC298" i="7"/>
  <c r="AY282" i="7"/>
  <c r="BC177" i="7"/>
  <c r="BC201" i="7"/>
  <c r="BB202" i="7"/>
  <c r="AZ204" i="7"/>
  <c r="BC209" i="7"/>
  <c r="BB210" i="7"/>
  <c r="AZ212" i="7"/>
  <c r="BC217" i="7"/>
  <c r="BB218" i="7"/>
  <c r="AZ220" i="7"/>
  <c r="BC225" i="7"/>
  <c r="BB226" i="7"/>
  <c r="AZ228" i="7"/>
  <c r="BC233" i="7"/>
  <c r="BB234" i="7"/>
  <c r="AZ236" i="7"/>
  <c r="BC241" i="7"/>
  <c r="BB242" i="7"/>
  <c r="AZ244" i="7"/>
  <c r="BC249" i="7"/>
  <c r="BB250" i="7"/>
  <c r="AZ252" i="7"/>
  <c r="BC257" i="7"/>
  <c r="BB258" i="7"/>
  <c r="AZ260" i="7"/>
  <c r="BC265" i="7"/>
  <c r="BB266" i="7"/>
  <c r="AZ268" i="7"/>
  <c r="BC273" i="7"/>
  <c r="BB274" i="7"/>
  <c r="AZ276" i="7"/>
  <c r="BA204" i="7"/>
  <c r="AY209" i="7"/>
  <c r="BA212" i="7"/>
  <c r="BA220" i="7"/>
  <c r="AY241" i="7"/>
  <c r="BA244" i="7"/>
  <c r="BA252" i="7"/>
  <c r="AY273" i="7"/>
  <c r="X109" i="7"/>
  <c r="BC116" i="7"/>
  <c r="BC123" i="7"/>
  <c r="BC131" i="7"/>
  <c r="BC139" i="7"/>
  <c r="BC147" i="7"/>
  <c r="BC155" i="7"/>
  <c r="BC163" i="7"/>
  <c r="BC171" i="7"/>
  <c r="BC179" i="7"/>
  <c r="BC187" i="7"/>
  <c r="BB193" i="7"/>
  <c r="AX202" i="7"/>
  <c r="BB204" i="7"/>
  <c r="BB212" i="7"/>
  <c r="AX218" i="7"/>
  <c r="BB220" i="7"/>
  <c r="BB228" i="7"/>
  <c r="AX234" i="7"/>
  <c r="BB236" i="7"/>
  <c r="BB252" i="7"/>
  <c r="BB260" i="7"/>
  <c r="BB282" i="7"/>
  <c r="AX288" i="7"/>
  <c r="AT109" i="7"/>
  <c r="AU110" i="7"/>
  <c r="AV110" i="7" s="1"/>
  <c r="BC244" i="7"/>
  <c r="BC252" i="7"/>
  <c r="BC260" i="7"/>
  <c r="BC276" i="7"/>
  <c r="BC282" i="7"/>
  <c r="AX133" i="7"/>
  <c r="AY225" i="7"/>
  <c r="BA228" i="7"/>
  <c r="BA236" i="7"/>
  <c r="BC250" i="7"/>
  <c r="AY257" i="7"/>
  <c r="BC258" i="7"/>
  <c r="BA260" i="7"/>
  <c r="BC266" i="7"/>
  <c r="BA268" i="7"/>
  <c r="BC274" i="7"/>
  <c r="BA276" i="7"/>
  <c r="BA282" i="7"/>
  <c r="AZ292" i="7"/>
  <c r="BB298" i="7"/>
  <c r="AZ300" i="7"/>
  <c r="BA292" i="7"/>
  <c r="X110" i="7"/>
  <c r="AX141" i="7"/>
  <c r="AX173" i="7"/>
  <c r="AX292" i="7"/>
  <c r="AX300" i="7"/>
  <c r="AX125" i="7"/>
  <c r="AX149" i="7"/>
  <c r="AX157" i="7"/>
  <c r="AX165" i="7"/>
  <c r="AX181" i="7"/>
  <c r="AY214" i="7"/>
  <c r="AY230" i="7"/>
  <c r="BA249" i="7"/>
  <c r="AX206" i="7"/>
  <c r="AX230" i="7"/>
  <c r="AX238" i="7"/>
  <c r="AX254" i="7"/>
  <c r="AX262" i="7"/>
  <c r="AX270" i="7"/>
  <c r="AX278" i="7"/>
  <c r="AY206" i="7"/>
  <c r="AY222" i="7"/>
  <c r="AY238" i="7"/>
  <c r="AY246" i="7"/>
  <c r="AY254" i="7"/>
  <c r="BC140" i="7"/>
  <c r="AY192" i="7"/>
  <c r="BC204" i="7"/>
  <c r="BC212" i="7"/>
  <c r="BC220" i="7"/>
  <c r="BC228" i="7"/>
  <c r="BC236" i="7"/>
  <c r="BC268" i="7"/>
  <c r="AX198" i="7"/>
  <c r="AX214" i="7"/>
  <c r="AX222" i="7"/>
  <c r="AX246" i="7"/>
  <c r="AY198" i="7"/>
  <c r="BC5" i="7"/>
  <c r="BC13" i="7"/>
  <c r="BC21" i="7"/>
  <c r="BA112" i="7"/>
  <c r="BA113" i="7"/>
  <c r="AZ114" i="7"/>
  <c r="BC300" i="7"/>
  <c r="AX113" i="7"/>
  <c r="AY112" i="7"/>
  <c r="AX114" i="7"/>
  <c r="AZ112" i="7"/>
  <c r="BB112" i="7"/>
  <c r="BB113" i="7"/>
  <c r="AX204" i="7"/>
  <c r="AX212" i="7"/>
  <c r="AX220" i="7"/>
  <c r="AX228" i="7"/>
  <c r="AX260" i="7"/>
  <c r="AX268" i="7"/>
  <c r="AX276" i="7"/>
  <c r="AX112" i="7"/>
  <c r="AY113" i="7"/>
  <c r="AX286" i="7"/>
  <c r="X106" i="7"/>
  <c r="AZ15" i="7"/>
  <c r="AZ113" i="7"/>
  <c r="AY114" i="7"/>
  <c r="AT106" i="7"/>
  <c r="BA66" i="7"/>
  <c r="BC112" i="7"/>
  <c r="BC113" i="7"/>
  <c r="BB114" i="7"/>
  <c r="BA115" i="7"/>
  <c r="BC120" i="7"/>
  <c r="BB121" i="7"/>
  <c r="BA122" i="7"/>
  <c r="BC128" i="7"/>
  <c r="BB129" i="7"/>
  <c r="AZ131" i="7"/>
  <c r="BC136" i="7"/>
  <c r="BB137" i="7"/>
  <c r="AZ139" i="7"/>
  <c r="BC144" i="7"/>
  <c r="BB145" i="7"/>
  <c r="AZ147" i="7"/>
  <c r="AZ151" i="7"/>
  <c r="BC152" i="7"/>
  <c r="BB153" i="7"/>
  <c r="AZ155" i="7"/>
  <c r="BB161" i="7"/>
  <c r="AZ163" i="7"/>
  <c r="BC168" i="7"/>
  <c r="BB169" i="7"/>
  <c r="AZ171" i="7"/>
  <c r="BC176" i="7"/>
  <c r="BB177" i="7"/>
  <c r="AZ179" i="7"/>
  <c r="AZ183" i="7"/>
  <c r="BC184" i="7"/>
  <c r="BB185" i="7"/>
  <c r="BA186" i="7"/>
  <c r="AZ187" i="7"/>
  <c r="AY204" i="7"/>
  <c r="AY212" i="7"/>
  <c r="BA218" i="7"/>
  <c r="AY220" i="7"/>
  <c r="AY228" i="7"/>
  <c r="AZ111" i="7"/>
  <c r="AZ195" i="7"/>
  <c r="AZ284" i="7"/>
  <c r="AZ27" i="7"/>
  <c r="AT104" i="7"/>
  <c r="X104" i="7"/>
  <c r="AU104" i="7"/>
  <c r="AV104" i="7" s="1"/>
  <c r="BA22" i="7"/>
  <c r="AX66" i="7"/>
  <c r="AZ80" i="7"/>
  <c r="BA111" i="7"/>
  <c r="BA195" i="7"/>
  <c r="BA284" i="7"/>
  <c r="AY289" i="7"/>
  <c r="Y27" i="7"/>
  <c r="AU27" i="7" s="1"/>
  <c r="AV27" i="7" s="1"/>
  <c r="BB6" i="7"/>
  <c r="BB14" i="7"/>
  <c r="BB22" i="7"/>
  <c r="BC31" i="7"/>
  <c r="BB32" i="7"/>
  <c r="BC39" i="7"/>
  <c r="BB40" i="7"/>
  <c r="BC53" i="7"/>
  <c r="BB54" i="7"/>
  <c r="BA55" i="7"/>
  <c r="BC61" i="7"/>
  <c r="BB62" i="7"/>
  <c r="BC70" i="7"/>
  <c r="BB71" i="7"/>
  <c r="BC78" i="7"/>
  <c r="BB79" i="7"/>
  <c r="BC86" i="7"/>
  <c r="BB87" i="7"/>
  <c r="BC94" i="7"/>
  <c r="BB95" i="7"/>
  <c r="BC102" i="7"/>
  <c r="BB111" i="7"/>
  <c r="AY115" i="7"/>
  <c r="AX131" i="7"/>
  <c r="AX139" i="7"/>
  <c r="AX147" i="7"/>
  <c r="AX155" i="7"/>
  <c r="AX163" i="7"/>
  <c r="AX171" i="7"/>
  <c r="AX179" i="7"/>
  <c r="AX187" i="7"/>
  <c r="BB195" i="7"/>
  <c r="BC292" i="7"/>
  <c r="AX27" i="7"/>
  <c r="BC14" i="7"/>
  <c r="BC111" i="7"/>
  <c r="AZ115" i="7"/>
  <c r="AY131" i="7"/>
  <c r="AY139" i="7"/>
  <c r="AY147" i="7"/>
  <c r="BA153" i="7"/>
  <c r="AY155" i="7"/>
  <c r="AY163" i="7"/>
  <c r="AY171" i="7"/>
  <c r="AY179" i="7"/>
  <c r="AY187" i="7"/>
  <c r="BC195" i="7"/>
  <c r="AX236" i="7"/>
  <c r="AX244" i="7"/>
  <c r="AX252" i="7"/>
  <c r="BC284" i="7"/>
  <c r="BC34" i="7"/>
  <c r="BB66" i="7"/>
  <c r="BA123" i="7"/>
  <c r="BA131" i="7"/>
  <c r="AY136" i="7"/>
  <c r="BA139" i="7"/>
  <c r="BA147" i="7"/>
  <c r="BA155" i="7"/>
  <c r="BB162" i="7"/>
  <c r="BA163" i="7"/>
  <c r="AY165" i="7"/>
  <c r="BA171" i="7"/>
  <c r="AY173" i="7"/>
  <c r="AY176" i="7"/>
  <c r="BA179" i="7"/>
  <c r="AY181" i="7"/>
  <c r="BA187" i="7"/>
  <c r="BA219" i="7"/>
  <c r="BA243" i="7"/>
  <c r="BA251" i="7"/>
  <c r="BC66" i="7"/>
  <c r="AX111" i="7"/>
  <c r="BC115" i="7"/>
  <c r="BB131" i="7"/>
  <c r="AX137" i="7"/>
  <c r="BB139" i="7"/>
  <c r="BB147" i="7"/>
  <c r="AX153" i="7"/>
  <c r="BB155" i="7"/>
  <c r="BB163" i="7"/>
  <c r="AX169" i="7"/>
  <c r="BB171" i="7"/>
  <c r="BB179" i="7"/>
  <c r="BB187" i="7"/>
  <c r="AX195" i="7"/>
  <c r="AX197" i="7"/>
  <c r="BB227" i="7"/>
  <c r="AX271" i="7"/>
  <c r="AX284" i="7"/>
  <c r="AT105" i="7"/>
  <c r="AU105" i="7"/>
  <c r="AV105" i="7" s="1"/>
  <c r="X105" i="7"/>
  <c r="AY6" i="7"/>
  <c r="BC10" i="7"/>
  <c r="AY14" i="7"/>
  <c r="BC18" i="7"/>
  <c r="BC26" i="7"/>
  <c r="AY111" i="7"/>
  <c r="BC192" i="7"/>
  <c r="AY195" i="7"/>
  <c r="AZ197" i="7"/>
  <c r="AX294" i="7"/>
  <c r="BC297" i="7"/>
  <c r="AY301" i="7"/>
  <c r="BC160" i="7"/>
  <c r="BC27" i="7"/>
  <c r="BC4" i="7"/>
  <c r="BC12" i="7"/>
  <c r="BC20" i="7"/>
  <c r="BC30" i="7"/>
  <c r="BC38" i="7"/>
  <c r="BC52" i="7"/>
  <c r="BC60" i="7"/>
  <c r="BC69" i="7"/>
  <c r="BC77" i="7"/>
  <c r="BC85" i="7"/>
  <c r="BC93" i="7"/>
  <c r="BC101" i="7"/>
  <c r="BC119" i="7"/>
  <c r="BC127" i="7"/>
  <c r="BC135" i="7"/>
  <c r="BC143" i="7"/>
  <c r="AX148" i="7"/>
  <c r="BC151" i="7"/>
  <c r="AX156" i="7"/>
  <c r="BC159" i="7"/>
  <c r="AX164" i="7"/>
  <c r="BC167" i="7"/>
  <c r="AX172" i="7"/>
  <c r="BC175" i="7"/>
  <c r="AX180" i="7"/>
  <c r="BC183" i="7"/>
  <c r="AX188" i="7"/>
  <c r="BC191" i="7"/>
  <c r="AX196" i="7"/>
  <c r="BC200" i="7"/>
  <c r="AX205" i="7"/>
  <c r="AX207" i="7"/>
  <c r="BC208" i="7"/>
  <c r="AX213" i="7"/>
  <c r="BC216" i="7"/>
  <c r="AX221" i="7"/>
  <c r="BC224" i="7"/>
  <c r="BC232" i="7"/>
  <c r="BC240" i="7"/>
  <c r="BC248" i="7"/>
  <c r="BC256" i="7"/>
  <c r="BC264" i="7"/>
  <c r="BC272" i="7"/>
  <c r="BC280" i="7"/>
  <c r="BC288" i="7"/>
  <c r="AY205" i="7"/>
  <c r="AY213" i="7"/>
  <c r="AY221" i="7"/>
  <c r="AY229" i="7"/>
  <c r="AY237" i="7"/>
  <c r="AY245" i="7"/>
  <c r="AY253" i="7"/>
  <c r="AY261" i="7"/>
  <c r="AY269" i="7"/>
  <c r="AY277" i="7"/>
  <c r="AY285" i="7"/>
  <c r="AY293" i="7"/>
  <c r="AY116" i="7"/>
  <c r="AY148" i="7"/>
  <c r="AY156" i="7"/>
  <c r="AY164" i="7"/>
  <c r="AY172" i="7"/>
  <c r="AY180" i="7"/>
  <c r="AY188" i="7"/>
  <c r="AY196" i="7"/>
  <c r="AZ148" i="7"/>
  <c r="AZ156" i="7"/>
  <c r="AZ164" i="7"/>
  <c r="AZ172" i="7"/>
  <c r="AZ180" i="7"/>
  <c r="AZ188" i="7"/>
  <c r="AZ196" i="7"/>
  <c r="AZ205" i="7"/>
  <c r="AZ213" i="7"/>
  <c r="AZ221" i="7"/>
  <c r="AZ229" i="7"/>
  <c r="AZ237" i="7"/>
  <c r="AZ245" i="7"/>
  <c r="AZ253" i="7"/>
  <c r="AZ117" i="7"/>
  <c r="AZ125" i="7"/>
  <c r="AZ133" i="7"/>
  <c r="AZ141" i="7"/>
  <c r="BA148" i="7"/>
  <c r="AZ149" i="7"/>
  <c r="BA156" i="7"/>
  <c r="AZ157" i="7"/>
  <c r="BA164" i="7"/>
  <c r="AZ165" i="7"/>
  <c r="BA172" i="7"/>
  <c r="AZ173" i="7"/>
  <c r="BA180" i="7"/>
  <c r="AZ181" i="7"/>
  <c r="BA188" i="7"/>
  <c r="AY193" i="7"/>
  <c r="BA196" i="7"/>
  <c r="BA205" i="7"/>
  <c r="AY210" i="7"/>
  <c r="BA213" i="7"/>
  <c r="BA221" i="7"/>
  <c r="AY226" i="7"/>
  <c r="BA229" i="7"/>
  <c r="BA237" i="7"/>
  <c r="AY242" i="7"/>
  <c r="AY247" i="7"/>
  <c r="AY263" i="7"/>
  <c r="AY279" i="7"/>
  <c r="AY27" i="7"/>
  <c r="BA27" i="7"/>
  <c r="Y65" i="7"/>
  <c r="X65" i="7" s="1"/>
  <c r="BA2" i="7"/>
  <c r="BA10" i="7"/>
  <c r="BA18" i="7"/>
  <c r="BA26" i="7"/>
  <c r="BA36" i="7"/>
  <c r="BB116" i="7"/>
  <c r="BB124" i="7"/>
  <c r="BB132" i="7"/>
  <c r="BB140" i="7"/>
  <c r="BB148" i="7"/>
  <c r="BB156" i="7"/>
  <c r="BB164" i="7"/>
  <c r="BA165" i="7"/>
  <c r="AX170" i="7"/>
  <c r="BB172" i="7"/>
  <c r="BA173" i="7"/>
  <c r="AX178" i="7"/>
  <c r="BB180" i="7"/>
  <c r="BA181" i="7"/>
  <c r="AX186" i="7"/>
  <c r="BB188" i="7"/>
  <c r="BA189" i="7"/>
  <c r="BB196" i="7"/>
  <c r="BB197" i="7"/>
  <c r="BA198" i="7"/>
  <c r="BB205" i="7"/>
  <c r="BA206" i="7"/>
  <c r="BB213" i="7"/>
  <c r="BA214" i="7"/>
  <c r="BB221" i="7"/>
  <c r="BA222" i="7"/>
  <c r="BB229" i="7"/>
  <c r="BA230" i="7"/>
  <c r="BB237" i="7"/>
  <c r="BA238" i="7"/>
  <c r="BB245" i="7"/>
  <c r="BA246" i="7"/>
  <c r="BB253" i="7"/>
  <c r="BA254" i="7"/>
  <c r="BB261" i="7"/>
  <c r="BA262" i="7"/>
  <c r="BB269" i="7"/>
  <c r="BA270" i="7"/>
  <c r="AX273" i="7"/>
  <c r="BB277" i="7"/>
  <c r="BA278" i="7"/>
  <c r="BB285" i="7"/>
  <c r="BA286" i="7"/>
  <c r="BB293" i="7"/>
  <c r="BA294" i="7"/>
  <c r="AX297" i="7"/>
  <c r="BB301" i="7"/>
  <c r="BB2" i="7"/>
  <c r="AX6" i="7"/>
  <c r="BC9" i="7"/>
  <c r="BB10" i="7"/>
  <c r="AX14" i="7"/>
  <c r="BC17" i="7"/>
  <c r="BB18" i="7"/>
  <c r="AX22" i="7"/>
  <c r="BC25" i="7"/>
  <c r="BB26" i="7"/>
  <c r="BC35" i="7"/>
  <c r="BB36" i="7"/>
  <c r="BC43" i="7"/>
  <c r="BB50" i="7"/>
  <c r="BC74" i="7"/>
  <c r="BC82" i="7"/>
  <c r="BC90" i="7"/>
  <c r="BC98" i="7"/>
  <c r="BC124" i="7"/>
  <c r="BC132" i="7"/>
  <c r="BC148" i="7"/>
  <c r="BC156" i="7"/>
  <c r="BC164" i="7"/>
  <c r="BC172" i="7"/>
  <c r="BC180" i="7"/>
  <c r="BC188" i="7"/>
  <c r="BC196" i="7"/>
  <c r="AX274" i="7"/>
  <c r="BC296" i="7"/>
  <c r="AX231" i="7"/>
  <c r="AX239" i="7"/>
  <c r="AX247" i="7"/>
  <c r="AX255" i="7"/>
  <c r="AX263" i="7"/>
  <c r="AX279" i="7"/>
  <c r="AX287" i="7"/>
  <c r="AX295" i="7"/>
  <c r="BB27" i="7"/>
  <c r="BC7" i="7"/>
  <c r="BC15" i="7"/>
  <c r="BC23" i="7"/>
  <c r="BC33" i="7"/>
  <c r="BC41" i="7"/>
  <c r="BC55" i="7"/>
  <c r="BC63" i="7"/>
  <c r="BC72" i="7"/>
  <c r="BC80" i="7"/>
  <c r="BC88" i="7"/>
  <c r="BC96" i="7"/>
  <c r="BC122" i="7"/>
  <c r="BC130" i="7"/>
  <c r="BC138" i="7"/>
  <c r="AX143" i="7"/>
  <c r="BC145" i="7"/>
  <c r="BC146" i="7"/>
  <c r="BC154" i="7"/>
  <c r="BC162" i="7"/>
  <c r="BC170" i="7"/>
  <c r="BC178" i="7"/>
  <c r="BC186" i="7"/>
  <c r="AZ189" i="7"/>
  <c r="BC194" i="7"/>
  <c r="BA197" i="7"/>
  <c r="AZ198" i="7"/>
  <c r="BC203" i="7"/>
  <c r="AZ206" i="7"/>
  <c r="BC211" i="7"/>
  <c r="AZ214" i="7"/>
  <c r="BC219" i="7"/>
  <c r="AZ222" i="7"/>
  <c r="BC227" i="7"/>
  <c r="AZ230" i="7"/>
  <c r="AY231" i="7"/>
  <c r="BC235" i="7"/>
  <c r="AZ238" i="7"/>
  <c r="AY239" i="7"/>
  <c r="BC243" i="7"/>
  <c r="BA250" i="7"/>
  <c r="BC251" i="7"/>
  <c r="AY255" i="7"/>
  <c r="BC259" i="7"/>
  <c r="AZ262" i="7"/>
  <c r="BC267" i="7"/>
  <c r="AY271" i="7"/>
  <c r="BC275" i="7"/>
  <c r="BC283" i="7"/>
  <c r="AY287" i="7"/>
  <c r="BC291" i="7"/>
  <c r="AZ294" i="7"/>
  <c r="AY295" i="7"/>
  <c r="BC299" i="7"/>
  <c r="AW27" i="7"/>
  <c r="AX5" i="7"/>
  <c r="AX13" i="7"/>
  <c r="AX21" i="7"/>
  <c r="AX31" i="7"/>
  <c r="AX39" i="7"/>
  <c r="AZ231" i="7"/>
  <c r="AZ239" i="7"/>
  <c r="AX241" i="7"/>
  <c r="AZ243" i="7"/>
  <c r="AZ247" i="7"/>
  <c r="AZ255" i="7"/>
  <c r="AX257" i="7"/>
  <c r="AZ259" i="7"/>
  <c r="AZ263" i="7"/>
  <c r="AX265" i="7"/>
  <c r="AZ271" i="7"/>
  <c r="AZ279" i="7"/>
  <c r="AX281" i="7"/>
  <c r="AZ287" i="7"/>
  <c r="AX289" i="7"/>
  <c r="AZ291" i="7"/>
  <c r="AZ295" i="7"/>
  <c r="BA3" i="7"/>
  <c r="AZ4" i="7"/>
  <c r="AY5" i="7"/>
  <c r="BA11" i="7"/>
  <c r="AZ12" i="7"/>
  <c r="AY13" i="7"/>
  <c r="BA19" i="7"/>
  <c r="AZ20" i="7"/>
  <c r="AY21" i="7"/>
  <c r="BA29" i="7"/>
  <c r="AZ30" i="7"/>
  <c r="AY31" i="7"/>
  <c r="AX32" i="7"/>
  <c r="BA37" i="7"/>
  <c r="AZ38" i="7"/>
  <c r="AY39" i="7"/>
  <c r="AX40" i="7"/>
  <c r="BA51" i="7"/>
  <c r="AZ52" i="7"/>
  <c r="AY53" i="7"/>
  <c r="AX54" i="7"/>
  <c r="BB58" i="7"/>
  <c r="BA59" i="7"/>
  <c r="AZ60" i="7"/>
  <c r="AY61" i="7"/>
  <c r="AX62" i="7"/>
  <c r="BB64" i="7"/>
  <c r="BB67" i="7"/>
  <c r="BA68" i="7"/>
  <c r="AZ69" i="7"/>
  <c r="AY70" i="7"/>
  <c r="AX71" i="7"/>
  <c r="BB75" i="7"/>
  <c r="BA76" i="7"/>
  <c r="AZ77" i="7"/>
  <c r="AY78" i="7"/>
  <c r="AX79" i="7"/>
  <c r="AX81" i="7"/>
  <c r="BB83" i="7"/>
  <c r="BA84" i="7"/>
  <c r="AZ85" i="7"/>
  <c r="AY86" i="7"/>
  <c r="AX87" i="7"/>
  <c r="BB91" i="7"/>
  <c r="BA92" i="7"/>
  <c r="AZ93" i="7"/>
  <c r="AY94" i="7"/>
  <c r="AX95" i="7"/>
  <c r="AX97" i="7"/>
  <c r="BB99" i="7"/>
  <c r="BA100" i="7"/>
  <c r="AZ101" i="7"/>
  <c r="AY102" i="7"/>
  <c r="AY128" i="7"/>
  <c r="AX161" i="7"/>
  <c r="AX193" i="7"/>
  <c r="AY201" i="7"/>
  <c r="AY217" i="7"/>
  <c r="BA231" i="7"/>
  <c r="BA239" i="7"/>
  <c r="BA247" i="7"/>
  <c r="BA255" i="7"/>
  <c r="AX258" i="7"/>
  <c r="BA263" i="7"/>
  <c r="AY265" i="7"/>
  <c r="BA271" i="7"/>
  <c r="BA279" i="7"/>
  <c r="AY281" i="7"/>
  <c r="BA287" i="7"/>
  <c r="AX290" i="7"/>
  <c r="BA295" i="7"/>
  <c r="AY297" i="7"/>
  <c r="BB3" i="7"/>
  <c r="BA4" i="7"/>
  <c r="AZ5" i="7"/>
  <c r="BB11" i="7"/>
  <c r="BA12" i="7"/>
  <c r="AZ13" i="7"/>
  <c r="AX15" i="7"/>
  <c r="AY17" i="7"/>
  <c r="BB19" i="7"/>
  <c r="BA20" i="7"/>
  <c r="AZ21" i="7"/>
  <c r="AY22" i="7"/>
  <c r="BB29" i="7"/>
  <c r="BA30" i="7"/>
  <c r="AZ31" i="7"/>
  <c r="AY32" i="7"/>
  <c r="BC36" i="7"/>
  <c r="BB37" i="7"/>
  <c r="BA38" i="7"/>
  <c r="AZ39" i="7"/>
  <c r="AY40" i="7"/>
  <c r="BC50" i="7"/>
  <c r="BB51" i="7"/>
  <c r="BA52" i="7"/>
  <c r="AZ53" i="7"/>
  <c r="AY54" i="7"/>
  <c r="BC58" i="7"/>
  <c r="BB59" i="7"/>
  <c r="BA60" i="7"/>
  <c r="AZ61" i="7"/>
  <c r="AY62" i="7"/>
  <c r="AX63" i="7"/>
  <c r="BC67" i="7"/>
  <c r="BB68" i="7"/>
  <c r="BA69" i="7"/>
  <c r="AZ70" i="7"/>
  <c r="AY71" i="7"/>
  <c r="BC75" i="7"/>
  <c r="BB76" i="7"/>
  <c r="BA77" i="7"/>
  <c r="AZ78" i="7"/>
  <c r="AY79" i="7"/>
  <c r="BA82" i="7"/>
  <c r="BC83" i="7"/>
  <c r="BB84" i="7"/>
  <c r="BA85" i="7"/>
  <c r="AZ86" i="7"/>
  <c r="AY87" i="7"/>
  <c r="BC91" i="7"/>
  <c r="BB92" i="7"/>
  <c r="BA93" i="7"/>
  <c r="AZ94" i="7"/>
  <c r="AY95" i="7"/>
  <c r="AZ98" i="7"/>
  <c r="BC99" i="7"/>
  <c r="BB100" i="7"/>
  <c r="BA101" i="7"/>
  <c r="AZ102" i="7"/>
  <c r="BB231" i="7"/>
  <c r="BC238" i="7"/>
  <c r="BB239" i="7"/>
  <c r="BB247" i="7"/>
  <c r="AY250" i="7"/>
  <c r="BB255" i="7"/>
  <c r="BB263" i="7"/>
  <c r="AY266" i="7"/>
  <c r="BC270" i="7"/>
  <c r="BB271" i="7"/>
  <c r="BB279" i="7"/>
  <c r="BC286" i="7"/>
  <c r="BB287" i="7"/>
  <c r="BB295" i="7"/>
  <c r="AY298" i="7"/>
  <c r="AX301" i="7"/>
  <c r="BA5" i="7"/>
  <c r="BA13" i="7"/>
  <c r="BA21" i="7"/>
  <c r="BA31" i="7"/>
  <c r="BA39" i="7"/>
  <c r="BA53" i="7"/>
  <c r="BA61" i="7"/>
  <c r="BA70" i="7"/>
  <c r="BA78" i="7"/>
  <c r="BA86" i="7"/>
  <c r="BA94" i="7"/>
  <c r="BA102" i="7"/>
  <c r="BC231" i="7"/>
  <c r="BC239" i="7"/>
  <c r="BC247" i="7"/>
  <c r="BC255" i="7"/>
  <c r="BC263" i="7"/>
  <c r="BA265" i="7"/>
  <c r="BC271" i="7"/>
  <c r="BC279" i="7"/>
  <c r="BA281" i="7"/>
  <c r="BC287" i="7"/>
  <c r="BC295" i="7"/>
  <c r="BA297" i="7"/>
  <c r="BC3" i="7"/>
  <c r="BB4" i="7"/>
  <c r="AZ6" i="7"/>
  <c r="BC11" i="7"/>
  <c r="BB12" i="7"/>
  <c r="AZ14" i="7"/>
  <c r="BC19" i="7"/>
  <c r="BB20" i="7"/>
  <c r="AZ22" i="7"/>
  <c r="BC29" i="7"/>
  <c r="BB30" i="7"/>
  <c r="AZ32" i="7"/>
  <c r="BC37" i="7"/>
  <c r="BB38" i="7"/>
  <c r="AZ40" i="7"/>
  <c r="AY41" i="7"/>
  <c r="BC51" i="7"/>
  <c r="BB52" i="7"/>
  <c r="AZ54" i="7"/>
  <c r="BC59" i="7"/>
  <c r="BB60" i="7"/>
  <c r="AZ62" i="7"/>
  <c r="AX64" i="7"/>
  <c r="BC68" i="7"/>
  <c r="BB69" i="7"/>
  <c r="AZ71" i="7"/>
  <c r="BC76" i="7"/>
  <c r="BB77" i="7"/>
  <c r="AZ79" i="7"/>
  <c r="BC84" i="7"/>
  <c r="BB85" i="7"/>
  <c r="AZ87" i="7"/>
  <c r="BC92" i="7"/>
  <c r="BB93" i="7"/>
  <c r="AZ95" i="7"/>
  <c r="BC100" i="7"/>
  <c r="BB101" i="7"/>
  <c r="BC118" i="7"/>
  <c r="BB119" i="7"/>
  <c r="BC126" i="7"/>
  <c r="BC134" i="7"/>
  <c r="BC142" i="7"/>
  <c r="BC150" i="7"/>
  <c r="BC57" i="7"/>
  <c r="AY8" i="7"/>
  <c r="AY42" i="7"/>
  <c r="AY73" i="7"/>
  <c r="AY97" i="7"/>
  <c r="AZ8" i="7"/>
  <c r="AY9" i="7"/>
  <c r="AZ16" i="7"/>
  <c r="AY74" i="7"/>
  <c r="AZ81" i="7"/>
  <c r="AX226" i="7"/>
  <c r="AX3" i="7"/>
  <c r="BC6" i="7"/>
  <c r="AX11" i="7"/>
  <c r="AY18" i="7"/>
  <c r="AX19" i="7"/>
  <c r="BC22" i="7"/>
  <c r="BA24" i="7"/>
  <c r="AY26" i="7"/>
  <c r="AX29" i="7"/>
  <c r="BC32" i="7"/>
  <c r="BB33" i="7"/>
  <c r="AX37" i="7"/>
  <c r="BC40" i="7"/>
  <c r="AY50" i="7"/>
  <c r="AX51" i="7"/>
  <c r="BC54" i="7"/>
  <c r="BA56" i="7"/>
  <c r="AX59" i="7"/>
  <c r="BC62" i="7"/>
  <c r="AX68" i="7"/>
  <c r="BC71" i="7"/>
  <c r="AZ74" i="7"/>
  <c r="AY75" i="7"/>
  <c r="AX76" i="7"/>
  <c r="BC79" i="7"/>
  <c r="AZ82" i="7"/>
  <c r="AY83" i="7"/>
  <c r="AX84" i="7"/>
  <c r="BC87" i="7"/>
  <c r="BA89" i="7"/>
  <c r="AX92" i="7"/>
  <c r="BC95" i="7"/>
  <c r="AX100" i="7"/>
  <c r="AY117" i="7"/>
  <c r="AX118" i="7"/>
  <c r="BC121" i="7"/>
  <c r="AY125" i="7"/>
  <c r="AX126" i="7"/>
  <c r="BC129" i="7"/>
  <c r="AY133" i="7"/>
  <c r="AX134" i="7"/>
  <c r="BC137" i="7"/>
  <c r="AY141" i="7"/>
  <c r="BC153" i="7"/>
  <c r="BC161" i="7"/>
  <c r="BC169" i="7"/>
  <c r="BC185" i="7"/>
  <c r="BC193" i="7"/>
  <c r="AX210" i="7"/>
  <c r="AY3" i="7"/>
  <c r="AX4" i="7"/>
  <c r="AY11" i="7"/>
  <c r="AX12" i="7"/>
  <c r="AY19" i="7"/>
  <c r="AX20" i="7"/>
  <c r="AY29" i="7"/>
  <c r="AX30" i="7"/>
  <c r="BB34" i="7"/>
  <c r="AY37" i="7"/>
  <c r="AX38" i="7"/>
  <c r="AY51" i="7"/>
  <c r="BA57" i="7"/>
  <c r="AY59" i="7"/>
  <c r="AY68" i="7"/>
  <c r="AY76" i="7"/>
  <c r="AY84" i="7"/>
  <c r="BA90" i="7"/>
  <c r="AY92" i="7"/>
  <c r="BB97" i="7"/>
  <c r="AY100" i="7"/>
  <c r="AY118" i="7"/>
  <c r="AX119" i="7"/>
  <c r="BA121" i="7"/>
  <c r="AY126" i="7"/>
  <c r="AX127" i="7"/>
  <c r="AY134" i="7"/>
  <c r="AX135" i="7"/>
  <c r="AY142" i="7"/>
  <c r="AY150" i="7"/>
  <c r="AX151" i="7"/>
  <c r="AY158" i="7"/>
  <c r="AX159" i="7"/>
  <c r="AY166" i="7"/>
  <c r="AX167" i="7"/>
  <c r="AY174" i="7"/>
  <c r="AX175" i="7"/>
  <c r="AY182" i="7"/>
  <c r="AX183" i="7"/>
  <c r="BA185" i="7"/>
  <c r="AY190" i="7"/>
  <c r="AX191" i="7"/>
  <c r="AY199" i="7"/>
  <c r="AX200" i="7"/>
  <c r="AY207" i="7"/>
  <c r="AX208" i="7"/>
  <c r="AY215" i="7"/>
  <c r="AX216" i="7"/>
  <c r="AY223" i="7"/>
  <c r="AX224" i="7"/>
  <c r="AX232" i="7"/>
  <c r="AX240" i="7"/>
  <c r="AX256" i="7"/>
  <c r="AX272" i="7"/>
  <c r="AZ3" i="7"/>
  <c r="AY4" i="7"/>
  <c r="BC8" i="7"/>
  <c r="BB9" i="7"/>
  <c r="AZ11" i="7"/>
  <c r="AY12" i="7"/>
  <c r="BC16" i="7"/>
  <c r="BB17" i="7"/>
  <c r="AZ19" i="7"/>
  <c r="AY20" i="7"/>
  <c r="BA23" i="7"/>
  <c r="BC24" i="7"/>
  <c r="BB25" i="7"/>
  <c r="AZ29" i="7"/>
  <c r="AY30" i="7"/>
  <c r="BB35" i="7"/>
  <c r="AZ37" i="7"/>
  <c r="AY38" i="7"/>
  <c r="AZ41" i="7"/>
  <c r="BB43" i="7"/>
  <c r="BA50" i="7"/>
  <c r="AZ51" i="7"/>
  <c r="AY52" i="7"/>
  <c r="AX53" i="7"/>
  <c r="BC56" i="7"/>
  <c r="BB57" i="7"/>
  <c r="BA58" i="7"/>
  <c r="AZ59" i="7"/>
  <c r="AY60" i="7"/>
  <c r="AX61" i="7"/>
  <c r="BC64" i="7"/>
  <c r="BA67" i="7"/>
  <c r="AZ68" i="7"/>
  <c r="AY69" i="7"/>
  <c r="AX70" i="7"/>
  <c r="BC73" i="7"/>
  <c r="BB74" i="7"/>
  <c r="BA75" i="7"/>
  <c r="AZ76" i="7"/>
  <c r="AY77" i="7"/>
  <c r="AX78" i="7"/>
  <c r="AX80" i="7"/>
  <c r="BC81" i="7"/>
  <c r="BB82" i="7"/>
  <c r="BA83" i="7"/>
  <c r="AZ84" i="7"/>
  <c r="AY85" i="7"/>
  <c r="AX86" i="7"/>
  <c r="BA88" i="7"/>
  <c r="BC89" i="7"/>
  <c r="BB90" i="7"/>
  <c r="BA91" i="7"/>
  <c r="AZ92" i="7"/>
  <c r="AY93" i="7"/>
  <c r="AX94" i="7"/>
  <c r="AX96" i="7"/>
  <c r="BC97" i="7"/>
  <c r="BB98" i="7"/>
  <c r="BA99" i="7"/>
  <c r="AZ100" i="7"/>
  <c r="AY101" i="7"/>
  <c r="AX102" i="7"/>
  <c r="BA117" i="7"/>
  <c r="AZ118" i="7"/>
  <c r="AY119" i="7"/>
  <c r="AX120" i="7"/>
  <c r="AX142" i="7"/>
  <c r="AY149" i="7"/>
  <c r="AX150" i="7"/>
  <c r="AY157" i="7"/>
  <c r="AX158" i="7"/>
  <c r="AX166" i="7"/>
  <c r="AX174" i="7"/>
  <c r="AX182" i="7"/>
  <c r="AX190" i="7"/>
  <c r="AX199" i="7"/>
  <c r="BC202" i="7"/>
  <c r="BC210" i="7"/>
  <c r="AX215" i="7"/>
  <c r="BC218" i="7"/>
  <c r="AX223" i="7"/>
  <c r="BC226" i="7"/>
  <c r="BC234" i="7"/>
  <c r="BC242" i="7"/>
  <c r="AZ261" i="7"/>
  <c r="AZ293" i="7"/>
  <c r="BA125" i="7"/>
  <c r="AZ126" i="7"/>
  <c r="AY127" i="7"/>
  <c r="AX128" i="7"/>
  <c r="BB130" i="7"/>
  <c r="BA133" i="7"/>
  <c r="AZ134" i="7"/>
  <c r="AY135" i="7"/>
  <c r="AX136" i="7"/>
  <c r="AY138" i="7"/>
  <c r="BA141" i="7"/>
  <c r="AZ142" i="7"/>
  <c r="AY143" i="7"/>
  <c r="AX144" i="7"/>
  <c r="AY146" i="7"/>
  <c r="BA149" i="7"/>
  <c r="AZ150" i="7"/>
  <c r="AY151" i="7"/>
  <c r="AX152" i="7"/>
  <c r="BA157" i="7"/>
  <c r="AZ158" i="7"/>
  <c r="AY159" i="7"/>
  <c r="AX160" i="7"/>
  <c r="AZ166" i="7"/>
  <c r="AY167" i="7"/>
  <c r="AX168" i="7"/>
  <c r="AZ174" i="7"/>
  <c r="AY175" i="7"/>
  <c r="AX176" i="7"/>
  <c r="AZ182" i="7"/>
  <c r="AY183" i="7"/>
  <c r="AX184" i="7"/>
  <c r="AZ190" i="7"/>
  <c r="AY191" i="7"/>
  <c r="AX192" i="7"/>
  <c r="AZ199" i="7"/>
  <c r="AY200" i="7"/>
  <c r="AX201" i="7"/>
  <c r="AZ207" i="7"/>
  <c r="AY208" i="7"/>
  <c r="AX209" i="7"/>
  <c r="AZ215" i="7"/>
  <c r="AY216" i="7"/>
  <c r="AX217" i="7"/>
  <c r="AZ223" i="7"/>
  <c r="AY224" i="7"/>
  <c r="AX225" i="7"/>
  <c r="AZ227" i="7"/>
  <c r="AY232" i="7"/>
  <c r="AX233" i="7"/>
  <c r="AY240" i="7"/>
  <c r="AY248" i="7"/>
  <c r="AX249" i="7"/>
  <c r="AY256" i="7"/>
  <c r="AY264" i="7"/>
  <c r="AY272" i="7"/>
  <c r="AY280" i="7"/>
  <c r="BA283" i="7"/>
  <c r="AY288" i="7"/>
  <c r="AY296" i="7"/>
  <c r="BB117" i="7"/>
  <c r="BA118" i="7"/>
  <c r="AZ119" i="7"/>
  <c r="AY120" i="7"/>
  <c r="AX121" i="7"/>
  <c r="BB125" i="7"/>
  <c r="BA126" i="7"/>
  <c r="AZ127" i="7"/>
  <c r="AX129" i="7"/>
  <c r="BB133" i="7"/>
  <c r="BA134" i="7"/>
  <c r="AZ135" i="7"/>
  <c r="BB141" i="7"/>
  <c r="BA142" i="7"/>
  <c r="AZ143" i="7"/>
  <c r="AY144" i="7"/>
  <c r="AX145" i="7"/>
  <c r="BB149" i="7"/>
  <c r="BA150" i="7"/>
  <c r="AY152" i="7"/>
  <c r="BB157" i="7"/>
  <c r="BA158" i="7"/>
  <c r="AZ159" i="7"/>
  <c r="AY160" i="7"/>
  <c r="BB165" i="7"/>
  <c r="BA166" i="7"/>
  <c r="AZ167" i="7"/>
  <c r="AY168" i="7"/>
  <c r="BB173" i="7"/>
  <c r="BA174" i="7"/>
  <c r="AZ175" i="7"/>
  <c r="AX177" i="7"/>
  <c r="BB181" i="7"/>
  <c r="BA182" i="7"/>
  <c r="AY184" i="7"/>
  <c r="BB189" i="7"/>
  <c r="BA190" i="7"/>
  <c r="AZ191" i="7"/>
  <c r="BC197" i="7"/>
  <c r="BB198" i="7"/>
  <c r="BA199" i="7"/>
  <c r="BC205" i="7"/>
  <c r="BB206" i="7"/>
  <c r="BA207" i="7"/>
  <c r="BC213" i="7"/>
  <c r="BB214" i="7"/>
  <c r="BA215" i="7"/>
  <c r="BC221" i="7"/>
  <c r="BB222" i="7"/>
  <c r="BA223" i="7"/>
  <c r="BC229" i="7"/>
  <c r="BB230" i="7"/>
  <c r="AY233" i="7"/>
  <c r="BC237" i="7"/>
  <c r="BB238" i="7"/>
  <c r="AX242" i="7"/>
  <c r="BC245" i="7"/>
  <c r="AY249" i="7"/>
  <c r="BC253" i="7"/>
  <c r="BC261" i="7"/>
  <c r="BC269" i="7"/>
  <c r="BC277" i="7"/>
  <c r="BC285" i="7"/>
  <c r="BC293" i="7"/>
  <c r="BC301" i="7"/>
  <c r="BC117" i="7"/>
  <c r="BB118" i="7"/>
  <c r="BA119" i="7"/>
  <c r="AZ120" i="7"/>
  <c r="AY121" i="7"/>
  <c r="BC125" i="7"/>
  <c r="BB126" i="7"/>
  <c r="BA127" i="7"/>
  <c r="AZ128" i="7"/>
  <c r="AY129" i="7"/>
  <c r="BC133" i="7"/>
  <c r="BB134" i="7"/>
  <c r="BA135" i="7"/>
  <c r="AZ136" i="7"/>
  <c r="AY137" i="7"/>
  <c r="BC141" i="7"/>
  <c r="BB142" i="7"/>
  <c r="AY145" i="7"/>
  <c r="BC149" i="7"/>
  <c r="BB150" i="7"/>
  <c r="AY153" i="7"/>
  <c r="BC157" i="7"/>
  <c r="BB158" i="7"/>
  <c r="AY161" i="7"/>
  <c r="AX162" i="7"/>
  <c r="BC165" i="7"/>
  <c r="BB166" i="7"/>
  <c r="AY169" i="7"/>
  <c r="BC173" i="7"/>
  <c r="BB174" i="7"/>
  <c r="AY177" i="7"/>
  <c r="BC181" i="7"/>
  <c r="BB182" i="7"/>
  <c r="AY185" i="7"/>
  <c r="BC189" i="7"/>
  <c r="BB190" i="7"/>
  <c r="AX194" i="7"/>
  <c r="BC198" i="7"/>
  <c r="BB199" i="7"/>
  <c r="AY202" i="7"/>
  <c r="BC206" i="7"/>
  <c r="BB207" i="7"/>
  <c r="BC214" i="7"/>
  <c r="BB215" i="7"/>
  <c r="AY218" i="7"/>
  <c r="BC222" i="7"/>
  <c r="BB223" i="7"/>
  <c r="BC230" i="7"/>
  <c r="AY234" i="7"/>
  <c r="BC246" i="7"/>
  <c r="BC254" i="7"/>
  <c r="BC262" i="7"/>
  <c r="BC278" i="7"/>
  <c r="BC294" i="7"/>
  <c r="BC158" i="7"/>
  <c r="BC166" i="7"/>
  <c r="BC174" i="7"/>
  <c r="BC182" i="7"/>
  <c r="BC190" i="7"/>
  <c r="BC199" i="7"/>
  <c r="BA201" i="7"/>
  <c r="BC207" i="7"/>
  <c r="BC215" i="7"/>
  <c r="BA217" i="7"/>
  <c r="BC223" i="7"/>
  <c r="BA233" i="7"/>
  <c r="AY262" i="7"/>
  <c r="AZ269" i="7"/>
  <c r="AY270" i="7"/>
  <c r="AZ277" i="7"/>
  <c r="AY278" i="7"/>
  <c r="AZ285" i="7"/>
  <c r="AY286" i="7"/>
  <c r="BB291" i="7"/>
  <c r="AY294" i="7"/>
  <c r="BA300" i="7"/>
  <c r="AZ301" i="7"/>
  <c r="BB244" i="7"/>
  <c r="BA245" i="7"/>
  <c r="AZ246" i="7"/>
  <c r="AX248" i="7"/>
  <c r="BA253" i="7"/>
  <c r="AZ254" i="7"/>
  <c r="AY258" i="7"/>
  <c r="BA261" i="7"/>
  <c r="AX264" i="7"/>
  <c r="AX266" i="7"/>
  <c r="BB268" i="7"/>
  <c r="BA269" i="7"/>
  <c r="AZ270" i="7"/>
  <c r="AY274" i="7"/>
  <c r="BB276" i="7"/>
  <c r="BA277" i="7"/>
  <c r="AZ278" i="7"/>
  <c r="AX280" i="7"/>
  <c r="AX282" i="7"/>
  <c r="BB284" i="7"/>
  <c r="BA285" i="7"/>
  <c r="AZ286" i="7"/>
  <c r="AY290" i="7"/>
  <c r="BB292" i="7"/>
  <c r="BA293" i="7"/>
  <c r="AX296" i="7"/>
  <c r="AX298" i="7"/>
  <c r="BB300" i="7"/>
  <c r="BA301" i="7"/>
  <c r="BB246" i="7"/>
  <c r="BB254" i="7"/>
  <c r="BB262" i="7"/>
  <c r="BB270" i="7"/>
  <c r="BB278" i="7"/>
  <c r="BB286" i="7"/>
  <c r="BB294" i="7"/>
  <c r="AX229" i="7"/>
  <c r="AY236" i="7"/>
  <c r="AX237" i="7"/>
  <c r="AY244" i="7"/>
  <c r="AX245" i="7"/>
  <c r="AY252" i="7"/>
  <c r="AX253" i="7"/>
  <c r="AY260" i="7"/>
  <c r="AX261" i="7"/>
  <c r="AY268" i="7"/>
  <c r="AX269" i="7"/>
  <c r="AY276" i="7"/>
  <c r="AX277" i="7"/>
  <c r="AY284" i="7"/>
  <c r="AX285" i="7"/>
  <c r="AY292" i="7"/>
  <c r="AX293" i="7"/>
  <c r="BA298" i="7"/>
  <c r="AY300" i="7"/>
  <c r="AY154" i="7"/>
  <c r="AX154" i="7"/>
  <c r="BB194" i="7"/>
  <c r="AY194" i="7"/>
  <c r="AZ211" i="7"/>
  <c r="BA211" i="7"/>
  <c r="AZ275" i="7"/>
  <c r="BA275" i="7"/>
  <c r="AX146" i="7"/>
  <c r="BA16" i="7"/>
  <c r="AY16" i="7"/>
  <c r="AX7" i="7"/>
  <c r="AX23" i="7"/>
  <c r="AX33" i="7"/>
  <c r="AX55" i="7"/>
  <c r="AX72" i="7"/>
  <c r="AX88" i="7"/>
  <c r="AX122" i="7"/>
  <c r="AX138" i="7"/>
  <c r="AY130" i="7"/>
  <c r="AY64" i="7"/>
  <c r="BA154" i="7"/>
  <c r="AY7" i="7"/>
  <c r="AX56" i="7"/>
  <c r="AX73" i="7"/>
  <c r="AX89" i="7"/>
  <c r="AX130" i="7"/>
  <c r="BB259" i="7"/>
  <c r="AX41" i="7"/>
  <c r="AX203" i="7"/>
  <c r="AX211" i="7"/>
  <c r="AX219" i="7"/>
  <c r="AX227" i="7"/>
  <c r="AX243" i="7"/>
  <c r="AX251" i="7"/>
  <c r="AX259" i="7"/>
  <c r="AX267" i="7"/>
  <c r="AX8" i="7"/>
  <c r="AY15" i="7"/>
  <c r="AX34" i="7"/>
  <c r="AY80" i="7"/>
  <c r="AX115" i="7"/>
  <c r="AX123" i="7"/>
  <c r="AY162" i="7"/>
  <c r="AY170" i="7"/>
  <c r="AY178" i="7"/>
  <c r="AY186" i="7"/>
  <c r="AY227" i="7"/>
  <c r="AY243" i="7"/>
  <c r="AY267" i="7"/>
  <c r="AY275" i="7"/>
  <c r="AY291" i="7"/>
  <c r="AY82" i="7"/>
  <c r="BB5" i="7"/>
  <c r="BA6" i="7"/>
  <c r="AZ7" i="7"/>
  <c r="AX9" i="7"/>
  <c r="BB13" i="7"/>
  <c r="BA14" i="7"/>
  <c r="AX17" i="7"/>
  <c r="BB21" i="7"/>
  <c r="AZ23" i="7"/>
  <c r="AY24" i="7"/>
  <c r="AX25" i="7"/>
  <c r="BB31" i="7"/>
  <c r="BA32" i="7"/>
  <c r="AZ33" i="7"/>
  <c r="AY34" i="7"/>
  <c r="AX35" i="7"/>
  <c r="BB39" i="7"/>
  <c r="BA40" i="7"/>
  <c r="AX43" i="7"/>
  <c r="BB53" i="7"/>
  <c r="BA54" i="7"/>
  <c r="AZ55" i="7"/>
  <c r="AY56" i="7"/>
  <c r="AX57" i="7"/>
  <c r="BB61" i="7"/>
  <c r="BA62" i="7"/>
  <c r="AZ63" i="7"/>
  <c r="BB70" i="7"/>
  <c r="BA71" i="7"/>
  <c r="AZ72" i="7"/>
  <c r="AX74" i="7"/>
  <c r="BB78" i="7"/>
  <c r="BA79" i="7"/>
  <c r="AY81" i="7"/>
  <c r="AX82" i="7"/>
  <c r="BB86" i="7"/>
  <c r="BA87" i="7"/>
  <c r="AZ88" i="7"/>
  <c r="AY89" i="7"/>
  <c r="AX90" i="7"/>
  <c r="BB94" i="7"/>
  <c r="BA95" i="7"/>
  <c r="AZ96" i="7"/>
  <c r="AX98" i="7"/>
  <c r="BB102" i="7"/>
  <c r="AX116" i="7"/>
  <c r="AY123" i="7"/>
  <c r="AX124" i="7"/>
  <c r="AX132" i="7"/>
  <c r="BA137" i="7"/>
  <c r="AX140" i="7"/>
  <c r="BA169" i="7"/>
  <c r="BA202" i="7"/>
  <c r="AZ203" i="7"/>
  <c r="AZ219" i="7"/>
  <c r="BA234" i="7"/>
  <c r="AZ235" i="7"/>
  <c r="AZ251" i="7"/>
  <c r="BA266" i="7"/>
  <c r="AZ267" i="7"/>
  <c r="AZ283" i="7"/>
  <c r="AZ299" i="7"/>
  <c r="AX250" i="7"/>
  <c r="AX235" i="7"/>
  <c r="AX275" i="7"/>
  <c r="AX283" i="7"/>
  <c r="AX291" i="7"/>
  <c r="AX299" i="7"/>
  <c r="AX24" i="7"/>
  <c r="AY96" i="7"/>
  <c r="AY219" i="7"/>
  <c r="AY259" i="7"/>
  <c r="AY283" i="7"/>
  <c r="AX2" i="7"/>
  <c r="BA7" i="7"/>
  <c r="AX10" i="7"/>
  <c r="BA15" i="7"/>
  <c r="AX18" i="7"/>
  <c r="AZ24" i="7"/>
  <c r="AY25" i="7"/>
  <c r="AX26" i="7"/>
  <c r="BA33" i="7"/>
  <c r="AZ34" i="7"/>
  <c r="AY35" i="7"/>
  <c r="AX36" i="7"/>
  <c r="BA41" i="7"/>
  <c r="AZ42" i="7"/>
  <c r="AY43" i="7"/>
  <c r="AX50" i="7"/>
  <c r="AZ56" i="7"/>
  <c r="AY57" i="7"/>
  <c r="AX58" i="7"/>
  <c r="BA63" i="7"/>
  <c r="AZ64" i="7"/>
  <c r="AY66" i="7"/>
  <c r="AX67" i="7"/>
  <c r="BA72" i="7"/>
  <c r="AZ73" i="7"/>
  <c r="AX75" i="7"/>
  <c r="BA80" i="7"/>
  <c r="AX83" i="7"/>
  <c r="AZ89" i="7"/>
  <c r="AY90" i="7"/>
  <c r="AX91" i="7"/>
  <c r="BA96" i="7"/>
  <c r="AZ97" i="7"/>
  <c r="AY98" i="7"/>
  <c r="AX99" i="7"/>
  <c r="BA114" i="7"/>
  <c r="AX117" i="7"/>
  <c r="AZ123" i="7"/>
  <c r="AY124" i="7"/>
  <c r="BA130" i="7"/>
  <c r="AY132" i="7"/>
  <c r="BA138" i="7"/>
  <c r="AY140" i="7"/>
  <c r="BA146" i="7"/>
  <c r="BA162" i="7"/>
  <c r="BA170" i="7"/>
  <c r="BA178" i="7"/>
  <c r="BA194" i="7"/>
  <c r="BA203" i="7"/>
  <c r="BA227" i="7"/>
  <c r="BA235" i="7"/>
  <c r="BA259" i="7"/>
  <c r="BA267" i="7"/>
  <c r="BA291" i="7"/>
  <c r="BA299" i="7"/>
  <c r="AX185" i="7"/>
  <c r="AY23" i="7"/>
  <c r="AX42" i="7"/>
  <c r="AY55" i="7"/>
  <c r="AY63" i="7"/>
  <c r="AY72" i="7"/>
  <c r="AY235" i="7"/>
  <c r="AY2" i="7"/>
  <c r="BB7" i="7"/>
  <c r="BA8" i="7"/>
  <c r="AZ9" i="7"/>
  <c r="AY10" i="7"/>
  <c r="BB15" i="7"/>
  <c r="AZ17" i="7"/>
  <c r="BB23" i="7"/>
  <c r="AZ25" i="7"/>
  <c r="BA34" i="7"/>
  <c r="AZ35" i="7"/>
  <c r="AY36" i="7"/>
  <c r="BB41" i="7"/>
  <c r="BA42" i="7"/>
  <c r="AZ43" i="7"/>
  <c r="BB55" i="7"/>
  <c r="AZ57" i="7"/>
  <c r="AY58" i="7"/>
  <c r="BB63" i="7"/>
  <c r="BA64" i="7"/>
  <c r="AZ66" i="7"/>
  <c r="AY67" i="7"/>
  <c r="BB72" i="7"/>
  <c r="BA73" i="7"/>
  <c r="BB80" i="7"/>
  <c r="BA81" i="7"/>
  <c r="BB88" i="7"/>
  <c r="AZ90" i="7"/>
  <c r="AY91" i="7"/>
  <c r="BB96" i="7"/>
  <c r="BA97" i="7"/>
  <c r="AY99" i="7"/>
  <c r="AZ116" i="7"/>
  <c r="BB122" i="7"/>
  <c r="AZ124" i="7"/>
  <c r="AZ132" i="7"/>
  <c r="BB138" i="7"/>
  <c r="AZ140" i="7"/>
  <c r="BB146" i="7"/>
  <c r="BB154" i="7"/>
  <c r="BB170" i="7"/>
  <c r="BB178" i="7"/>
  <c r="BB186" i="7"/>
  <c r="BB203" i="7"/>
  <c r="BB211" i="7"/>
  <c r="BB219" i="7"/>
  <c r="BB235" i="7"/>
  <c r="BB243" i="7"/>
  <c r="BB251" i="7"/>
  <c r="BB267" i="7"/>
  <c r="BB275" i="7"/>
  <c r="BB283" i="7"/>
  <c r="BB299" i="7"/>
  <c r="AX16" i="7"/>
  <c r="AY33" i="7"/>
  <c r="AY88" i="7"/>
  <c r="AY122" i="7"/>
  <c r="AY203" i="7"/>
  <c r="AY211" i="7"/>
  <c r="AY251" i="7"/>
  <c r="AY299" i="7"/>
  <c r="AZ2" i="7"/>
  <c r="BB8" i="7"/>
  <c r="BA9" i="7"/>
  <c r="AZ10" i="7"/>
  <c r="BB16" i="7"/>
  <c r="BA17" i="7"/>
  <c r="AZ18" i="7"/>
  <c r="BB24" i="7"/>
  <c r="BA25" i="7"/>
  <c r="AZ26" i="7"/>
  <c r="BA35" i="7"/>
  <c r="AZ36" i="7"/>
  <c r="BB42" i="7"/>
  <c r="BA43" i="7"/>
  <c r="AZ50" i="7"/>
  <c r="AX52" i="7"/>
  <c r="BB56" i="7"/>
  <c r="AZ58" i="7"/>
  <c r="AX60" i="7"/>
  <c r="AZ67" i="7"/>
  <c r="AX69" i="7"/>
  <c r="BB73" i="7"/>
  <c r="BA74" i="7"/>
  <c r="AZ75" i="7"/>
  <c r="AX77" i="7"/>
  <c r="BB81" i="7"/>
  <c r="AZ83" i="7"/>
  <c r="AX85" i="7"/>
  <c r="BB89" i="7"/>
  <c r="AZ91" i="7"/>
  <c r="AX93" i="7"/>
  <c r="BA98" i="7"/>
  <c r="AZ99" i="7"/>
  <c r="AX101" i="7"/>
  <c r="BB115" i="7"/>
  <c r="BA116" i="7"/>
  <c r="BB123" i="7"/>
  <c r="BA124" i="7"/>
  <c r="BA132" i="7"/>
  <c r="BA140" i="7"/>
  <c r="AZ200" i="7"/>
  <c r="AZ208" i="7"/>
  <c r="AZ216" i="7"/>
  <c r="AZ224" i="7"/>
  <c r="AZ232" i="7"/>
  <c r="AZ240" i="7"/>
  <c r="AZ248" i="7"/>
  <c r="AZ256" i="7"/>
  <c r="AZ264" i="7"/>
  <c r="AZ272" i="7"/>
  <c r="AZ280" i="7"/>
  <c r="AZ288" i="7"/>
  <c r="AZ296" i="7"/>
  <c r="BA143" i="7"/>
  <c r="AZ144" i="7"/>
  <c r="BA151" i="7"/>
  <c r="AZ152" i="7"/>
  <c r="BA159" i="7"/>
  <c r="AZ160" i="7"/>
  <c r="BA167" i="7"/>
  <c r="AZ168" i="7"/>
  <c r="BA175" i="7"/>
  <c r="AZ176" i="7"/>
  <c r="BA183" i="7"/>
  <c r="AZ184" i="7"/>
  <c r="BA191" i="7"/>
  <c r="AZ192" i="7"/>
  <c r="BA200" i="7"/>
  <c r="AZ201" i="7"/>
  <c r="BA208" i="7"/>
  <c r="AZ209" i="7"/>
  <c r="BA216" i="7"/>
  <c r="AZ217" i="7"/>
  <c r="BA224" i="7"/>
  <c r="AZ225" i="7"/>
  <c r="BA232" i="7"/>
  <c r="AZ233" i="7"/>
  <c r="BA240" i="7"/>
  <c r="AZ241" i="7"/>
  <c r="BA248" i="7"/>
  <c r="AZ249" i="7"/>
  <c r="BA256" i="7"/>
  <c r="AZ257" i="7"/>
  <c r="BA264" i="7"/>
  <c r="AZ265" i="7"/>
  <c r="BA272" i="7"/>
  <c r="AZ273" i="7"/>
  <c r="BA280" i="7"/>
  <c r="AZ281" i="7"/>
  <c r="BA288" i="7"/>
  <c r="AZ289" i="7"/>
  <c r="BA296" i="7"/>
  <c r="AZ297" i="7"/>
  <c r="BA120" i="7"/>
  <c r="AZ121" i="7"/>
  <c r="BB127" i="7"/>
  <c r="BA128" i="7"/>
  <c r="AZ129" i="7"/>
  <c r="BB135" i="7"/>
  <c r="BA136" i="7"/>
  <c r="AZ137" i="7"/>
  <c r="BB143" i="7"/>
  <c r="BA144" i="7"/>
  <c r="AZ145" i="7"/>
  <c r="BB151" i="7"/>
  <c r="BA152" i="7"/>
  <c r="AZ153" i="7"/>
  <c r="BB159" i="7"/>
  <c r="BA160" i="7"/>
  <c r="AZ161" i="7"/>
  <c r="BB167" i="7"/>
  <c r="BA168" i="7"/>
  <c r="AZ169" i="7"/>
  <c r="BB175" i="7"/>
  <c r="BA176" i="7"/>
  <c r="AZ177" i="7"/>
  <c r="BB183" i="7"/>
  <c r="BA184" i="7"/>
  <c r="AZ185" i="7"/>
  <c r="BB191" i="7"/>
  <c r="BA192" i="7"/>
  <c r="AZ193" i="7"/>
  <c r="BB200" i="7"/>
  <c r="AZ202" i="7"/>
  <c r="BB208" i="7"/>
  <c r="BA209" i="7"/>
  <c r="AZ210" i="7"/>
  <c r="BB216" i="7"/>
  <c r="AZ218" i="7"/>
  <c r="BB224" i="7"/>
  <c r="BA225" i="7"/>
  <c r="AZ226" i="7"/>
  <c r="BB232" i="7"/>
  <c r="AZ234" i="7"/>
  <c r="BB240" i="7"/>
  <c r="BA241" i="7"/>
  <c r="AZ242" i="7"/>
  <c r="BB248" i="7"/>
  <c r="AZ250" i="7"/>
  <c r="BB256" i="7"/>
  <c r="BA257" i="7"/>
  <c r="AZ258" i="7"/>
  <c r="BB264" i="7"/>
  <c r="AZ266" i="7"/>
  <c r="BB272" i="7"/>
  <c r="BA273" i="7"/>
  <c r="AZ274" i="7"/>
  <c r="BB280" i="7"/>
  <c r="AZ282" i="7"/>
  <c r="BB288" i="7"/>
  <c r="BA289" i="7"/>
  <c r="AZ290" i="7"/>
  <c r="BB296" i="7"/>
  <c r="AZ298" i="7"/>
  <c r="BB120" i="7"/>
  <c r="AZ122" i="7"/>
  <c r="BB128" i="7"/>
  <c r="BA129" i="7"/>
  <c r="AZ130" i="7"/>
  <c r="BB136" i="7"/>
  <c r="AZ138" i="7"/>
  <c r="BB144" i="7"/>
  <c r="BA145" i="7"/>
  <c r="AZ146" i="7"/>
  <c r="BB152" i="7"/>
  <c r="AZ154" i="7"/>
  <c r="BB160" i="7"/>
  <c r="BA161" i="7"/>
  <c r="AZ162" i="7"/>
  <c r="BB168" i="7"/>
  <c r="AZ170" i="7"/>
  <c r="BB176" i="7"/>
  <c r="BA177" i="7"/>
  <c r="AZ178" i="7"/>
  <c r="BB184" i="7"/>
  <c r="AZ186" i="7"/>
  <c r="BB192" i="7"/>
  <c r="BA193" i="7"/>
  <c r="AZ194" i="7"/>
  <c r="BB201" i="7"/>
  <c r="BB209" i="7"/>
  <c r="BA210" i="7"/>
  <c r="BB217" i="7"/>
  <c r="BB225" i="7"/>
  <c r="BA226" i="7"/>
  <c r="BB233" i="7"/>
  <c r="BB241" i="7"/>
  <c r="BA242" i="7"/>
  <c r="BB249" i="7"/>
  <c r="BB257" i="7"/>
  <c r="BA258" i="7"/>
  <c r="BB265" i="7"/>
  <c r="BB273" i="7"/>
  <c r="BA274" i="7"/>
  <c r="BB281" i="7"/>
  <c r="BB289" i="7"/>
  <c r="BA290" i="7"/>
  <c r="BB297" i="7"/>
  <c r="AU113" i="7"/>
  <c r="AV113" i="7" s="1"/>
  <c r="AT5" i="6"/>
  <c r="X5" i="6"/>
  <c r="Y4" i="6"/>
  <c r="Y301" i="7"/>
  <c r="Y257" i="7"/>
  <c r="X257" i="7" s="1"/>
  <c r="Y221" i="7"/>
  <c r="Y265" i="7"/>
  <c r="Y225" i="7"/>
  <c r="AT225" i="7" s="1"/>
  <c r="Y245" i="7"/>
  <c r="AT245" i="7" s="1"/>
  <c r="Y253" i="7"/>
  <c r="Y269" i="7"/>
  <c r="Y285" i="7"/>
  <c r="Y26" i="7"/>
  <c r="Y47" i="7"/>
  <c r="Y66" i="7"/>
  <c r="AU66" i="7" s="1"/>
  <c r="AV66" i="7" s="1"/>
  <c r="Y78" i="7"/>
  <c r="Y90" i="7"/>
  <c r="Y98" i="7"/>
  <c r="Y111" i="7"/>
  <c r="AU111" i="7" s="1"/>
  <c r="AV111" i="7" s="1"/>
  <c r="Y120" i="7"/>
  <c r="Y128" i="7"/>
  <c r="Y132" i="7"/>
  <c r="Y213" i="7"/>
  <c r="Y237" i="7"/>
  <c r="Y297" i="7"/>
  <c r="Y75" i="7"/>
  <c r="Y153" i="7"/>
  <c r="Y157" i="7"/>
  <c r="Y161" i="7"/>
  <c r="Y193" i="7"/>
  <c r="Y202" i="7"/>
  <c r="Y210" i="7"/>
  <c r="Y17" i="7"/>
  <c r="Y21" i="7"/>
  <c r="Y64" i="7"/>
  <c r="Y73" i="7"/>
  <c r="Y77" i="7"/>
  <c r="Y81" i="7"/>
  <c r="Y85" i="7"/>
  <c r="Y89" i="7"/>
  <c r="Y93" i="7"/>
  <c r="Y101" i="7"/>
  <c r="Y163" i="7"/>
  <c r="Y171" i="7"/>
  <c r="Y175" i="7"/>
  <c r="Y55" i="7"/>
  <c r="Y59" i="7"/>
  <c r="Y138" i="7"/>
  <c r="Y211" i="7"/>
  <c r="Y150" i="7"/>
  <c r="Y135" i="7"/>
  <c r="Y139" i="7"/>
  <c r="Y140" i="7"/>
  <c r="Y170" i="7"/>
  <c r="Y178" i="7"/>
  <c r="Y187" i="7"/>
  <c r="Y74" i="7"/>
  <c r="Y91" i="7"/>
  <c r="Y56" i="7"/>
  <c r="Y63" i="7"/>
  <c r="Y70" i="7"/>
  <c r="Y112" i="7"/>
  <c r="Y117" i="7"/>
  <c r="Y121" i="7"/>
  <c r="Y125" i="7"/>
  <c r="Y137" i="7"/>
  <c r="Y143" i="7"/>
  <c r="Y147" i="7"/>
  <c r="Y165" i="7"/>
  <c r="Y172" i="7"/>
  <c r="Y179" i="7"/>
  <c r="Y183" i="7"/>
  <c r="Y203" i="7"/>
  <c r="Y207" i="7"/>
  <c r="Y53" i="7"/>
  <c r="Y76" i="7"/>
  <c r="Y5" i="7"/>
  <c r="Y8" i="7"/>
  <c r="Y12" i="7"/>
  <c r="Y16" i="7"/>
  <c r="Y20" i="7"/>
  <c r="Y24" i="7"/>
  <c r="Y29" i="7"/>
  <c r="Y33" i="7"/>
  <c r="Y37" i="7"/>
  <c r="Y41" i="7"/>
  <c r="Y51" i="7"/>
  <c r="Y57" i="7"/>
  <c r="Y60" i="7"/>
  <c r="Y71" i="7"/>
  <c r="Y96" i="7"/>
  <c r="Y99" i="7"/>
  <c r="Y102" i="7"/>
  <c r="Y114" i="7"/>
  <c r="Y118" i="7"/>
  <c r="Y159" i="7"/>
  <c r="Y162" i="7"/>
  <c r="Y166" i="7"/>
  <c r="Y196" i="7"/>
  <c r="Y204" i="7"/>
  <c r="Y2" i="7"/>
  <c r="Y6" i="7"/>
  <c r="Y9" i="7"/>
  <c r="Y13" i="7"/>
  <c r="Y116" i="7"/>
  <c r="Y198" i="7"/>
  <c r="Y3" i="7"/>
  <c r="Y10" i="7"/>
  <c r="Y14" i="7"/>
  <c r="Y18" i="7"/>
  <c r="Y22" i="7"/>
  <c r="Y31" i="7"/>
  <c r="Y35" i="7"/>
  <c r="Y39" i="7"/>
  <c r="Y43" i="7"/>
  <c r="Y44" i="7"/>
  <c r="Y45" i="7"/>
  <c r="Y46" i="7"/>
  <c r="Y61" i="7"/>
  <c r="Y72" i="7"/>
  <c r="Y80" i="7"/>
  <c r="Y83" i="7"/>
  <c r="Y87" i="7"/>
  <c r="Y94" i="7"/>
  <c r="Y100" i="7"/>
  <c r="Y122" i="7"/>
  <c r="Y126" i="7"/>
  <c r="Y129" i="7"/>
  <c r="Y136" i="7"/>
  <c r="Y144" i="7"/>
  <c r="Y151" i="7"/>
  <c r="Y154" i="7"/>
  <c r="Y167" i="7"/>
  <c r="Y173" i="7"/>
  <c r="Y184" i="7"/>
  <c r="Y191" i="7"/>
  <c r="Y199" i="7"/>
  <c r="Y205" i="7"/>
  <c r="Y214" i="7"/>
  <c r="Y4" i="7"/>
  <c r="Y7" i="7"/>
  <c r="Y11" i="7"/>
  <c r="Y15" i="7"/>
  <c r="Y19" i="7"/>
  <c r="Y23" i="7"/>
  <c r="Y49" i="7"/>
  <c r="Y52" i="7"/>
  <c r="Y62" i="7"/>
  <c r="Y69" i="7"/>
  <c r="Y92" i="7"/>
  <c r="Y124" i="7"/>
  <c r="Y130" i="7"/>
  <c r="Y134" i="7"/>
  <c r="Y141" i="7"/>
  <c r="Y145" i="7"/>
  <c r="Y149" i="7"/>
  <c r="Y155" i="7"/>
  <c r="Y158" i="7"/>
  <c r="Y174" i="7"/>
  <c r="Y181" i="7"/>
  <c r="Y185" i="7"/>
  <c r="Y188" i="7"/>
  <c r="Y195" i="7"/>
  <c r="Y206" i="7"/>
  <c r="Y212" i="7"/>
  <c r="Y215" i="7"/>
  <c r="Y219" i="7"/>
  <c r="Y231" i="7"/>
  <c r="Y247" i="7"/>
  <c r="Y251" i="7"/>
  <c r="Y259" i="7"/>
  <c r="Y263" i="7"/>
  <c r="Y275" i="7"/>
  <c r="Y279" i="7"/>
  <c r="Y291" i="7"/>
  <c r="Y295" i="7"/>
  <c r="Y299" i="7"/>
  <c r="Y25" i="7"/>
  <c r="Y67" i="7"/>
  <c r="Y86" i="7"/>
  <c r="Y97" i="7"/>
  <c r="Y131" i="7"/>
  <c r="Y36" i="7"/>
  <c r="Y40" i="7"/>
  <c r="Y54" i="7"/>
  <c r="Y68" i="7"/>
  <c r="AU68" i="7" s="1"/>
  <c r="AV68" i="7" s="1"/>
  <c r="Y79" i="7"/>
  <c r="Y82" i="7"/>
  <c r="Y84" i="7"/>
  <c r="Y88" i="7"/>
  <c r="Y115" i="7"/>
  <c r="Y123" i="7"/>
  <c r="Y133" i="7"/>
  <c r="Y142" i="7"/>
  <c r="Y156" i="7"/>
  <c r="Y164" i="7"/>
  <c r="Y169" i="7"/>
  <c r="Y176" i="7"/>
  <c r="Y186" i="7"/>
  <c r="Y192" i="7"/>
  <c r="Y200" i="7"/>
  <c r="Y209" i="7"/>
  <c r="AU209" i="7" s="1"/>
  <c r="AV209" i="7" s="1"/>
  <c r="Y218" i="7"/>
  <c r="Y222" i="7"/>
  <c r="Y234" i="7"/>
  <c r="Y242" i="7"/>
  <c r="Y250" i="7"/>
  <c r="Y254" i="7"/>
  <c r="Y262" i="7"/>
  <c r="Y266" i="7"/>
  <c r="Y278" i="7"/>
  <c r="Y282" i="7"/>
  <c r="Y298" i="7"/>
  <c r="Y38" i="7"/>
  <c r="Y42" i="7"/>
  <c r="Y50" i="7"/>
  <c r="Y58" i="7"/>
  <c r="Y95" i="7"/>
  <c r="Y127" i="7"/>
  <c r="Y146" i="7"/>
  <c r="Y148" i="7"/>
  <c r="Y152" i="7"/>
  <c r="Y160" i="7"/>
  <c r="Y168" i="7"/>
  <c r="Y177" i="7"/>
  <c r="Y180" i="7"/>
  <c r="Y182" i="7"/>
  <c r="Y190" i="7"/>
  <c r="Y201" i="7"/>
  <c r="AU201" i="7" s="1"/>
  <c r="AV201" i="7" s="1"/>
  <c r="Y208" i="7"/>
  <c r="Y216" i="7"/>
  <c r="Y228" i="7"/>
  <c r="Y240" i="7"/>
  <c r="Y248" i="7"/>
  <c r="Y260" i="7"/>
  <c r="Y272" i="7"/>
  <c r="Y276" i="7"/>
  <c r="Y288" i="7"/>
  <c r="Y300" i="7"/>
  <c r="Y30" i="7"/>
  <c r="Y34" i="7"/>
  <c r="Y28" i="7"/>
  <c r="Y32" i="7"/>
  <c r="Y48" i="7"/>
  <c r="Y230" i="7"/>
  <c r="AU230" i="7" s="1"/>
  <c r="AV230" i="7" s="1"/>
  <c r="Y233" i="7"/>
  <c r="AU233" i="7" s="1"/>
  <c r="AV233" i="7" s="1"/>
  <c r="Y239" i="7"/>
  <c r="Y294" i="7"/>
  <c r="Y292" i="7"/>
  <c r="Y220" i="7"/>
  <c r="Y223" i="7"/>
  <c r="Y226" i="7"/>
  <c r="Y229" i="7"/>
  <c r="AU229" i="7" s="1"/>
  <c r="AV229" i="7" s="1"/>
  <c r="Y232" i="7"/>
  <c r="Y235" i="7"/>
  <c r="Y243" i="7"/>
  <c r="Y252" i="7"/>
  <c r="Y255" i="7"/>
  <c r="Y264" i="7"/>
  <c r="Y267" i="7"/>
  <c r="Y270" i="7"/>
  <c r="Y273" i="7"/>
  <c r="AU273" i="7" s="1"/>
  <c r="AV273" i="7" s="1"/>
  <c r="Y280" i="7"/>
  <c r="Y283" i="7"/>
  <c r="Y286" i="7"/>
  <c r="Y289" i="7"/>
  <c r="AU289" i="7" s="1"/>
  <c r="AV289" i="7" s="1"/>
  <c r="Y296" i="7"/>
  <c r="Y197" i="7"/>
  <c r="Y217" i="7"/>
  <c r="AU217" i="7" s="1"/>
  <c r="AV217" i="7" s="1"/>
  <c r="Y224" i="7"/>
  <c r="Y227" i="7"/>
  <c r="Y236" i="7"/>
  <c r="Y238" i="7"/>
  <c r="AU238" i="7" s="1"/>
  <c r="AV238" i="7" s="1"/>
  <c r="Y241" i="7"/>
  <c r="AU241" i="7" s="1"/>
  <c r="AV241" i="7" s="1"/>
  <c r="Y244" i="7"/>
  <c r="Y246" i="7"/>
  <c r="AU246" i="7" s="1"/>
  <c r="AV246" i="7" s="1"/>
  <c r="Y249" i="7"/>
  <c r="AU249" i="7" s="1"/>
  <c r="AV249" i="7" s="1"/>
  <c r="Y256" i="7"/>
  <c r="Y258" i="7"/>
  <c r="AU258" i="7" s="1"/>
  <c r="AV258" i="7" s="1"/>
  <c r="Y261" i="7"/>
  <c r="AU261" i="7" s="1"/>
  <c r="AV261" i="7" s="1"/>
  <c r="Y268" i="7"/>
  <c r="Y271" i="7"/>
  <c r="Y274" i="7"/>
  <c r="Y277" i="7"/>
  <c r="AU277" i="7" s="1"/>
  <c r="AV277" i="7" s="1"/>
  <c r="Y284" i="7"/>
  <c r="Y287" i="7"/>
  <c r="Y293" i="7"/>
  <c r="AU293" i="7" s="1"/>
  <c r="AV293" i="7" s="1"/>
  <c r="AT113" i="7"/>
  <c r="X113" i="7"/>
  <c r="AT4" i="6"/>
  <c r="X4" i="6"/>
  <c r="Y3" i="6"/>
  <c r="X3" i="6" s="1"/>
  <c r="AT3" i="6"/>
  <c r="Y2" i="6"/>
  <c r="X2" i="6" s="1"/>
  <c r="AT2" i="6"/>
  <c r="AT27" i="7" l="1"/>
  <c r="X27" i="7"/>
  <c r="AU65" i="7"/>
  <c r="AV65" i="7" s="1"/>
  <c r="AT65" i="7"/>
  <c r="AT292" i="7"/>
  <c r="AU292" i="7"/>
  <c r="AV292" i="7" s="1"/>
  <c r="AT272" i="7"/>
  <c r="AU272" i="7"/>
  <c r="AV272" i="7" s="1"/>
  <c r="X146" i="7"/>
  <c r="AU146" i="7"/>
  <c r="AV146" i="7" s="1"/>
  <c r="X250" i="7"/>
  <c r="AU250" i="7"/>
  <c r="AV250" i="7" s="1"/>
  <c r="AT54" i="7"/>
  <c r="AU54" i="7"/>
  <c r="AV54" i="7" s="1"/>
  <c r="AT247" i="7"/>
  <c r="AU247" i="7"/>
  <c r="AV247" i="7" s="1"/>
  <c r="X134" i="7"/>
  <c r="AU134" i="7"/>
  <c r="AV134" i="7" s="1"/>
  <c r="AT214" i="7"/>
  <c r="AU214" i="7"/>
  <c r="AV214" i="7" s="1"/>
  <c r="AT87" i="7"/>
  <c r="AU87" i="7"/>
  <c r="AV87" i="7" s="1"/>
  <c r="AT3" i="7"/>
  <c r="AU3" i="7"/>
  <c r="AV3" i="7" s="1"/>
  <c r="AT8" i="7"/>
  <c r="AU8" i="7"/>
  <c r="AV8" i="7" s="1"/>
  <c r="AT112" i="7"/>
  <c r="AU112" i="7"/>
  <c r="AV112" i="7" s="1"/>
  <c r="X55" i="7"/>
  <c r="AU55" i="7"/>
  <c r="AV55" i="7" s="1"/>
  <c r="X265" i="7"/>
  <c r="AU265" i="7"/>
  <c r="AV265" i="7" s="1"/>
  <c r="AT243" i="7"/>
  <c r="AU243" i="7"/>
  <c r="AV243" i="7" s="1"/>
  <c r="AT182" i="7"/>
  <c r="AU182" i="7"/>
  <c r="AV182" i="7" s="1"/>
  <c r="X38" i="7"/>
  <c r="AU38" i="7"/>
  <c r="AV38" i="7" s="1"/>
  <c r="X186" i="7"/>
  <c r="AU186" i="7"/>
  <c r="AV186" i="7" s="1"/>
  <c r="X40" i="7"/>
  <c r="AU40" i="7"/>
  <c r="AV40" i="7" s="1"/>
  <c r="AT231" i="7"/>
  <c r="AU231" i="7"/>
  <c r="AV231" i="7" s="1"/>
  <c r="X130" i="7"/>
  <c r="AU130" i="7"/>
  <c r="AV130" i="7" s="1"/>
  <c r="AT205" i="7"/>
  <c r="AU205" i="7"/>
  <c r="AV205" i="7" s="1"/>
  <c r="X83" i="7"/>
  <c r="AU83" i="7"/>
  <c r="AV83" i="7" s="1"/>
  <c r="X39" i="7"/>
  <c r="AU39" i="7"/>
  <c r="AV39" i="7" s="1"/>
  <c r="X196" i="7"/>
  <c r="AU196" i="7"/>
  <c r="AV196" i="7" s="1"/>
  <c r="AT102" i="7"/>
  <c r="AU102" i="7"/>
  <c r="AV102" i="7" s="1"/>
  <c r="AT5" i="7"/>
  <c r="AU5" i="7"/>
  <c r="AV5" i="7" s="1"/>
  <c r="AT70" i="7"/>
  <c r="AU70" i="7"/>
  <c r="AV70" i="7" s="1"/>
  <c r="X175" i="7"/>
  <c r="AU175" i="7"/>
  <c r="AV175" i="7" s="1"/>
  <c r="AT221" i="7"/>
  <c r="AU221" i="7"/>
  <c r="AV221" i="7" s="1"/>
  <c r="AU290" i="7"/>
  <c r="AV290" i="7" s="1"/>
  <c r="AT280" i="7"/>
  <c r="AU280" i="7"/>
  <c r="AV280" i="7" s="1"/>
  <c r="AT239" i="7"/>
  <c r="AU239" i="7"/>
  <c r="AV239" i="7" s="1"/>
  <c r="AT248" i="7"/>
  <c r="AU248" i="7"/>
  <c r="AV248" i="7" s="1"/>
  <c r="AT119" i="7"/>
  <c r="AU119" i="7"/>
  <c r="AV119" i="7" s="1"/>
  <c r="X234" i="7"/>
  <c r="AU234" i="7"/>
  <c r="AV234" i="7" s="1"/>
  <c r="AT291" i="7"/>
  <c r="AU291" i="7"/>
  <c r="AV291" i="7" s="1"/>
  <c r="AT174" i="7"/>
  <c r="AU174" i="7"/>
  <c r="AV174" i="7" s="1"/>
  <c r="AT23" i="7"/>
  <c r="AU23" i="7"/>
  <c r="AV23" i="7" s="1"/>
  <c r="AT136" i="7"/>
  <c r="AU136" i="7"/>
  <c r="AV136" i="7" s="1"/>
  <c r="X35" i="7"/>
  <c r="AU35" i="7"/>
  <c r="AV35" i="7" s="1"/>
  <c r="AT166" i="7"/>
  <c r="AU166" i="7"/>
  <c r="AV166" i="7" s="1"/>
  <c r="AT33" i="7"/>
  <c r="AU33" i="7"/>
  <c r="AV33" i="7" s="1"/>
  <c r="X147" i="7"/>
  <c r="AU147" i="7"/>
  <c r="AV147" i="7" s="1"/>
  <c r="AT139" i="7"/>
  <c r="AU139" i="7"/>
  <c r="AV139" i="7" s="1"/>
  <c r="AT157" i="7"/>
  <c r="AU157" i="7"/>
  <c r="AV157" i="7" s="1"/>
  <c r="AT26" i="7"/>
  <c r="AU26" i="7"/>
  <c r="AV26" i="7" s="1"/>
  <c r="AT232" i="7"/>
  <c r="AU232" i="7"/>
  <c r="AV232" i="7" s="1"/>
  <c r="X34" i="7"/>
  <c r="AU34" i="7"/>
  <c r="AV34" i="7" s="1"/>
  <c r="X177" i="7"/>
  <c r="AU177" i="7"/>
  <c r="AV177" i="7" s="1"/>
  <c r="X282" i="7"/>
  <c r="AU282" i="7"/>
  <c r="AV282" i="7" s="1"/>
  <c r="X169" i="7"/>
  <c r="AU169" i="7"/>
  <c r="AV169" i="7" s="1"/>
  <c r="AT131" i="7"/>
  <c r="AU131" i="7"/>
  <c r="AV131" i="7" s="1"/>
  <c r="X215" i="7"/>
  <c r="AU215" i="7"/>
  <c r="AV215" i="7" s="1"/>
  <c r="AT191" i="7"/>
  <c r="AU191" i="7"/>
  <c r="AV191" i="7" s="1"/>
  <c r="AT129" i="7"/>
  <c r="AU129" i="7"/>
  <c r="AV129" i="7" s="1"/>
  <c r="X72" i="7"/>
  <c r="AU72" i="7"/>
  <c r="AV72" i="7" s="1"/>
  <c r="X116" i="7"/>
  <c r="AU116" i="7"/>
  <c r="AV116" i="7" s="1"/>
  <c r="X96" i="7"/>
  <c r="AU96" i="7"/>
  <c r="AV96" i="7" s="1"/>
  <c r="AT29" i="7"/>
  <c r="AU29" i="7"/>
  <c r="AV29" i="7" s="1"/>
  <c r="AT53" i="7"/>
  <c r="AU53" i="7"/>
  <c r="AV53" i="7" s="1"/>
  <c r="AT143" i="7"/>
  <c r="AU143" i="7"/>
  <c r="AV143" i="7" s="1"/>
  <c r="AT56" i="7"/>
  <c r="AU56" i="7"/>
  <c r="AV56" i="7" s="1"/>
  <c r="AT135" i="7"/>
  <c r="AU135" i="7"/>
  <c r="AV135" i="7" s="1"/>
  <c r="AT163" i="7"/>
  <c r="AU163" i="7"/>
  <c r="AV163" i="7" s="1"/>
  <c r="AT64" i="7"/>
  <c r="AU64" i="7"/>
  <c r="AV64" i="7" s="1"/>
  <c r="X153" i="7"/>
  <c r="AU153" i="7"/>
  <c r="AV153" i="7" s="1"/>
  <c r="AT257" i="7"/>
  <c r="AU257" i="7"/>
  <c r="AV257" i="7" s="1"/>
  <c r="AT284" i="7"/>
  <c r="AU284" i="7"/>
  <c r="AV284" i="7" s="1"/>
  <c r="X270" i="7"/>
  <c r="AU270" i="7"/>
  <c r="AV270" i="7" s="1"/>
  <c r="AT30" i="7"/>
  <c r="AU30" i="7"/>
  <c r="AV30" i="7" s="1"/>
  <c r="AT228" i="7"/>
  <c r="AU228" i="7"/>
  <c r="AV228" i="7" s="1"/>
  <c r="AT168" i="7"/>
  <c r="AU168" i="7"/>
  <c r="AV168" i="7" s="1"/>
  <c r="X278" i="7"/>
  <c r="AU278" i="7"/>
  <c r="AV278" i="7" s="1"/>
  <c r="X218" i="7"/>
  <c r="AU218" i="7"/>
  <c r="AV218" i="7" s="1"/>
  <c r="AT164" i="7"/>
  <c r="AU164" i="7"/>
  <c r="AV164" i="7" s="1"/>
  <c r="X84" i="7"/>
  <c r="AU84" i="7"/>
  <c r="AV84" i="7" s="1"/>
  <c r="X97" i="7"/>
  <c r="AU97" i="7"/>
  <c r="AV97" i="7" s="1"/>
  <c r="AT275" i="7"/>
  <c r="AU275" i="7"/>
  <c r="AV275" i="7" s="1"/>
  <c r="X212" i="7"/>
  <c r="AU212" i="7"/>
  <c r="AV212" i="7" s="1"/>
  <c r="X155" i="7"/>
  <c r="AU155" i="7"/>
  <c r="AV155" i="7" s="1"/>
  <c r="AT15" i="7"/>
  <c r="AU15" i="7"/>
  <c r="AV15" i="7" s="1"/>
  <c r="X184" i="7"/>
  <c r="AU184" i="7"/>
  <c r="AV184" i="7" s="1"/>
  <c r="AT126" i="7"/>
  <c r="AU126" i="7"/>
  <c r="AV126" i="7" s="1"/>
  <c r="AT61" i="7"/>
  <c r="AU61" i="7"/>
  <c r="AV61" i="7" s="1"/>
  <c r="AT22" i="7"/>
  <c r="AU22" i="7"/>
  <c r="AV22" i="7" s="1"/>
  <c r="AT13" i="7"/>
  <c r="AU13" i="7"/>
  <c r="AV13" i="7" s="1"/>
  <c r="AT159" i="7"/>
  <c r="AU159" i="7"/>
  <c r="AV159" i="7" s="1"/>
  <c r="X71" i="7"/>
  <c r="AU71" i="7"/>
  <c r="AV71" i="7" s="1"/>
  <c r="AT24" i="7"/>
  <c r="AU24" i="7"/>
  <c r="AV24" i="7" s="1"/>
  <c r="X207" i="7"/>
  <c r="AU207" i="7"/>
  <c r="AV207" i="7" s="1"/>
  <c r="X137" i="7"/>
  <c r="AU137" i="7"/>
  <c r="AV137" i="7" s="1"/>
  <c r="AT91" i="7"/>
  <c r="AU91" i="7"/>
  <c r="AV91" i="7" s="1"/>
  <c r="X150" i="7"/>
  <c r="AU150" i="7"/>
  <c r="AV150" i="7" s="1"/>
  <c r="X101" i="7"/>
  <c r="AU101" i="7"/>
  <c r="AV101" i="7" s="1"/>
  <c r="AT21" i="7"/>
  <c r="AU21" i="7"/>
  <c r="AV21" i="7" s="1"/>
  <c r="AT75" i="7"/>
  <c r="AU75" i="7"/>
  <c r="AV75" i="7" s="1"/>
  <c r="AT269" i="7"/>
  <c r="AU269" i="7"/>
  <c r="AV269" i="7" s="1"/>
  <c r="AT301" i="7"/>
  <c r="AU301" i="7"/>
  <c r="AV301" i="7" s="1"/>
  <c r="AT252" i="7"/>
  <c r="AU252" i="7"/>
  <c r="AV252" i="7" s="1"/>
  <c r="X193" i="7"/>
  <c r="AU193" i="7"/>
  <c r="AV193" i="7" s="1"/>
  <c r="X161" i="7"/>
  <c r="AU161" i="7"/>
  <c r="AV161" i="7" s="1"/>
  <c r="AT171" i="7"/>
  <c r="AU171" i="7"/>
  <c r="AV171" i="7" s="1"/>
  <c r="AT162" i="7"/>
  <c r="AU162" i="7"/>
  <c r="AV162" i="7" s="1"/>
  <c r="AT197" i="7"/>
  <c r="AU197" i="7"/>
  <c r="AV197" i="7" s="1"/>
  <c r="AT267" i="7"/>
  <c r="AU267" i="7"/>
  <c r="AV267" i="7" s="1"/>
  <c r="X226" i="7"/>
  <c r="AU226" i="7"/>
  <c r="AV226" i="7" s="1"/>
  <c r="AT48" i="7"/>
  <c r="AU48" i="7"/>
  <c r="AV48" i="7" s="1"/>
  <c r="AT300" i="7"/>
  <c r="AU300" i="7"/>
  <c r="AV300" i="7" s="1"/>
  <c r="AT216" i="7"/>
  <c r="AU216" i="7"/>
  <c r="AV216" i="7" s="1"/>
  <c r="AT160" i="7"/>
  <c r="AU160" i="7"/>
  <c r="AV160" i="7" s="1"/>
  <c r="AT95" i="7"/>
  <c r="AU95" i="7"/>
  <c r="AV95" i="7" s="1"/>
  <c r="X266" i="7"/>
  <c r="AU266" i="7"/>
  <c r="AV266" i="7" s="1"/>
  <c r="AT156" i="7"/>
  <c r="AU156" i="7"/>
  <c r="AV156" i="7" s="1"/>
  <c r="AT82" i="7"/>
  <c r="AU82" i="7"/>
  <c r="AV82" i="7" s="1"/>
  <c r="X86" i="7"/>
  <c r="AU86" i="7"/>
  <c r="AV86" i="7" s="1"/>
  <c r="AT263" i="7"/>
  <c r="AU263" i="7"/>
  <c r="AV263" i="7" s="1"/>
  <c r="AT206" i="7"/>
  <c r="AU206" i="7"/>
  <c r="AV206" i="7" s="1"/>
  <c r="X149" i="7"/>
  <c r="AU149" i="7"/>
  <c r="AV149" i="7" s="1"/>
  <c r="AT92" i="7"/>
  <c r="AU92" i="7"/>
  <c r="AV92" i="7" s="1"/>
  <c r="AT11" i="7"/>
  <c r="AU11" i="7"/>
  <c r="AV11" i="7" s="1"/>
  <c r="X173" i="7"/>
  <c r="AU173" i="7"/>
  <c r="AV173" i="7" s="1"/>
  <c r="X122" i="7"/>
  <c r="AU122" i="7"/>
  <c r="AV122" i="7" s="1"/>
  <c r="AT46" i="7"/>
  <c r="AU46" i="7"/>
  <c r="AV46" i="7" s="1"/>
  <c r="AT18" i="7"/>
  <c r="AU18" i="7"/>
  <c r="AV18" i="7" s="1"/>
  <c r="AT9" i="7"/>
  <c r="AU9" i="7"/>
  <c r="AV9" i="7" s="1"/>
  <c r="AT118" i="7"/>
  <c r="AU118" i="7"/>
  <c r="AV118" i="7" s="1"/>
  <c r="AT60" i="7"/>
  <c r="AU60" i="7"/>
  <c r="AV60" i="7" s="1"/>
  <c r="AT20" i="7"/>
  <c r="AU20" i="7"/>
  <c r="AV20" i="7" s="1"/>
  <c r="AT203" i="7"/>
  <c r="AU203" i="7"/>
  <c r="AV203" i="7" s="1"/>
  <c r="AT125" i="7"/>
  <c r="AU125" i="7"/>
  <c r="AV125" i="7" s="1"/>
  <c r="AT74" i="7"/>
  <c r="AU74" i="7"/>
  <c r="AV74" i="7" s="1"/>
  <c r="AT211" i="7"/>
  <c r="AU211" i="7"/>
  <c r="AV211" i="7" s="1"/>
  <c r="X93" i="7"/>
  <c r="AU93" i="7"/>
  <c r="AV93" i="7" s="1"/>
  <c r="AT17" i="7"/>
  <c r="AU17" i="7"/>
  <c r="AV17" i="7" s="1"/>
  <c r="AT297" i="7"/>
  <c r="AU297" i="7"/>
  <c r="AV297" i="7" s="1"/>
  <c r="AT98" i="7"/>
  <c r="AU98" i="7"/>
  <c r="AV98" i="7" s="1"/>
  <c r="X253" i="7"/>
  <c r="AU253" i="7"/>
  <c r="AV253" i="7" s="1"/>
  <c r="AT268" i="7"/>
  <c r="AU268" i="7"/>
  <c r="AV268" i="7" s="1"/>
  <c r="X190" i="7"/>
  <c r="AU190" i="7"/>
  <c r="AV190" i="7" s="1"/>
  <c r="X42" i="7"/>
  <c r="AU42" i="7"/>
  <c r="AV42" i="7" s="1"/>
  <c r="AT123" i="7"/>
  <c r="AU123" i="7"/>
  <c r="AV123" i="7" s="1"/>
  <c r="AT299" i="7"/>
  <c r="AU299" i="7"/>
  <c r="AV299" i="7" s="1"/>
  <c r="X185" i="7"/>
  <c r="AU185" i="7"/>
  <c r="AV185" i="7" s="1"/>
  <c r="AT52" i="7"/>
  <c r="AU52" i="7"/>
  <c r="AV52" i="7" s="1"/>
  <c r="AT151" i="7"/>
  <c r="AU151" i="7"/>
  <c r="AV151" i="7" s="1"/>
  <c r="X43" i="7"/>
  <c r="AU43" i="7"/>
  <c r="AV43" i="7" s="1"/>
  <c r="X204" i="7"/>
  <c r="AU204" i="7"/>
  <c r="AV204" i="7" s="1"/>
  <c r="X41" i="7"/>
  <c r="AU41" i="7"/>
  <c r="AV41" i="7" s="1"/>
  <c r="AT172" i="7"/>
  <c r="AU172" i="7"/>
  <c r="AV172" i="7" s="1"/>
  <c r="AT170" i="7"/>
  <c r="AU170" i="7"/>
  <c r="AV170" i="7" s="1"/>
  <c r="X81" i="7"/>
  <c r="AU81" i="7"/>
  <c r="AV81" i="7" s="1"/>
  <c r="X66" i="7"/>
  <c r="AT236" i="7"/>
  <c r="AU236" i="7"/>
  <c r="AV236" i="7" s="1"/>
  <c r="X294" i="7"/>
  <c r="AU294" i="7"/>
  <c r="AV294" i="7" s="1"/>
  <c r="AT260" i="7"/>
  <c r="AU260" i="7"/>
  <c r="AV260" i="7" s="1"/>
  <c r="AT127" i="7"/>
  <c r="AU127" i="7"/>
  <c r="AV127" i="7" s="1"/>
  <c r="X242" i="7"/>
  <c r="AU242" i="7"/>
  <c r="AV242" i="7" s="1"/>
  <c r="AT115" i="7"/>
  <c r="AU115" i="7"/>
  <c r="AV115" i="7" s="1"/>
  <c r="AT295" i="7"/>
  <c r="AU295" i="7"/>
  <c r="AV295" i="7" s="1"/>
  <c r="X181" i="7"/>
  <c r="AU181" i="7"/>
  <c r="AV181" i="7" s="1"/>
  <c r="AT49" i="7"/>
  <c r="AU49" i="7"/>
  <c r="AV49" i="7" s="1"/>
  <c r="AT144" i="7"/>
  <c r="AU144" i="7"/>
  <c r="AV144" i="7" s="1"/>
  <c r="AT198" i="7"/>
  <c r="AU198" i="7"/>
  <c r="AV198" i="7" s="1"/>
  <c r="X37" i="7"/>
  <c r="AU37" i="7"/>
  <c r="AV37" i="7" s="1"/>
  <c r="AT165" i="7"/>
  <c r="AU165" i="7"/>
  <c r="AV165" i="7" s="1"/>
  <c r="AT140" i="7"/>
  <c r="AU140" i="7"/>
  <c r="AV140" i="7" s="1"/>
  <c r="X77" i="7"/>
  <c r="AU77" i="7"/>
  <c r="AV77" i="7" s="1"/>
  <c r="X47" i="7"/>
  <c r="AU47" i="7"/>
  <c r="AV47" i="7" s="1"/>
  <c r="AT227" i="7"/>
  <c r="AU227" i="7"/>
  <c r="AV227" i="7" s="1"/>
  <c r="AT235" i="7"/>
  <c r="AU235" i="7"/>
  <c r="AV235" i="7" s="1"/>
  <c r="X180" i="7"/>
  <c r="AU180" i="7"/>
  <c r="AV180" i="7" s="1"/>
  <c r="X298" i="7"/>
  <c r="AU298" i="7"/>
  <c r="AV298" i="7" s="1"/>
  <c r="AT176" i="7"/>
  <c r="AU176" i="7"/>
  <c r="AV176" i="7" s="1"/>
  <c r="X36" i="7"/>
  <c r="AU36" i="7"/>
  <c r="AV36" i="7" s="1"/>
  <c r="AT219" i="7"/>
  <c r="AU219" i="7"/>
  <c r="AV219" i="7" s="1"/>
  <c r="AT124" i="7"/>
  <c r="AU124" i="7"/>
  <c r="AV124" i="7" s="1"/>
  <c r="AT199" i="7"/>
  <c r="AU199" i="7"/>
  <c r="AV199" i="7" s="1"/>
  <c r="AT80" i="7"/>
  <c r="AU80" i="7"/>
  <c r="AV80" i="7" s="1"/>
  <c r="AT194" i="7"/>
  <c r="AU194" i="7"/>
  <c r="AV194" i="7" s="1"/>
  <c r="AT99" i="7"/>
  <c r="AU99" i="7"/>
  <c r="AV99" i="7" s="1"/>
  <c r="X76" i="7"/>
  <c r="AU76" i="7"/>
  <c r="AV76" i="7" s="1"/>
  <c r="X63" i="7"/>
  <c r="AU63" i="7"/>
  <c r="AV63" i="7" s="1"/>
  <c r="AT73" i="7"/>
  <c r="AU73" i="7"/>
  <c r="AV73" i="7" s="1"/>
  <c r="AT281" i="7"/>
  <c r="AU281" i="7"/>
  <c r="AV281" i="7" s="1"/>
  <c r="AT287" i="7"/>
  <c r="AU287" i="7"/>
  <c r="AV287" i="7" s="1"/>
  <c r="AT256" i="7"/>
  <c r="AU256" i="7"/>
  <c r="AV256" i="7" s="1"/>
  <c r="AT224" i="7"/>
  <c r="AU224" i="7"/>
  <c r="AV224" i="7" s="1"/>
  <c r="AT240" i="7"/>
  <c r="AU240" i="7"/>
  <c r="AV240" i="7" s="1"/>
  <c r="X222" i="7"/>
  <c r="AU222" i="7"/>
  <c r="AV222" i="7" s="1"/>
  <c r="X88" i="7"/>
  <c r="AU88" i="7"/>
  <c r="AV88" i="7" s="1"/>
  <c r="AT279" i="7"/>
  <c r="AU279" i="7"/>
  <c r="AV279" i="7" s="1"/>
  <c r="AT158" i="7"/>
  <c r="AU158" i="7"/>
  <c r="AV158" i="7" s="1"/>
  <c r="AT19" i="7"/>
  <c r="AU19" i="7"/>
  <c r="AV19" i="7" s="1"/>
  <c r="AT31" i="7"/>
  <c r="AU31" i="7"/>
  <c r="AV31" i="7" s="1"/>
  <c r="X111" i="7"/>
  <c r="X274" i="7"/>
  <c r="AU274" i="7"/>
  <c r="AV274" i="7" s="1"/>
  <c r="AT244" i="7"/>
  <c r="AU244" i="7"/>
  <c r="AV244" i="7" s="1"/>
  <c r="AT296" i="7"/>
  <c r="AU296" i="7"/>
  <c r="AV296" i="7" s="1"/>
  <c r="AT264" i="7"/>
  <c r="AU264" i="7"/>
  <c r="AV264" i="7" s="1"/>
  <c r="AT223" i="7"/>
  <c r="AU223" i="7"/>
  <c r="AV223" i="7" s="1"/>
  <c r="X32" i="7"/>
  <c r="AU32" i="7"/>
  <c r="AV32" i="7" s="1"/>
  <c r="AT288" i="7"/>
  <c r="AU288" i="7"/>
  <c r="AV288" i="7" s="1"/>
  <c r="AT208" i="7"/>
  <c r="AU208" i="7"/>
  <c r="AV208" i="7" s="1"/>
  <c r="AT152" i="7"/>
  <c r="AU152" i="7"/>
  <c r="AV152" i="7" s="1"/>
  <c r="X58" i="7"/>
  <c r="AU58" i="7"/>
  <c r="AV58" i="7" s="1"/>
  <c r="X262" i="7"/>
  <c r="AU262" i="7"/>
  <c r="AV262" i="7" s="1"/>
  <c r="X200" i="7"/>
  <c r="AU200" i="7"/>
  <c r="AV200" i="7" s="1"/>
  <c r="X142" i="7"/>
  <c r="AU142" i="7"/>
  <c r="AV142" i="7" s="1"/>
  <c r="AT79" i="7"/>
  <c r="AU79" i="7"/>
  <c r="AV79" i="7" s="1"/>
  <c r="AT67" i="7"/>
  <c r="AU67" i="7"/>
  <c r="AV67" i="7" s="1"/>
  <c r="AT259" i="7"/>
  <c r="AU259" i="7"/>
  <c r="AV259" i="7" s="1"/>
  <c r="AT195" i="7"/>
  <c r="AU195" i="7"/>
  <c r="AV195" i="7" s="1"/>
  <c r="X145" i="7"/>
  <c r="AU145" i="7"/>
  <c r="AV145" i="7" s="1"/>
  <c r="X69" i="7"/>
  <c r="AU69" i="7"/>
  <c r="AV69" i="7" s="1"/>
  <c r="AT7" i="7"/>
  <c r="AU7" i="7"/>
  <c r="AV7" i="7" s="1"/>
  <c r="X167" i="7"/>
  <c r="AU167" i="7"/>
  <c r="AV167" i="7" s="1"/>
  <c r="X100" i="7"/>
  <c r="AU100" i="7"/>
  <c r="AV100" i="7" s="1"/>
  <c r="AT45" i="7"/>
  <c r="AU45" i="7"/>
  <c r="AV45" i="7" s="1"/>
  <c r="AT14" i="7"/>
  <c r="AU14" i="7"/>
  <c r="AV14" i="7" s="1"/>
  <c r="AT6" i="7"/>
  <c r="AU6" i="7"/>
  <c r="AV6" i="7" s="1"/>
  <c r="AT114" i="7"/>
  <c r="AU114" i="7"/>
  <c r="AV114" i="7" s="1"/>
  <c r="AT57" i="7"/>
  <c r="AU57" i="7"/>
  <c r="AV57" i="7" s="1"/>
  <c r="AT16" i="7"/>
  <c r="AU16" i="7"/>
  <c r="AV16" i="7" s="1"/>
  <c r="X183" i="7"/>
  <c r="AU183" i="7"/>
  <c r="AV183" i="7" s="1"/>
  <c r="AT121" i="7"/>
  <c r="AU121" i="7"/>
  <c r="AV121" i="7" s="1"/>
  <c r="X187" i="7"/>
  <c r="AU187" i="7"/>
  <c r="AV187" i="7" s="1"/>
  <c r="AT138" i="7"/>
  <c r="AU138" i="7"/>
  <c r="AV138" i="7" s="1"/>
  <c r="X89" i="7"/>
  <c r="AU89" i="7"/>
  <c r="AV89" i="7" s="1"/>
  <c r="AT210" i="7"/>
  <c r="AU210" i="7"/>
  <c r="AV210" i="7" s="1"/>
  <c r="AT237" i="7"/>
  <c r="AU237" i="7"/>
  <c r="AV237" i="7" s="1"/>
  <c r="AT90" i="7"/>
  <c r="AU90" i="7"/>
  <c r="AV90" i="7" s="1"/>
  <c r="X245" i="7"/>
  <c r="AU245" i="7"/>
  <c r="AV245" i="7" s="1"/>
  <c r="X286" i="7"/>
  <c r="AU286" i="7"/>
  <c r="AV286" i="7" s="1"/>
  <c r="AU189" i="7"/>
  <c r="AV189" i="7" s="1"/>
  <c r="X132" i="7"/>
  <c r="AU132" i="7"/>
  <c r="AV132" i="7" s="1"/>
  <c r="AT283" i="7"/>
  <c r="AU283" i="7"/>
  <c r="AV283" i="7" s="1"/>
  <c r="AT128" i="7"/>
  <c r="AU128" i="7"/>
  <c r="AV128" i="7" s="1"/>
  <c r="AT120" i="7"/>
  <c r="AU120" i="7"/>
  <c r="AV120" i="7" s="1"/>
  <c r="X285" i="7"/>
  <c r="AU285" i="7"/>
  <c r="AV285" i="7" s="1"/>
  <c r="AT271" i="7"/>
  <c r="AU271" i="7"/>
  <c r="AV271" i="7" s="1"/>
  <c r="AT255" i="7"/>
  <c r="AU255" i="7"/>
  <c r="AV255" i="7" s="1"/>
  <c r="AT220" i="7"/>
  <c r="AU220" i="7"/>
  <c r="AV220" i="7" s="1"/>
  <c r="X28" i="7"/>
  <c r="AU28" i="7"/>
  <c r="AV28" i="7" s="1"/>
  <c r="AT276" i="7"/>
  <c r="AU276" i="7"/>
  <c r="AV276" i="7" s="1"/>
  <c r="AT148" i="7"/>
  <c r="AU148" i="7"/>
  <c r="AV148" i="7" s="1"/>
  <c r="AT50" i="7"/>
  <c r="AU50" i="7"/>
  <c r="AV50" i="7" s="1"/>
  <c r="X254" i="7"/>
  <c r="AU254" i="7"/>
  <c r="AV254" i="7" s="1"/>
  <c r="X192" i="7"/>
  <c r="AU192" i="7"/>
  <c r="AV192" i="7" s="1"/>
  <c r="X133" i="7"/>
  <c r="AU133" i="7"/>
  <c r="AV133" i="7" s="1"/>
  <c r="AT25" i="7"/>
  <c r="AU25" i="7"/>
  <c r="AV25" i="7" s="1"/>
  <c r="AT251" i="7"/>
  <c r="AU251" i="7"/>
  <c r="AV251" i="7" s="1"/>
  <c r="X188" i="7"/>
  <c r="AU188" i="7"/>
  <c r="AV188" i="7" s="1"/>
  <c r="X141" i="7"/>
  <c r="AU141" i="7"/>
  <c r="AV141" i="7" s="1"/>
  <c r="AT62" i="7"/>
  <c r="AU62" i="7"/>
  <c r="AV62" i="7" s="1"/>
  <c r="AT4" i="7"/>
  <c r="AU4" i="7"/>
  <c r="AV4" i="7" s="1"/>
  <c r="AT154" i="7"/>
  <c r="AU154" i="7"/>
  <c r="AV154" i="7" s="1"/>
  <c r="AT94" i="7"/>
  <c r="AU94" i="7"/>
  <c r="AV94" i="7" s="1"/>
  <c r="X44" i="7"/>
  <c r="AU44" i="7"/>
  <c r="AV44" i="7" s="1"/>
  <c r="AT10" i="7"/>
  <c r="AU10" i="7"/>
  <c r="AV10" i="7" s="1"/>
  <c r="AT2" i="7"/>
  <c r="AU2" i="7"/>
  <c r="AV2" i="7" s="1"/>
  <c r="X51" i="7"/>
  <c r="AU51" i="7"/>
  <c r="AV51" i="7" s="1"/>
  <c r="AT12" i="7"/>
  <c r="AU12" i="7"/>
  <c r="AV12" i="7" s="1"/>
  <c r="AT179" i="7"/>
  <c r="AU179" i="7"/>
  <c r="AV179" i="7" s="1"/>
  <c r="AT117" i="7"/>
  <c r="AU117" i="7"/>
  <c r="AV117" i="7" s="1"/>
  <c r="X178" i="7"/>
  <c r="AU178" i="7"/>
  <c r="AV178" i="7" s="1"/>
  <c r="X59" i="7"/>
  <c r="AU59" i="7"/>
  <c r="AV59" i="7" s="1"/>
  <c r="X85" i="7"/>
  <c r="AU85" i="7"/>
  <c r="AV85" i="7" s="1"/>
  <c r="AT202" i="7"/>
  <c r="AU202" i="7"/>
  <c r="AV202" i="7" s="1"/>
  <c r="X213" i="7"/>
  <c r="AU213" i="7"/>
  <c r="AV213" i="7" s="1"/>
  <c r="AT78" i="7"/>
  <c r="AU78" i="7"/>
  <c r="AV78" i="7" s="1"/>
  <c r="X225" i="7"/>
  <c r="AU225" i="7"/>
  <c r="AV225" i="7" s="1"/>
  <c r="X301" i="7"/>
  <c r="AT285" i="7"/>
  <c r="X120" i="7"/>
  <c r="X26" i="7"/>
  <c r="AT66" i="7"/>
  <c r="AT213" i="7"/>
  <c r="AT44" i="7"/>
  <c r="X126" i="7"/>
  <c r="X75" i="7"/>
  <c r="X9" i="7"/>
  <c r="X221" i="7"/>
  <c r="X21" i="7"/>
  <c r="AT196" i="7"/>
  <c r="AT265" i="7"/>
  <c r="AT137" i="7"/>
  <c r="X269" i="7"/>
  <c r="AT175" i="7"/>
  <c r="X79" i="7"/>
  <c r="AT193" i="7"/>
  <c r="AT47" i="7"/>
  <c r="X8" i="7"/>
  <c r="AT101" i="7"/>
  <c r="AT253" i="7"/>
  <c r="X170" i="7"/>
  <c r="AT132" i="7"/>
  <c r="AT150" i="7"/>
  <c r="AT41" i="7"/>
  <c r="X24" i="7"/>
  <c r="AT81" i="7"/>
  <c r="AT55" i="7"/>
  <c r="X112" i="7"/>
  <c r="X94" i="7"/>
  <c r="AT145" i="7"/>
  <c r="X118" i="7"/>
  <c r="X20" i="7"/>
  <c r="X31" i="7"/>
  <c r="AT161" i="7"/>
  <c r="X128" i="7"/>
  <c r="X17" i="7"/>
  <c r="X297" i="7"/>
  <c r="AT93" i="7"/>
  <c r="X98" i="7"/>
  <c r="AT173" i="7"/>
  <c r="X219" i="7"/>
  <c r="AT42" i="7"/>
  <c r="AT77" i="7"/>
  <c r="AT111" i="7"/>
  <c r="AT153" i="7"/>
  <c r="AT59" i="7"/>
  <c r="X78" i="7"/>
  <c r="AT188" i="7"/>
  <c r="X33" i="7"/>
  <c r="X50" i="7"/>
  <c r="X237" i="7"/>
  <c r="X296" i="7"/>
  <c r="AT294" i="7"/>
  <c r="X172" i="7"/>
  <c r="AT207" i="7"/>
  <c r="X90" i="7"/>
  <c r="X91" i="7"/>
  <c r="AT96" i="7"/>
  <c r="X279" i="7"/>
  <c r="X158" i="7"/>
  <c r="X251" i="7"/>
  <c r="X252" i="7"/>
  <c r="AT250" i="7"/>
  <c r="AT100" i="7"/>
  <c r="AT167" i="7"/>
  <c r="X95" i="7"/>
  <c r="AT278" i="7"/>
  <c r="X10" i="7"/>
  <c r="X210" i="7"/>
  <c r="X166" i="7"/>
  <c r="X152" i="7"/>
  <c r="X115" i="7"/>
  <c r="AT28" i="7"/>
  <c r="AT76" i="7"/>
  <c r="X56" i="7"/>
  <c r="AT192" i="7"/>
  <c r="X263" i="7"/>
  <c r="X228" i="7"/>
  <c r="X117" i="7"/>
  <c r="X179" i="7"/>
  <c r="X223" i="7"/>
  <c r="X280" i="7"/>
  <c r="X163" i="7"/>
  <c r="AT36" i="7"/>
  <c r="AT85" i="7"/>
  <c r="AT204" i="7"/>
  <c r="X202" i="7"/>
  <c r="AT88" i="7"/>
  <c r="X64" i="7"/>
  <c r="X191" i="7"/>
  <c r="AT134" i="7"/>
  <c r="AT116" i="7"/>
  <c r="AT200" i="7"/>
  <c r="AT222" i="7"/>
  <c r="X236" i="7"/>
  <c r="X73" i="7"/>
  <c r="X284" i="7"/>
  <c r="AT282" i="7"/>
  <c r="AT218" i="7"/>
  <c r="X121" i="7"/>
  <c r="X22" i="7"/>
  <c r="X14" i="7"/>
  <c r="X48" i="7"/>
  <c r="AT133" i="7"/>
  <c r="AT51" i="7"/>
  <c r="X46" i="7"/>
  <c r="X205" i="7"/>
  <c r="X295" i="7"/>
  <c r="X157" i="7"/>
  <c r="X13" i="7"/>
  <c r="X29" i="7"/>
  <c r="AT89" i="7"/>
  <c r="AT71" i="7"/>
  <c r="X143" i="7"/>
  <c r="AT187" i="7"/>
  <c r="X171" i="7"/>
  <c r="X138" i="7"/>
  <c r="X139" i="7"/>
  <c r="X243" i="7"/>
  <c r="X12" i="7"/>
  <c r="AT242" i="7"/>
  <c r="X80" i="7"/>
  <c r="X271" i="7"/>
  <c r="X231" i="7"/>
  <c r="AT181" i="7"/>
  <c r="X264" i="7"/>
  <c r="X168" i="7"/>
  <c r="X159" i="7"/>
  <c r="X148" i="7"/>
  <c r="AT40" i="7"/>
  <c r="X124" i="7"/>
  <c r="X30" i="7"/>
  <c r="X53" i="7"/>
  <c r="AT215" i="7"/>
  <c r="X199" i="7"/>
  <c r="X87" i="7"/>
  <c r="X267" i="7"/>
  <c r="AT189" i="7"/>
  <c r="X162" i="7"/>
  <c r="X16" i="7"/>
  <c r="X2" i="7"/>
  <c r="AT147" i="7"/>
  <c r="AT212" i="7"/>
  <c r="X211" i="7"/>
  <c r="AT183" i="7"/>
  <c r="X140" i="7"/>
  <c r="X57" i="7"/>
  <c r="AT83" i="7"/>
  <c r="X62" i="7"/>
  <c r="X283" i="7"/>
  <c r="X300" i="7"/>
  <c r="X272" i="7"/>
  <c r="X232" i="7"/>
  <c r="X164" i="7"/>
  <c r="AT266" i="7"/>
  <c r="AT155" i="7"/>
  <c r="AT38" i="7"/>
  <c r="X19" i="7"/>
  <c r="AT97" i="7"/>
  <c r="X67" i="7"/>
  <c r="AT190" i="7"/>
  <c r="X74" i="7"/>
  <c r="AT86" i="7"/>
  <c r="X287" i="7"/>
  <c r="X292" i="7"/>
  <c r="X11" i="7"/>
  <c r="AT186" i="7"/>
  <c r="X49" i="7"/>
  <c r="X174" i="7"/>
  <c r="X216" i="7"/>
  <c r="AT69" i="7"/>
  <c r="AT84" i="7"/>
  <c r="AT58" i="7"/>
  <c r="X135" i="7"/>
  <c r="X151" i="7"/>
  <c r="X102" i="7"/>
  <c r="X260" i="7"/>
  <c r="AT274" i="7"/>
  <c r="AT32" i="7"/>
  <c r="X198" i="7"/>
  <c r="AT178" i="7"/>
  <c r="X156" i="7"/>
  <c r="AT72" i="7"/>
  <c r="X299" i="7"/>
  <c r="X247" i="7"/>
  <c r="X165" i="7"/>
  <c r="AT254" i="7"/>
  <c r="AT142" i="7"/>
  <c r="X127" i="7"/>
  <c r="X114" i="7"/>
  <c r="X23" i="7"/>
  <c r="X6" i="7"/>
  <c r="AT34" i="7"/>
  <c r="AT122" i="7"/>
  <c r="X99" i="7"/>
  <c r="AT37" i="7"/>
  <c r="X5" i="7"/>
  <c r="X203" i="7"/>
  <c r="X82" i="7"/>
  <c r="AT185" i="7"/>
  <c r="X276" i="7"/>
  <c r="X240" i="7"/>
  <c r="X160" i="7"/>
  <c r="X144" i="7"/>
  <c r="X176" i="7"/>
  <c r="X70" i="7"/>
  <c r="X60" i="7"/>
  <c r="X54" i="7"/>
  <c r="AT180" i="7"/>
  <c r="X291" i="7"/>
  <c r="X275" i="7"/>
  <c r="X259" i="7"/>
  <c r="X239" i="7"/>
  <c r="AT177" i="7"/>
  <c r="AT286" i="7"/>
  <c r="AT270" i="7"/>
  <c r="AT226" i="7"/>
  <c r="AT149" i="7"/>
  <c r="AT141" i="7"/>
  <c r="AT43" i="7"/>
  <c r="AT39" i="7"/>
  <c r="X136" i="7"/>
  <c r="X125" i="7"/>
  <c r="X25" i="7"/>
  <c r="X7" i="7"/>
  <c r="X4" i="7"/>
  <c r="X61" i="7"/>
  <c r="X206" i="7"/>
  <c r="AT169" i="7"/>
  <c r="AT63" i="7"/>
  <c r="X214" i="7"/>
  <c r="X195" i="7"/>
  <c r="X255" i="7"/>
  <c r="X288" i="7"/>
  <c r="X248" i="7"/>
  <c r="AT298" i="7"/>
  <c r="AT234" i="7"/>
  <c r="X197" i="7"/>
  <c r="X123" i="7"/>
  <c r="AT130" i="7"/>
  <c r="X208" i="7"/>
  <c r="X92" i="7"/>
  <c r="X131" i="7"/>
  <c r="X182" i="7"/>
  <c r="X52" i="7"/>
  <c r="X45" i="7"/>
  <c r="AT184" i="7"/>
  <c r="X224" i="7"/>
  <c r="X154" i="7"/>
  <c r="AT262" i="7"/>
  <c r="AT146" i="7"/>
  <c r="X15" i="7"/>
  <c r="AT35" i="7"/>
  <c r="X220" i="7"/>
  <c r="AT290" i="7"/>
  <c r="X129" i="7"/>
  <c r="X18" i="7"/>
  <c r="X3" i="7"/>
  <c r="AT201" i="7"/>
  <c r="X201" i="7"/>
  <c r="AT209" i="7"/>
  <c r="X209" i="7"/>
  <c r="AT68" i="7"/>
  <c r="X68" i="7"/>
  <c r="AT233" i="7"/>
  <c r="X233" i="7"/>
  <c r="X235" i="7"/>
  <c r="X244" i="7"/>
  <c r="AT277" i="7"/>
  <c r="X277" i="7"/>
  <c r="AT241" i="7"/>
  <c r="X241" i="7"/>
  <c r="AT289" i="7"/>
  <c r="X289" i="7"/>
  <c r="AT273" i="7"/>
  <c r="X273" i="7"/>
  <c r="AT230" i="7"/>
  <c r="X230" i="7"/>
  <c r="X256" i="7"/>
  <c r="AT261" i="7"/>
  <c r="X261" i="7"/>
  <c r="AT249" i="7"/>
  <c r="X249" i="7"/>
  <c r="AT238" i="7"/>
  <c r="X238" i="7"/>
  <c r="AT229" i="7"/>
  <c r="X229" i="7"/>
  <c r="AT293" i="7"/>
  <c r="X293" i="7"/>
  <c r="X227" i="7"/>
  <c r="X268" i="7"/>
  <c r="AT258" i="7"/>
  <c r="X258" i="7"/>
  <c r="AT246" i="7"/>
  <c r="X246" i="7"/>
  <c r="AT217" i="7"/>
  <c r="X217" i="7"/>
</calcChain>
</file>

<file path=xl/sharedStrings.xml><?xml version="1.0" encoding="utf-8"?>
<sst xmlns="http://schemas.openxmlformats.org/spreadsheetml/2006/main" count="7079" uniqueCount="1393">
  <si>
    <t xml:space="preserve">Institution </t>
  </si>
  <si>
    <t>Match Year</t>
  </si>
  <si>
    <t xml:space="preserve">h-index </t>
  </si>
  <si>
    <t xml:space="preserve">Total </t>
  </si>
  <si>
    <t xml:space="preserve">Post-count </t>
  </si>
  <si>
    <t xml:space="preserve">Pre-count check </t>
  </si>
  <si>
    <t>Pre-Basic</t>
  </si>
  <si>
    <t xml:space="preserve">Pre-Clinical </t>
  </si>
  <si>
    <t>Total Check</t>
  </si>
  <si>
    <t>Post-grad #</t>
  </si>
  <si>
    <t xml:space="preserve">Post grad career </t>
  </si>
  <si>
    <t>Gender</t>
  </si>
  <si>
    <t>IMG</t>
  </si>
  <si>
    <t>IMGLoc</t>
  </si>
  <si>
    <t xml:space="preserve">Credentials </t>
  </si>
  <si>
    <t xml:space="preserve">Medical School </t>
  </si>
  <si>
    <t xml:space="preserve">Med School Ranking (2022, 2023 tmr) </t>
  </si>
  <si>
    <t xml:space="preserve">heart surgery ranking </t>
  </si>
  <si>
    <t xml:space="preserve">Lung Surgery Ranking </t>
  </si>
  <si>
    <t xml:space="preserve">Alumni Pub %ile  </t>
  </si>
  <si>
    <t xml:space="preserve">Alumni Clinical Trial %ile </t>
  </si>
  <si>
    <t>Founding Year</t>
  </si>
  <si>
    <t>Grant before</t>
  </si>
  <si>
    <t xml:space="preserve">Grant after match </t>
  </si>
  <si>
    <t>Offers T32</t>
  </si>
  <si>
    <t>Research requirement (No = 0,yes = 1, option = 2)</t>
  </si>
  <si>
    <t>Baylor</t>
  </si>
  <si>
    <t>Monika Halas</t>
  </si>
  <si>
    <t>F</t>
  </si>
  <si>
    <t xml:space="preserve">Poland </t>
  </si>
  <si>
    <t>MD</t>
  </si>
  <si>
    <t>Medical University of Warsaw</t>
  </si>
  <si>
    <t>R</t>
  </si>
  <si>
    <t>H</t>
  </si>
  <si>
    <t>Gregory P. Boyajian</t>
  </si>
  <si>
    <t>M</t>
  </si>
  <si>
    <t>University of Maryland School of Medicine </t>
  </si>
  <si>
    <t>Top 40</t>
  </si>
  <si>
    <t>India</t>
  </si>
  <si>
    <t>MD/Masters</t>
  </si>
  <si>
    <t>Sri Ramachandra Medical Centre and Research Institute</t>
  </si>
  <si>
    <t>Brigham</t>
  </si>
  <si>
    <t>Maximilian J. Schloss</t>
  </si>
  <si>
    <t xml:space="preserve">M </t>
  </si>
  <si>
    <t>Munchen</t>
  </si>
  <si>
    <t>University of Munich</t>
  </si>
  <si>
    <t>Andrea/Andi Leibowitz</t>
  </si>
  <si>
    <t>Top 20</t>
  </si>
  <si>
    <t>Farhang Yazdchi</t>
  </si>
  <si>
    <t xml:space="preserve">Tehran </t>
  </si>
  <si>
    <t>Shahid Beheshti University of Medical Sciences</t>
  </si>
  <si>
    <t>UCSF School of Medicine</t>
  </si>
  <si>
    <t>Sue Xue Wang</t>
  </si>
  <si>
    <t>Patrick C. Gedeon</t>
  </si>
  <si>
    <t xml:space="preserve">MD/PhD </t>
  </si>
  <si>
    <t>Duke University School of Medicine</t>
  </si>
  <si>
    <t>Hoda Javadikaskari</t>
  </si>
  <si>
    <t xml:space="preserve">Tehran University of Medical Sciences </t>
  </si>
  <si>
    <t>John P Finnigan</t>
  </si>
  <si>
    <t>Icahn School of Medicine</t>
  </si>
  <si>
    <t>Morgan harloff</t>
  </si>
  <si>
    <t>Taiwan</t>
  </si>
  <si>
    <t>Kaohsiung Medical University</t>
  </si>
  <si>
    <t>Philip Martins Allen</t>
  </si>
  <si>
    <t>Columbia University Vagelos College of Physicians and Surgeons</t>
  </si>
  <si>
    <t xml:space="preserve">Vivian Hsing Chun Wang </t>
  </si>
  <si>
    <t>Boston University School of Medicine</t>
  </si>
  <si>
    <t>Cedars</t>
  </si>
  <si>
    <t>Andy Dong</t>
  </si>
  <si>
    <t xml:space="preserve">Emory Univeristy </t>
  </si>
  <si>
    <t>Brian Lim</t>
  </si>
  <si>
    <t xml:space="preserve">Einstein College of Medicine </t>
  </si>
  <si>
    <t>Rishab Humar</t>
  </si>
  <si>
    <t>Pittsburgh School of Medicine</t>
  </si>
  <si>
    <t>Jad Malas</t>
  </si>
  <si>
    <t>New York University Grossman School of Medicine</t>
  </si>
  <si>
    <t>Ali Ibrahim Own</t>
  </si>
  <si>
    <t>Sudan</t>
  </si>
  <si>
    <t>University of Medical Sciences and Technology, Khartoum, Sudan</t>
  </si>
  <si>
    <t>Federico Sertic</t>
  </si>
  <si>
    <t xml:space="preserve">Milan </t>
  </si>
  <si>
    <t>University of Milan, Italy</t>
  </si>
  <si>
    <t>Valeria Farias</t>
  </si>
  <si>
    <t xml:space="preserve">SUNY Downstate </t>
  </si>
  <si>
    <t>Non-Top 40</t>
  </si>
  <si>
    <t>NR</t>
  </si>
  <si>
    <t>Keaton Cooley-Reider</t>
  </si>
  <si>
    <t xml:space="preserve">University of California, irvine </t>
  </si>
  <si>
    <t>John T  Kennedy</t>
  </si>
  <si>
    <t xml:space="preserve">University of Central Florida </t>
  </si>
  <si>
    <t xml:space="preserve">Emily Wright </t>
  </si>
  <si>
    <t>Marshall University Edwards school of Medicine</t>
  </si>
  <si>
    <t>James A Miller</t>
  </si>
  <si>
    <t xml:space="preserve">University of Buffalo </t>
  </si>
  <si>
    <r>
      <t xml:space="preserve">James Bailey </t>
    </r>
    <r>
      <rPr>
        <sz val="12"/>
        <color rgb="FFFF0000"/>
        <rFont val="Calibri"/>
        <family val="2"/>
        <scheme val="minor"/>
      </rPr>
      <t>(-2023)</t>
    </r>
  </si>
  <si>
    <t>Michigan State University College of Human Medicine</t>
  </si>
  <si>
    <t>Cleveland Clinic</t>
  </si>
  <si>
    <t>Nadia Bakir</t>
  </si>
  <si>
    <t>Washington University School of Medicine in St. Louis</t>
  </si>
  <si>
    <t>Rohun Bhagat</t>
  </si>
  <si>
    <t>University of Rochester School of Medicine &amp; Dentistry</t>
  </si>
  <si>
    <t xml:space="preserve">Top 40 </t>
  </si>
  <si>
    <t>Cleveland Clinic Lerner College of Medicine</t>
  </si>
  <si>
    <t>William Frankel</t>
  </si>
  <si>
    <t>Baylor College of Medicine</t>
  </si>
  <si>
    <t>Haley Jenkins</t>
  </si>
  <si>
    <t xml:space="preserve">University of Mississipi Medical Center </t>
  </si>
  <si>
    <t>Unranked</t>
  </si>
  <si>
    <t>Benjamin Yang</t>
  </si>
  <si>
    <t xml:space="preserve">University of Chicago Pritzker School of Medicine </t>
  </si>
  <si>
    <t>Raphaelle Chemtob</t>
  </si>
  <si>
    <t>Denmark</t>
  </si>
  <si>
    <t>University of Copenhagen</t>
  </si>
  <si>
    <t>Bradley Rosinski</t>
  </si>
  <si>
    <t>Case Western Reserve University School of Medicine</t>
  </si>
  <si>
    <t>Shawn M. Shah</t>
  </si>
  <si>
    <t>University of Virginia School of Medicine</t>
  </si>
  <si>
    <t>Nicholas A. Oh</t>
  </si>
  <si>
    <t>George Washington University School of Medicine</t>
  </si>
  <si>
    <t>Colombia</t>
  </si>
  <si>
    <t>Universidad de Los Andes (Bogota, Colombia)</t>
  </si>
  <si>
    <t>James C.  Witten</t>
  </si>
  <si>
    <t>Karolis Bauza</t>
  </si>
  <si>
    <t>England</t>
  </si>
  <si>
    <t>University of Oxford (Oxford, England)</t>
  </si>
  <si>
    <t>Frank S Cikach</t>
  </si>
  <si>
    <t>Michael J. Javorski</t>
  </si>
  <si>
    <t>Loyola Chicago Stritch School of Medicine</t>
  </si>
  <si>
    <r>
      <t>Viral C. Patel</t>
    </r>
    <r>
      <rPr>
        <sz val="12"/>
        <color rgb="FFFF0000"/>
        <rFont val="Calibri"/>
        <family val="2"/>
        <scheme val="minor"/>
      </rPr>
      <t xml:space="preserve"> (-2023)</t>
    </r>
  </si>
  <si>
    <r>
      <t xml:space="preserve">Anthony L. Zaki </t>
    </r>
    <r>
      <rPr>
        <sz val="12"/>
        <color rgb="FFFF0000"/>
        <rFont val="Calibri"/>
        <family val="2"/>
        <scheme val="minor"/>
      </rPr>
      <t>(-2023)</t>
    </r>
  </si>
  <si>
    <t>Northwestern Feinberg School of Medicine</t>
  </si>
  <si>
    <t>Columbia</t>
  </si>
  <si>
    <t>William M. Mitchell</t>
  </si>
  <si>
    <t xml:space="preserve">University of Arkansas </t>
  </si>
  <si>
    <t xml:space="preserve">Salem Argaw </t>
  </si>
  <si>
    <t>Northwestern University</t>
  </si>
  <si>
    <t>Geisel School of Medicine at Dartmouth</t>
  </si>
  <si>
    <t>Isao Anzai</t>
  </si>
  <si>
    <t>Morgan K  Moroi</t>
  </si>
  <si>
    <t>Penn State College of Medicine</t>
  </si>
  <si>
    <t>Krushang S. Patel</t>
  </si>
  <si>
    <t>Sameer K. Singh</t>
  </si>
  <si>
    <t>Stephanie N.  Nguyen</t>
  </si>
  <si>
    <t>McGovern Medical School and UTHealth</t>
  </si>
  <si>
    <t>David Blitzer</t>
  </si>
  <si>
    <t>University of Pennsylvania</t>
  </si>
  <si>
    <r>
      <t xml:space="preserve">Alex M. D’Angelo </t>
    </r>
    <r>
      <rPr>
        <sz val="12"/>
        <color rgb="FFFF0000"/>
        <rFont val="Calibri"/>
        <family val="2"/>
        <scheme val="minor"/>
      </rPr>
      <t>(-2023)</t>
    </r>
  </si>
  <si>
    <t>University of Pittsburgh School of Medicine</t>
  </si>
  <si>
    <r>
      <t xml:space="preserve">Yuting Chiang </t>
    </r>
    <r>
      <rPr>
        <sz val="12"/>
        <color rgb="FFFF0000"/>
        <rFont val="Calibri"/>
        <family val="2"/>
        <scheme val="minor"/>
      </rPr>
      <t>(-2023)</t>
    </r>
  </si>
  <si>
    <t>William Clinton Erwin</t>
  </si>
  <si>
    <t>University of Alabama School of Medicine</t>
  </si>
  <si>
    <t>Michael T. Simpson</t>
  </si>
  <si>
    <t>Duke</t>
  </si>
  <si>
    <t>Rebekah Boyd</t>
  </si>
  <si>
    <t xml:space="preserve">Jackie Olive </t>
  </si>
  <si>
    <t xml:space="preserve">Ramak Khosravi </t>
  </si>
  <si>
    <t>MD/PhD</t>
  </si>
  <si>
    <t>Yale University School of Medicine</t>
  </si>
  <si>
    <t xml:space="preserve">Abigail R. Benkert </t>
  </si>
  <si>
    <t>Tufts Medical Center</t>
  </si>
  <si>
    <t>Andrew M. Vekstein</t>
  </si>
  <si>
    <r>
      <t xml:space="preserve">Julie Doberne </t>
    </r>
    <r>
      <rPr>
        <sz val="12"/>
        <color rgb="FFFF0000"/>
        <rFont val="Calibri"/>
        <family val="2"/>
        <scheme val="minor"/>
      </rPr>
      <t>(-2023)</t>
    </r>
  </si>
  <si>
    <t>Oregon Health &amp; Science University</t>
  </si>
  <si>
    <t xml:space="preserve">Muath Bishawi </t>
  </si>
  <si>
    <t>Stony Brook School of Medicine</t>
  </si>
  <si>
    <t>Alejandro Murillo Berlioz</t>
  </si>
  <si>
    <t>Emory</t>
  </si>
  <si>
    <t>Ross M. Reul</t>
  </si>
  <si>
    <t>Elizabeth Norton</t>
  </si>
  <si>
    <t>Creighton University</t>
  </si>
  <si>
    <t>William Qu</t>
  </si>
  <si>
    <t>Emory University School of Medicine</t>
  </si>
  <si>
    <t>Edward Chiou</t>
  </si>
  <si>
    <t>Dale S Deas</t>
  </si>
  <si>
    <t>University of Alabama at Birmingham</t>
  </si>
  <si>
    <t>T35</t>
  </si>
  <si>
    <t>Parth Patel</t>
  </si>
  <si>
    <t>University of Kansas</t>
  </si>
  <si>
    <r>
      <t xml:space="preserve">John L. Murray </t>
    </r>
    <r>
      <rPr>
        <sz val="12"/>
        <color rgb="FFFF0000"/>
        <rFont val="Calibri"/>
        <family val="2"/>
        <scheme val="minor"/>
      </rPr>
      <t>(-2023)</t>
    </r>
  </si>
  <si>
    <t>Northwell</t>
  </si>
  <si>
    <t>Lauren Bougioukas</t>
  </si>
  <si>
    <t>University of Vermont, Larner School of Medicine</t>
  </si>
  <si>
    <t>Scarlett Tohme</t>
  </si>
  <si>
    <t>New York Medical College</t>
  </si>
  <si>
    <t>Danielle Aronowiz</t>
  </si>
  <si>
    <t>Zucker School of Medicine</t>
  </si>
  <si>
    <t>Vivek Chetan Mehta</t>
  </si>
  <si>
    <t>University of Missouri School of Medicine</t>
  </si>
  <si>
    <t>Daniel Lambert</t>
  </si>
  <si>
    <t>Joshua S.  Newman</t>
  </si>
  <si>
    <r>
      <t xml:space="preserve">Miguel Alexis </t>
    </r>
    <r>
      <rPr>
        <sz val="12"/>
        <color rgb="FFFF0000"/>
        <rFont val="Calibri"/>
        <family val="2"/>
        <scheme val="minor"/>
      </rPr>
      <t>(-2023)</t>
    </r>
  </si>
  <si>
    <r>
      <t>Kyle William Riggs</t>
    </r>
    <r>
      <rPr>
        <sz val="12"/>
        <color rgb="FFFF0000"/>
        <rFont val="Calibri"/>
        <family val="2"/>
        <scheme val="minor"/>
      </rPr>
      <t xml:space="preserve"> (-2022)</t>
    </r>
  </si>
  <si>
    <t>University of Missouri Columbia School of Medicine</t>
  </si>
  <si>
    <t>Nicolas Mayfield</t>
  </si>
  <si>
    <t>Kirsten Zborek</t>
  </si>
  <si>
    <t>Chelsea M Loria</t>
  </si>
  <si>
    <t>Merideth E Geib</t>
  </si>
  <si>
    <t>Long School of Medicine At University of Texas Health San Antonio</t>
  </si>
  <si>
    <t>Patrick F. Vining</t>
  </si>
  <si>
    <t xml:space="preserve">New York University School of Medicine </t>
  </si>
  <si>
    <t>Iowa</t>
  </si>
  <si>
    <t>Texas Tech University Health Sciences Center School of Medicine</t>
  </si>
  <si>
    <t>Kyle Walsh</t>
  </si>
  <si>
    <t>University of Iowa, Roy J and Lucille A Carver College of Medicine</t>
  </si>
  <si>
    <t>Marian Hohenwarter</t>
  </si>
  <si>
    <t>Albert Pai</t>
  </si>
  <si>
    <t>Texas Tech University, School of Medicine</t>
  </si>
  <si>
    <t>Medical College of Georgia, School of Medicine</t>
  </si>
  <si>
    <t>heart failure fellow (C Clinic)</t>
  </si>
  <si>
    <t>Darren G. Haskett</t>
  </si>
  <si>
    <t>Cooper University Hospital</t>
  </si>
  <si>
    <t>Maryland</t>
  </si>
  <si>
    <t>Justin A. Robinson, MD</t>
  </si>
  <si>
    <t>Michigan State University</t>
  </si>
  <si>
    <t>Douglas Tran</t>
  </si>
  <si>
    <t>University of Maryland School of Medicine</t>
  </si>
  <si>
    <t>Stephen Stachnik</t>
  </si>
  <si>
    <t>Perelman School of Medicine</t>
  </si>
  <si>
    <t xml:space="preserve">Top 20 </t>
  </si>
  <si>
    <t>Josh L. Leibowitz</t>
  </si>
  <si>
    <t>Rutgers New Jersey Medical School</t>
  </si>
  <si>
    <t>Aakash Shah</t>
  </si>
  <si>
    <t>Academic (UNC)</t>
  </si>
  <si>
    <t>Montefiore</t>
  </si>
  <si>
    <t>Korri Hershenhouse</t>
  </si>
  <si>
    <t xml:space="preserve">MD </t>
  </si>
  <si>
    <t>Keck School of Medicine</t>
  </si>
  <si>
    <t>Brandon Ferrell</t>
  </si>
  <si>
    <t>Georgetown University School of Medicine</t>
  </si>
  <si>
    <t>Mt Sinai</t>
  </si>
  <si>
    <t>Andrew Del Re</t>
  </si>
  <si>
    <t>Brown University School of Medicine</t>
  </si>
  <si>
    <t>Ross Wheeler</t>
  </si>
  <si>
    <t>Texas Tech University Health Sciences Center El Paso</t>
  </si>
  <si>
    <t>Akosua Frimpong</t>
  </si>
  <si>
    <t>Cooper Medical School of Rowan University</t>
  </si>
  <si>
    <t>Mohamed Abdullah</t>
  </si>
  <si>
    <t>Cairo</t>
  </si>
  <si>
    <t>Cairo University School of Medicine</t>
  </si>
  <si>
    <t>Armita Kabirpour</t>
  </si>
  <si>
    <t>Virginia Commonwealth University School of Medicine</t>
  </si>
  <si>
    <t>Erick Sun</t>
  </si>
  <si>
    <t>Timothy Lee</t>
  </si>
  <si>
    <t>Javier O Mejia-Gabaladon</t>
  </si>
  <si>
    <t>Sophia L Alexis</t>
  </si>
  <si>
    <t>Albany Medical College</t>
  </si>
  <si>
    <t>Japan</t>
  </si>
  <si>
    <t>Kyoto Prefectural University of Medicine</t>
  </si>
  <si>
    <t>MUSC</t>
  </si>
  <si>
    <t>Kelly Ohlrich</t>
  </si>
  <si>
    <t>Tufts University School of Medicine</t>
  </si>
  <si>
    <t>Brady Gunn</t>
  </si>
  <si>
    <t>DO</t>
  </si>
  <si>
    <t>AT Still University</t>
  </si>
  <si>
    <t>Zachary W. Sollie</t>
  </si>
  <si>
    <t>Sarah Chen</t>
  </si>
  <si>
    <t>Maxwell Kilcoyne</t>
  </si>
  <si>
    <t>Philadelphia College of Osteopathic Medicine</t>
  </si>
  <si>
    <t>Walker Blanding</t>
  </si>
  <si>
    <t>Central Michigan University, College of Medicine</t>
  </si>
  <si>
    <t>Morehouse School of Medicine</t>
  </si>
  <si>
    <t>Jennie Kwon</t>
  </si>
  <si>
    <t>Northwestern</t>
  </si>
  <si>
    <t>Adwaiy Manerikar</t>
  </si>
  <si>
    <t>Northwestern Medical School</t>
  </si>
  <si>
    <t>Sarah Nisivaco</t>
  </si>
  <si>
    <t>Harvard Medical School</t>
  </si>
  <si>
    <t>Sandeep Bharadwaj</t>
  </si>
  <si>
    <t>Aaron Clark</t>
  </si>
  <si>
    <r>
      <t>Andre Y. Son</t>
    </r>
    <r>
      <rPr>
        <sz val="12"/>
        <color rgb="FFFF0000"/>
        <rFont val="Calibri"/>
        <family val="2"/>
        <scheme val="minor"/>
      </rPr>
      <t xml:space="preserve"> (-2023)</t>
    </r>
  </si>
  <si>
    <t>Academic (NW)</t>
  </si>
  <si>
    <t>New York University</t>
  </si>
  <si>
    <r>
      <t>Paul J. Devlin</t>
    </r>
    <r>
      <rPr>
        <sz val="12"/>
        <color rgb="FFFF0000"/>
        <rFont val="Calibri"/>
        <family val="2"/>
        <scheme val="minor"/>
      </rPr>
      <t xml:space="preserve"> (-2023)</t>
    </r>
  </si>
  <si>
    <t xml:space="preserve">Congenital fellowhip (?) </t>
  </si>
  <si>
    <t>Saving tiny hearts (75K)</t>
  </si>
  <si>
    <t>NYU</t>
  </si>
  <si>
    <t>Sumner Kilmarx</t>
  </si>
  <si>
    <t>University of Massachusetts School of Medicine</t>
  </si>
  <si>
    <t>SRF</t>
  </si>
  <si>
    <t>Katherine/Kate G. Phillips</t>
  </si>
  <si>
    <t>Camille Yongue</t>
  </si>
  <si>
    <t>Darien Paone</t>
  </si>
  <si>
    <t>New York University School of Medicine</t>
  </si>
  <si>
    <t>OSU</t>
  </si>
  <si>
    <t>Howard University School of Medicine</t>
  </si>
  <si>
    <t>Ahmed Aly</t>
  </si>
  <si>
    <t>Ammu Vijayakumar</t>
  </si>
  <si>
    <t>Stanford</t>
  </si>
  <si>
    <t>Columbia Univeristy College of Physicians and Surgeons</t>
  </si>
  <si>
    <t>Alexander (Alec) K. Reed</t>
  </si>
  <si>
    <t>Kelly C. Higa</t>
  </si>
  <si>
    <t>University of Colorado School of Medicine</t>
  </si>
  <si>
    <t>Ashley Y. Choi</t>
  </si>
  <si>
    <t>Matthew M. Duda</t>
  </si>
  <si>
    <t>Robert A. Borden</t>
  </si>
  <si>
    <t>Johns Hopkins University School of Medicine</t>
  </si>
  <si>
    <t>Perry Choi</t>
  </si>
  <si>
    <t>Oluwatomisin Olurotimi Obafemi</t>
  </si>
  <si>
    <t>UT Medical Branch at Galveston</t>
  </si>
  <si>
    <t>Albert "AJ" Pedroza</t>
  </si>
  <si>
    <t>Stanford University School of Medicine</t>
  </si>
  <si>
    <t>Terrance Pong</t>
  </si>
  <si>
    <t>University of California, San Francisco, School of Medicine</t>
  </si>
  <si>
    <t>Hanjay Wang</t>
  </si>
  <si>
    <t>Columbia University College of Physicians and Surgeons</t>
  </si>
  <si>
    <r>
      <rPr>
        <sz val="12"/>
        <color rgb="FF000000"/>
        <rFont val="Calibri"/>
        <family val="2"/>
        <scheme val="minor"/>
      </rPr>
      <t xml:space="preserve">Patpilai Kasinpila </t>
    </r>
    <r>
      <rPr>
        <sz val="12"/>
        <color rgb="FFFF0000"/>
        <rFont val="Calibri"/>
        <family val="2"/>
        <scheme val="minor"/>
      </rPr>
      <t>(-2023)</t>
    </r>
  </si>
  <si>
    <t>Academic (Stanford)</t>
  </si>
  <si>
    <t>University of Florida School of Medicine</t>
  </si>
  <si>
    <t>TSF 2018 (60K)</t>
  </si>
  <si>
    <r>
      <rPr>
        <sz val="12"/>
        <color rgb="FF000000"/>
        <rFont val="Calibri"/>
        <family val="2"/>
        <scheme val="minor"/>
      </rPr>
      <t xml:space="preserve">Michael J. Paulsen </t>
    </r>
    <r>
      <rPr>
        <sz val="12"/>
        <color rgb="FFFF0000"/>
        <rFont val="Calibri"/>
        <family val="2"/>
        <scheme val="minor"/>
      </rPr>
      <t>(-2023)</t>
    </r>
  </si>
  <si>
    <t>University of Michigan School of Medicine</t>
  </si>
  <si>
    <t>Cayley Bowles</t>
  </si>
  <si>
    <t>University of California, Los Angeles</t>
  </si>
  <si>
    <t>Yuanjia Zhu</t>
  </si>
  <si>
    <t>Lerner College of Medicine of Case Western Reserve University</t>
  </si>
  <si>
    <t>Alex Dalal</t>
  </si>
  <si>
    <t>Drexel University School of Medicine</t>
  </si>
  <si>
    <t>Elbert E. Heng</t>
  </si>
  <si>
    <t>Stefan F.T Elde</t>
  </si>
  <si>
    <t>University of Minnesota School of Medicine</t>
  </si>
  <si>
    <t>Michigan</t>
  </si>
  <si>
    <t>Syed Sikandar Raza</t>
  </si>
  <si>
    <t>University of Alabama Birmingham Heersink School of Medicine</t>
  </si>
  <si>
    <t>Meganne N. Ferrel</t>
  </si>
  <si>
    <t>University of Utah School of Medicine</t>
  </si>
  <si>
    <t>Chi Chi Do-Nguyen</t>
  </si>
  <si>
    <t>Temilolaoluwa O. Daramola</t>
  </si>
  <si>
    <t>University of Maryland Medical School</t>
  </si>
  <si>
    <t>Jarred R. Mondonedo</t>
  </si>
  <si>
    <t>Gardner Yost</t>
  </si>
  <si>
    <t>University of Illinois Chicago School of Medicine</t>
  </si>
  <si>
    <t>Catherine M. Wagner</t>
  </si>
  <si>
    <t>Megan L Schultz</t>
  </si>
  <si>
    <t>Albert Einstein Medical School</t>
  </si>
  <si>
    <t>Taylor Kantor</t>
  </si>
  <si>
    <t>Bree Anne C. Young</t>
  </si>
  <si>
    <t>Eastern Virginia Medical School</t>
  </si>
  <si>
    <t>Michael J Pienta</t>
  </si>
  <si>
    <t>Tl1</t>
  </si>
  <si>
    <t>K Candis Jones-Ungerleider</t>
  </si>
  <si>
    <t>Wake Forest Medical School</t>
  </si>
  <si>
    <r>
      <t>William B. Weir</t>
    </r>
    <r>
      <rPr>
        <sz val="12"/>
        <color rgb="FFFF0000"/>
        <rFont val="Calibri"/>
        <family val="2"/>
        <scheme val="minor"/>
      </rPr>
      <t xml:space="preserve"> (-2023)</t>
    </r>
  </si>
  <si>
    <t>Academic (UF)</t>
  </si>
  <si>
    <t>University of Michigan</t>
  </si>
  <si>
    <r>
      <t xml:space="preserve">Alexander Brescia </t>
    </r>
    <r>
      <rPr>
        <sz val="12"/>
        <color rgb="FFFF0000"/>
        <rFont val="Calibri"/>
        <family val="2"/>
        <scheme val="minor"/>
      </rPr>
      <t>(-2022)</t>
    </r>
  </si>
  <si>
    <t>Academic (aorta fellow then WashU)</t>
  </si>
  <si>
    <t>St Louis University School of Medicine</t>
  </si>
  <si>
    <t>Rochester</t>
  </si>
  <si>
    <t>Julie Dalton</t>
  </si>
  <si>
    <t>Madeline Fryer</t>
  </si>
  <si>
    <t>University of Rochester School of Medicine and Dentistry</t>
  </si>
  <si>
    <t>Nick Searcy</t>
  </si>
  <si>
    <t>Hossein Amirjamshidi</t>
  </si>
  <si>
    <t>Chicago Medical School</t>
  </si>
  <si>
    <r>
      <t xml:space="preserve">Daniel Ryan Ziazadeh </t>
    </r>
    <r>
      <rPr>
        <sz val="12"/>
        <color rgb="FFFF0000"/>
        <rFont val="Calibri"/>
        <family val="2"/>
        <scheme val="minor"/>
      </rPr>
      <t>(-2023)</t>
    </r>
  </si>
  <si>
    <t xml:space="preserve">Academic (Rochester) </t>
  </si>
  <si>
    <t>Uwash</t>
  </si>
  <si>
    <t>Arjune Dhanekula</t>
  </si>
  <si>
    <t xml:space="preserve">Wayne state University of Medicine </t>
  </si>
  <si>
    <t xml:space="preserve">Uwash </t>
  </si>
  <si>
    <t xml:space="preserve">Michael  R.  Shang </t>
  </si>
  <si>
    <t>Washington University in St. Louis</t>
  </si>
  <si>
    <t>UF</t>
  </si>
  <si>
    <t>Fabian Jimenez Contreras</t>
  </si>
  <si>
    <t>Ryan Azarrafiy</t>
  </si>
  <si>
    <t>University of Miami Miller School of Medicine</t>
  </si>
  <si>
    <t>Christopher M. Bobba</t>
  </si>
  <si>
    <t>UK</t>
  </si>
  <si>
    <t>Alan R. Parr</t>
  </si>
  <si>
    <t>Andrew J Gorton</t>
  </si>
  <si>
    <t>University of Illinois College of Medicine</t>
  </si>
  <si>
    <t>Andrew G. Bishop</t>
  </si>
  <si>
    <t>Ohio State University School of Medicine</t>
  </si>
  <si>
    <r>
      <t xml:space="preserve">Rebecca Phillip </t>
    </r>
    <r>
      <rPr>
        <sz val="12"/>
        <color rgb="FFFF0000"/>
        <rFont val="Calibri"/>
        <family val="2"/>
        <scheme val="minor"/>
      </rPr>
      <t>(-2023)</t>
    </r>
  </si>
  <si>
    <t>St George's University</t>
  </si>
  <si>
    <t>UPenn</t>
  </si>
  <si>
    <t>Rohan Shad</t>
  </si>
  <si>
    <t>Delhi</t>
  </si>
  <si>
    <t xml:space="preserve">University College of Medical Sciences, Delhi </t>
  </si>
  <si>
    <t>Matthew A Brown</t>
  </si>
  <si>
    <t>Alexandra E Sperry</t>
  </si>
  <si>
    <t>Michael A Catalano</t>
  </si>
  <si>
    <t>Nicholas J Goel</t>
  </si>
  <si>
    <t>Andrew M Acker</t>
  </si>
  <si>
    <t>Jason J Han</t>
  </si>
  <si>
    <t>William L Patrick</t>
  </si>
  <si>
    <t>Stanford University</t>
  </si>
  <si>
    <t>Matthew C Woods</t>
  </si>
  <si>
    <t>Mark R Helmers</t>
  </si>
  <si>
    <t>Mallory L Hunt/Irons</t>
  </si>
  <si>
    <t>Amit Iyengar</t>
  </si>
  <si>
    <t>John J Kelly</t>
  </si>
  <si>
    <t>Emory School of Medicine</t>
  </si>
  <si>
    <t>Benjamin F Smood</t>
  </si>
  <si>
    <t>University of Alabama Birmingham</t>
  </si>
  <si>
    <t>UNC</t>
  </si>
  <si>
    <t>Steven A. Buckeridge</t>
  </si>
  <si>
    <t>Amrita Sukhavasi</t>
  </si>
  <si>
    <t>Sidney Kimmel Medical College at Thomas Jefferson University</t>
  </si>
  <si>
    <t>Danielle N. O' Hara</t>
  </si>
  <si>
    <t>Stony Brook University</t>
  </si>
  <si>
    <t>Audrey L Khoury</t>
  </si>
  <si>
    <r>
      <t xml:space="preserve">Aurelie Merlo </t>
    </r>
    <r>
      <rPr>
        <sz val="12"/>
        <color rgb="FFFF0000"/>
        <rFont val="Calibri"/>
        <family val="2"/>
        <scheme val="minor"/>
      </rPr>
      <t>(-2023)</t>
    </r>
  </si>
  <si>
    <t>UPMC</t>
  </si>
  <si>
    <t>Kei Kobayashi</t>
  </si>
  <si>
    <t xml:space="preserve"> japan </t>
  </si>
  <si>
    <t>Tokyo Women’s Medical University in Japan</t>
  </si>
  <si>
    <t>Ian G. Christie</t>
  </si>
  <si>
    <t>Megan E. Turner</t>
  </si>
  <si>
    <t>James A. Brown</t>
  </si>
  <si>
    <t>Mahnoor A. Imran</t>
  </si>
  <si>
    <t xml:space="preserve"> pakistan </t>
  </si>
  <si>
    <t>Ziauddin University , Pakistan</t>
  </si>
  <si>
    <t>Bryant W. Fisher</t>
  </si>
  <si>
    <t>Rachel L. Deitz</t>
  </si>
  <si>
    <t>University of Miami</t>
  </si>
  <si>
    <t>Sarah Yousef</t>
  </si>
  <si>
    <t>Syed Faaz Ashraf</t>
  </si>
  <si>
    <t xml:space="preserve">london </t>
  </si>
  <si>
    <t>University of London</t>
  </si>
  <si>
    <t>Nicholas R Hess</t>
  </si>
  <si>
    <t>Keith A Dufendach</t>
  </si>
  <si>
    <t>Perelman School of Medicine at the University of Pennsylvania</t>
  </si>
  <si>
    <t>Ernest G Chan</t>
  </si>
  <si>
    <t>Dongning Zhang</t>
  </si>
  <si>
    <r>
      <t xml:space="preserve">Chigozirim N. Ekeke </t>
    </r>
    <r>
      <rPr>
        <sz val="12"/>
        <color rgb="FFFF0000"/>
        <rFont val="Calibri"/>
        <family val="2"/>
        <scheme val="minor"/>
      </rPr>
      <t>(-2023)</t>
    </r>
  </si>
  <si>
    <t>Academic (Umich)</t>
  </si>
  <si>
    <t xml:space="preserve">Ohio State </t>
  </si>
  <si>
    <r>
      <t>Kyla D. Joubert</t>
    </r>
    <r>
      <rPr>
        <sz val="12"/>
        <color rgb="FFFF0000"/>
        <rFont val="Calibri"/>
        <family val="2"/>
        <scheme val="minor"/>
      </rPr>
      <t xml:space="preserve"> (-2023)</t>
    </r>
  </si>
  <si>
    <t xml:space="preserve">Academic (indiana) </t>
  </si>
  <si>
    <r>
      <t xml:space="preserve">Laura M. Seese </t>
    </r>
    <r>
      <rPr>
        <sz val="12"/>
        <color rgb="FFFF0000"/>
        <rFont val="Calibri"/>
        <family val="2"/>
        <scheme val="minor"/>
      </rPr>
      <t>(-2023)</t>
    </r>
  </si>
  <si>
    <t>Fellow congenital (UPMC)</t>
  </si>
  <si>
    <t xml:space="preserve">University of California, Irvine </t>
  </si>
  <si>
    <t xml:space="preserve">USC </t>
  </si>
  <si>
    <t>Valerie P Huang</t>
  </si>
  <si>
    <t xml:space="preserve">University of Southern California </t>
  </si>
  <si>
    <t>Mark Lewis</t>
  </si>
  <si>
    <t xml:space="preserve">University of Mississippi Medical Center </t>
  </si>
  <si>
    <t>William Blake Swicord</t>
  </si>
  <si>
    <t>University of Alabama at Birmingham School of Medicine</t>
  </si>
  <si>
    <t>Lynette Lester</t>
  </si>
  <si>
    <t xml:space="preserve">NYU medical school </t>
  </si>
  <si>
    <t>Markian M Bojko</t>
  </si>
  <si>
    <t>Chace Mitchell</t>
  </si>
  <si>
    <t>Kayvan Kazerouni</t>
  </si>
  <si>
    <t xml:space="preserve">Rutgers Robert Wood Johnson Medical School </t>
  </si>
  <si>
    <t>William/Billy Oslund</t>
  </si>
  <si>
    <t>Academic (aorta fellow then UTSW)</t>
  </si>
  <si>
    <t>University of Texas Medical Branch At Galveston</t>
  </si>
  <si>
    <t>David W. Fields</t>
  </si>
  <si>
    <t>UT Health Texas</t>
  </si>
  <si>
    <t>Brittany G Abt</t>
  </si>
  <si>
    <t>UT Antonio</t>
  </si>
  <si>
    <r>
      <t xml:space="preserve">Hope E Cordova, DO </t>
    </r>
    <r>
      <rPr>
        <u/>
        <sz val="12"/>
        <color rgb="FFFF0000"/>
        <rFont val="Calibri"/>
        <family val="2"/>
        <scheme val="minor"/>
      </rPr>
      <t xml:space="preserve">(-2023?) </t>
    </r>
  </si>
  <si>
    <t>The University of North Texas Health Science Center Texas College of Osteopathic Medicine</t>
  </si>
  <si>
    <t>Kristen N Errico, MD</t>
  </si>
  <si>
    <t>Frank H. Netter M.D. School of Medicine</t>
  </si>
  <si>
    <t>Geisinger Commonwealth School of Medicine</t>
  </si>
  <si>
    <t>Carolyn A Dubeau, MD</t>
  </si>
  <si>
    <t>Frank H. Netter MD School of Medicine</t>
  </si>
  <si>
    <t>Aakash Shah, MD</t>
  </si>
  <si>
    <t>Rutgers New Jersey Medical School </t>
  </si>
  <si>
    <t>Anne L Sandstrom, MD</t>
  </si>
  <si>
    <t>University of North Dakota School of Medicine</t>
  </si>
  <si>
    <t>Utah</t>
  </si>
  <si>
    <t xml:space="preserve">Joseph C. Heiler </t>
  </si>
  <si>
    <t xml:space="preserve"> Lauren E Levy, MD</t>
  </si>
  <si>
    <t>UVA</t>
  </si>
  <si>
    <r>
      <t xml:space="preserve">Jared P. Beller, MD </t>
    </r>
    <r>
      <rPr>
        <sz val="12"/>
        <color rgb="FFFF0000"/>
        <rFont val="Calibri"/>
        <family val="2"/>
        <scheme val="minor"/>
      </rPr>
      <t>(-2023)</t>
    </r>
  </si>
  <si>
    <t>Academic (adult cong fellow then UVA)</t>
  </si>
  <si>
    <t>Jolian J. Dahl, MD, MSc</t>
  </si>
  <si>
    <t>Emory University</t>
  </si>
  <si>
    <t>Erik J. Scott MD, MS</t>
  </si>
  <si>
    <t>Howard University</t>
  </si>
  <si>
    <t xml:space="preserve">Evan P. Rotar, MD MS </t>
  </si>
  <si>
    <t>University of Toledo</t>
  </si>
  <si>
    <t>Raymond J Strobel, MD MSc</t>
  </si>
  <si>
    <t>Alex M. Wisniewski, MD</t>
  </si>
  <si>
    <t>Steven D Young, MD</t>
  </si>
  <si>
    <t>Daniella H Wong, MD</t>
  </si>
  <si>
    <t>Thomas Jefferson University</t>
  </si>
  <si>
    <t>Davis</t>
  </si>
  <si>
    <t>Melissa Blaker, D.O (Dropped?)</t>
  </si>
  <si>
    <t>Lake Erie College of Osteopathic Medicine</t>
  </si>
  <si>
    <t>T32</t>
  </si>
  <si>
    <t>Sarah A. Chen, M.D., M.S</t>
  </si>
  <si>
    <t>Devon A Anderson, M.D.</t>
  </si>
  <si>
    <t>New York University School of Medicine </t>
  </si>
  <si>
    <t>Bret G DeGraaff, M.D</t>
  </si>
  <si>
    <t>University of Washington School of Medicine</t>
  </si>
  <si>
    <t xml:space="preserve">Yale </t>
  </si>
  <si>
    <t>Makoto Mori, MD, PhD</t>
  </si>
  <si>
    <t>Saket Singh</t>
  </si>
  <si>
    <t xml:space="preserve">India </t>
  </si>
  <si>
    <t>MGM Medical College in India</t>
  </si>
  <si>
    <t>Aaron/Dishen Lin</t>
  </si>
  <si>
    <t xml:space="preserve">Matthew D. Pichert </t>
  </si>
  <si>
    <t xml:space="preserve">Georgetown </t>
  </si>
  <si>
    <t xml:space="preserve">Alexander Sotolongo </t>
  </si>
  <si>
    <t>Clancy W Mullan</t>
  </si>
  <si>
    <t>TSF</t>
  </si>
  <si>
    <t>Syed Usman Bin Mahmood</t>
  </si>
  <si>
    <t xml:space="preserve">Pakistan </t>
  </si>
  <si>
    <t xml:space="preserve">Aga Khan University </t>
  </si>
  <si>
    <t>Alan S. Chou</t>
  </si>
  <si>
    <t>Irbaz Hameed, MD</t>
  </si>
  <si>
    <t>Southeast University Medical College</t>
  </si>
  <si>
    <t>Caroline M. Komlo, MD</t>
  </si>
  <si>
    <t>Sidney Kimmel Medical College at Thomas Jefferson</t>
  </si>
  <si>
    <t>Dustin K Lieu</t>
  </si>
  <si>
    <t>USC</t>
  </si>
  <si>
    <t>Theresa Ermer, MD</t>
  </si>
  <si>
    <t xml:space="preserve">Germany </t>
  </si>
  <si>
    <t>Friedrich-Alexander-Universität Erlangen-Nürnberg</t>
  </si>
  <si>
    <t xml:space="preserve">Tufts University school of medicine </t>
  </si>
  <si>
    <t xml:space="preserve">Charles Logan </t>
  </si>
  <si>
    <t>University of Tennessee</t>
  </si>
  <si>
    <t>Darthmouth University</t>
  </si>
  <si>
    <t>University of Chicago</t>
  </si>
  <si>
    <t>Karanpreet Dhaliwal</t>
  </si>
  <si>
    <t>Aldrin Alpuerto</t>
  </si>
  <si>
    <t>Northeast Ohio Medical University</t>
  </si>
  <si>
    <t>Tulane University</t>
  </si>
  <si>
    <t>Rajiv Gandhi Medical College, India</t>
  </si>
  <si>
    <t>Universidad Federal do Parana</t>
  </si>
  <si>
    <t>Aditya Sengupta</t>
  </si>
  <si>
    <t>University of California, Irvine</t>
  </si>
  <si>
    <t>Touro University California</t>
  </si>
  <si>
    <t xml:space="preserve">Thomas Marsden </t>
  </si>
  <si>
    <t>Louisiana State University</t>
  </si>
  <si>
    <t>Daniel Mohammadi</t>
  </si>
  <si>
    <t>Private (aorta fellow then  S. carolina)</t>
  </si>
  <si>
    <t>University of Texas Southwestern Medical School</t>
  </si>
  <si>
    <t>Academic (UK)</t>
  </si>
  <si>
    <t>University of Kentucky</t>
  </si>
  <si>
    <t>NIH Funding Rank '23</t>
  </si>
  <si>
    <t>Grad/Current Year</t>
  </si>
  <si>
    <t xml:space="preserve">Duration </t>
  </si>
  <si>
    <t>Graduated</t>
  </si>
  <si>
    <t>Resident me</t>
  </si>
  <si>
    <t>Med School Rank Top-10</t>
  </si>
  <si>
    <t>Pre-First</t>
  </si>
  <si>
    <t>Pre-Case</t>
  </si>
  <si>
    <t>Pre-Review</t>
  </si>
  <si>
    <t>Pre-Other</t>
  </si>
  <si>
    <t>Post-First</t>
  </si>
  <si>
    <t>Post-Basic</t>
  </si>
  <si>
    <t xml:space="preserve">Post-Clinical </t>
  </si>
  <si>
    <t>Post-Case</t>
  </si>
  <si>
    <t>Post-Review</t>
  </si>
  <si>
    <t>Post-Other</t>
  </si>
  <si>
    <t>Total-First</t>
  </si>
  <si>
    <t>Total-Basic</t>
  </si>
  <si>
    <t xml:space="preserve">Total-Clinical </t>
  </si>
  <si>
    <t>Total-Cases</t>
  </si>
  <si>
    <t>Total-Review</t>
  </si>
  <si>
    <t>Total-Other</t>
  </si>
  <si>
    <t>Pub-Rate</t>
  </si>
  <si>
    <t>vyatha Mohan</t>
  </si>
  <si>
    <t>Top 10</t>
  </si>
  <si>
    <t>Aria S. Bratt</t>
  </si>
  <si>
    <t>Andreas Habetheur</t>
  </si>
  <si>
    <t xml:space="preserve">Vien </t>
  </si>
  <si>
    <t xml:space="preserve">Medical University of Vien </t>
  </si>
  <si>
    <t>Cincinti</t>
  </si>
  <si>
    <t>Emily Vian</t>
  </si>
  <si>
    <t>Juan B. Uma-Pizano</t>
  </si>
  <si>
    <t>sim M. Azizgolshani</t>
  </si>
  <si>
    <t>Michael P. Sal</t>
  </si>
  <si>
    <r>
      <t>Nicholas John Shea</t>
    </r>
    <r>
      <rPr>
        <sz val="11"/>
        <color rgb="FFFF0000"/>
        <rFont val="Calibri"/>
        <family val="2"/>
        <scheme val="minor"/>
      </rPr>
      <t xml:space="preserve"> (-2022)</t>
    </r>
  </si>
  <si>
    <t>Private (Atlantic)</t>
  </si>
  <si>
    <t>India University</t>
  </si>
  <si>
    <r>
      <t xml:space="preserve"> Maureen A. McKiern</t>
    </r>
    <r>
      <rPr>
        <sz val="12"/>
        <color rgb="FFFF0000"/>
        <rFont val="Calibri"/>
        <family val="2"/>
        <scheme val="minor"/>
      </rPr>
      <t xml:space="preserve"> (-2023)</t>
    </r>
  </si>
  <si>
    <t>Medical University of South Caroli</t>
  </si>
  <si>
    <r>
      <t>Xiaoying Lou </t>
    </r>
    <r>
      <rPr>
        <sz val="12"/>
        <color rgb="FFFF0000"/>
        <rFont val="Calibri"/>
        <family val="2"/>
        <scheme val="minor"/>
      </rPr>
      <t>(-2022)</t>
    </r>
  </si>
  <si>
    <r>
      <t>David Zapata</t>
    </r>
    <r>
      <rPr>
        <sz val="12"/>
        <color rgb="FFFF0000"/>
        <rFont val="Calibri"/>
        <family val="2"/>
        <scheme val="minor"/>
      </rPr>
      <t xml:space="preserve"> (-2022)</t>
    </r>
  </si>
  <si>
    <t xml:space="preserve">Congenital fellowship (Ucinciti) </t>
  </si>
  <si>
    <t>India University School of Medicine</t>
  </si>
  <si>
    <t>Rohan And</t>
  </si>
  <si>
    <t>Medical Univeristy of South Caroli</t>
  </si>
  <si>
    <t>Abby Chaini</t>
  </si>
  <si>
    <r>
      <t xml:space="preserve">Adn M. Al Ayoubi </t>
    </r>
    <r>
      <rPr>
        <sz val="12"/>
        <color rgb="FFFF0000"/>
        <rFont val="Calibri"/>
        <family val="2"/>
        <scheme val="minor"/>
      </rPr>
      <t>(-2023)</t>
    </r>
  </si>
  <si>
    <t>University of North Caroli at Chapel Hill School of Medicine</t>
  </si>
  <si>
    <t>Icahn School of Medicine at Mt Sii</t>
  </si>
  <si>
    <r>
      <t xml:space="preserve"> Nana Toyoda</t>
    </r>
    <r>
      <rPr>
        <sz val="12"/>
        <color rgb="FFFF0000"/>
        <rFont val="Calibri"/>
        <family val="2"/>
        <scheme val="minor"/>
      </rPr>
      <t xml:space="preserve"> (-2023)</t>
    </r>
  </si>
  <si>
    <r>
      <t xml:space="preserve">Lilyanne Chen </t>
    </r>
    <r>
      <rPr>
        <sz val="11"/>
        <color rgb="FFFF0000"/>
        <rFont val="Calibri"/>
        <family val="2"/>
        <scheme val="minor"/>
      </rPr>
      <t>(-2023)</t>
    </r>
  </si>
  <si>
    <r>
      <t xml:space="preserve">Aarti Patel </t>
    </r>
    <r>
      <rPr>
        <sz val="11"/>
        <color rgb="FFFF0000"/>
        <rFont val="Calibri"/>
        <family val="2"/>
        <scheme val="minor"/>
      </rPr>
      <t>(-2022, 2 years gen surg)</t>
    </r>
  </si>
  <si>
    <r>
      <t xml:space="preserve">Maroun Yammine </t>
    </r>
    <r>
      <rPr>
        <sz val="11"/>
        <color rgb="FFFF0000"/>
        <rFont val="Calibri"/>
        <family val="2"/>
        <scheme val="minor"/>
      </rPr>
      <t>(-2022)</t>
    </r>
  </si>
  <si>
    <t>Academic (fellow then mt sinai)</t>
  </si>
  <si>
    <t xml:space="preserve">Argentina </t>
  </si>
  <si>
    <t>University of North Caroli, Chapel Hill</t>
  </si>
  <si>
    <t>Alexander D. Ghanm</t>
  </si>
  <si>
    <t>Quia Kern</t>
  </si>
  <si>
    <r>
      <t xml:space="preserve">Alexander J Sbrocchi </t>
    </r>
    <r>
      <rPr>
        <sz val="12"/>
        <color rgb="FFFF0000"/>
        <rFont val="Calibri"/>
        <family val="2"/>
        <scheme val="minor"/>
      </rPr>
      <t>(-2022)</t>
    </r>
  </si>
  <si>
    <r>
      <t xml:space="preserve">Lloyd "Mac" Felmly </t>
    </r>
    <r>
      <rPr>
        <sz val="12"/>
        <color rgb="FFFF0000"/>
        <rFont val="Calibri"/>
        <family val="2"/>
        <scheme val="minor"/>
      </rPr>
      <t>(-2021)</t>
    </r>
  </si>
  <si>
    <r>
      <t xml:space="preserve">Azad Karim </t>
    </r>
    <r>
      <rPr>
        <sz val="12"/>
        <color rgb="FFFF0000"/>
        <rFont val="Calibri"/>
        <family val="2"/>
        <scheme val="minor"/>
      </rPr>
      <t>(-2022)</t>
    </r>
  </si>
  <si>
    <t>Jen Aziz</t>
  </si>
  <si>
    <t>University of North Caroli School of Medicine</t>
  </si>
  <si>
    <t>Hanh McMullen</t>
  </si>
  <si>
    <t>Aravind Krishn</t>
  </si>
  <si>
    <t>thaniel Parchment</t>
  </si>
  <si>
    <t>University of Cincinti College of Medicine</t>
  </si>
  <si>
    <t>Aria M Goodman</t>
  </si>
  <si>
    <r>
      <t xml:space="preserve">Clauden Louis </t>
    </r>
    <r>
      <rPr>
        <sz val="12"/>
        <color rgb="FFFF0000"/>
        <rFont val="Calibri"/>
        <family val="2"/>
        <scheme val="minor"/>
      </rPr>
      <t>(-2022)</t>
    </r>
  </si>
  <si>
    <t>Carribiean</t>
  </si>
  <si>
    <t xml:space="preserve"> </t>
  </si>
  <si>
    <r>
      <t xml:space="preserve">Peter Rodgers-Fischl </t>
    </r>
    <r>
      <rPr>
        <sz val="11"/>
        <color rgb="FFFF0000"/>
        <rFont val="Calibri"/>
        <family val="2"/>
        <scheme val="minor"/>
      </rPr>
      <t>(-2022)</t>
    </r>
  </si>
  <si>
    <r>
      <t xml:space="preserve">Erinn Ogburn </t>
    </r>
    <r>
      <rPr>
        <sz val="11"/>
        <color rgb="FFFF0000"/>
        <rFont val="Calibri"/>
        <family val="2"/>
        <scheme val="minor"/>
      </rPr>
      <t>(-2021)</t>
    </r>
  </si>
  <si>
    <r>
      <t>Michael Ibrahim</t>
    </r>
    <r>
      <rPr>
        <sz val="12"/>
        <color rgb="FFFF0000"/>
        <rFont val="Calibri"/>
        <family val="2"/>
        <scheme val="minor"/>
      </rPr>
      <t xml:space="preserve"> (-2021)</t>
    </r>
  </si>
  <si>
    <t xml:space="preserve">Imperial College of Medicine </t>
  </si>
  <si>
    <r>
      <t>Catharine Jane McDermott</t>
    </r>
    <r>
      <rPr>
        <sz val="12"/>
        <color rgb="FFFF0000"/>
        <rFont val="Calibri"/>
        <family val="2"/>
        <scheme val="minor"/>
      </rPr>
      <t xml:space="preserve"> (-2022)</t>
    </r>
  </si>
  <si>
    <r>
      <t xml:space="preserve">Hadley Kitchin Wilson </t>
    </r>
    <r>
      <rPr>
        <sz val="12"/>
        <color rgb="FFFF0000"/>
        <rFont val="Calibri"/>
        <family val="2"/>
        <scheme val="minor"/>
      </rPr>
      <t>(-2021)</t>
    </r>
  </si>
  <si>
    <t xml:space="preserve">University of North Caroli at Chapel Hill School of Medicine </t>
  </si>
  <si>
    <t xml:space="preserve">Cinnciti School of Medicine </t>
  </si>
  <si>
    <t>Louisia State University Health Sciences Center</t>
  </si>
  <si>
    <t>An P. Olds</t>
  </si>
  <si>
    <r>
      <t xml:space="preserve">J (Jaye) Alexander Weston </t>
    </r>
    <r>
      <rPr>
        <sz val="12"/>
        <color rgb="FFFF0000"/>
        <rFont val="Calibri"/>
        <family val="2"/>
        <scheme val="minor"/>
      </rPr>
      <t>(-2023)</t>
    </r>
  </si>
  <si>
    <r>
      <t xml:space="preserve">Megan Loo </t>
    </r>
    <r>
      <rPr>
        <sz val="12"/>
        <color rgb="FFFF0000"/>
        <rFont val="Calibri"/>
        <family val="2"/>
        <scheme val="minor"/>
      </rPr>
      <t>(-2022)</t>
    </r>
  </si>
  <si>
    <t>Connor P. McDold, MD</t>
  </si>
  <si>
    <t>Academic (San Antonio)</t>
  </si>
  <si>
    <t>University of Arizo College of Medicine</t>
  </si>
  <si>
    <t>Jothan Hyde, M.D</t>
  </si>
  <si>
    <r>
      <t xml:space="preserve">Amir Sarkeshik </t>
    </r>
    <r>
      <rPr>
        <sz val="11"/>
        <color rgb="FFFF0000"/>
        <rFont val="Calibri"/>
        <family val="2"/>
        <scheme val="minor"/>
      </rPr>
      <t>(-2022)</t>
    </r>
  </si>
  <si>
    <t>Chi</t>
  </si>
  <si>
    <t>Mi H Zaky</t>
  </si>
  <si>
    <r>
      <t>Jeenah Jung</t>
    </r>
    <r>
      <rPr>
        <sz val="12"/>
        <color rgb="FFFF0000"/>
        <rFont val="Calibri"/>
        <family val="2"/>
        <scheme val="minor"/>
      </rPr>
      <t xml:space="preserve">  (-2022)</t>
    </r>
  </si>
  <si>
    <r>
      <t xml:space="preserve">Areo Saffarzadeh </t>
    </r>
    <r>
      <rPr>
        <sz val="12"/>
        <color rgb="FFFF0000"/>
        <rFont val="Calibri"/>
        <family val="2"/>
        <scheme val="minor"/>
      </rPr>
      <t>(-2021)</t>
    </r>
  </si>
  <si>
    <t>Max (Mackenzie) Adcox</t>
  </si>
  <si>
    <r>
      <rPr>
        <sz val="12"/>
        <color rgb="FF000000"/>
        <rFont val="Calibri"/>
        <family val="2"/>
        <scheme val="minor"/>
      </rPr>
      <t>Tori C. Lennox</t>
    </r>
    <r>
      <rPr>
        <sz val="12"/>
        <color rgb="FFFF0000"/>
        <rFont val="Calibri"/>
        <family val="2"/>
        <scheme val="minor"/>
      </rPr>
      <t xml:space="preserve"> (-2021)</t>
    </r>
  </si>
  <si>
    <r>
      <t>Ana Claudia B.A Costa</t>
    </r>
    <r>
      <rPr>
        <sz val="11"/>
        <color rgb="FFFF0000"/>
        <rFont val="Calibri"/>
        <family val="2"/>
        <scheme val="minor"/>
      </rPr>
      <t xml:space="preserve"> (-2021)</t>
    </r>
  </si>
  <si>
    <t>Academic (Mt sinai)</t>
  </si>
  <si>
    <t>Academic (Maryland)</t>
  </si>
  <si>
    <t>Academic (emory)</t>
  </si>
  <si>
    <r>
      <t xml:space="preserve">Amalia A Winters/Jonsson </t>
    </r>
    <r>
      <rPr>
        <sz val="12"/>
        <color rgb="FFFF0000"/>
        <rFont val="Calibri"/>
        <family val="2"/>
        <scheme val="minor"/>
      </rPr>
      <t>(2021)</t>
    </r>
  </si>
  <si>
    <r>
      <rPr>
        <sz val="13"/>
        <rFont val="Calibri"/>
        <family val="2"/>
        <scheme val="minor"/>
      </rPr>
      <t>Bogdan A. Kindzelski</t>
    </r>
    <r>
      <rPr>
        <sz val="13"/>
        <color rgb="FFFF0000"/>
        <rFont val="Calibri"/>
        <family val="2"/>
        <scheme val="minor"/>
      </rPr>
      <t xml:space="preserve"> (-2022)</t>
    </r>
  </si>
  <si>
    <r>
      <rPr>
        <sz val="13"/>
        <rFont val="Calibri"/>
        <family val="2"/>
        <scheme val="minor"/>
      </rPr>
      <t>Andrew E. Everett</t>
    </r>
    <r>
      <rPr>
        <sz val="13"/>
        <color rgb="FF555555"/>
        <rFont val="Calibri"/>
        <family val="2"/>
        <scheme val="minor"/>
      </rPr>
      <t xml:space="preserve">  </t>
    </r>
    <r>
      <rPr>
        <sz val="13"/>
        <color rgb="FFFF0000"/>
        <rFont val="Calibri"/>
        <family val="2"/>
        <scheme val="minor"/>
      </rPr>
      <t>(-2022)</t>
    </r>
  </si>
  <si>
    <r>
      <rPr>
        <sz val="13"/>
        <rFont val="Calibri"/>
        <family val="2"/>
        <scheme val="minor"/>
      </rPr>
      <t>Kevin E. Hodges</t>
    </r>
    <r>
      <rPr>
        <sz val="13"/>
        <color rgb="FF555555"/>
        <rFont val="Calibri"/>
        <family val="2"/>
        <scheme val="minor"/>
      </rPr>
      <t xml:space="preserve"> </t>
    </r>
    <r>
      <rPr>
        <sz val="13"/>
        <color rgb="FFFF0000"/>
        <rFont val="Calibri"/>
        <family val="2"/>
        <scheme val="minor"/>
      </rPr>
      <t xml:space="preserve"> (-2021)</t>
    </r>
  </si>
  <si>
    <r>
      <rPr>
        <sz val="13"/>
        <rFont val="Calibri"/>
        <family val="2"/>
        <scheme val="minor"/>
      </rPr>
      <t>Kyle G. Miletic</t>
    </r>
    <r>
      <rPr>
        <sz val="13"/>
        <color rgb="FF555555"/>
        <rFont val="Calibri"/>
        <family val="2"/>
        <scheme val="minor"/>
      </rPr>
      <t xml:space="preserve"> </t>
    </r>
    <r>
      <rPr>
        <sz val="13"/>
        <color rgb="FFFF0000"/>
        <rFont val="Calibri"/>
        <family val="2"/>
        <scheme val="minor"/>
      </rPr>
      <t>(-2021)</t>
    </r>
  </si>
  <si>
    <r>
      <t xml:space="preserve">Aaron Bettenhausen </t>
    </r>
    <r>
      <rPr>
        <u/>
        <sz val="12"/>
        <color rgb="FFFF0000"/>
        <rFont val="Calibri"/>
        <family val="2"/>
        <scheme val="minor"/>
      </rPr>
      <t>(2022)</t>
    </r>
  </si>
  <si>
    <t>Academic (CCF)</t>
  </si>
  <si>
    <t>Heart_surg_rank</t>
  </si>
  <si>
    <t>Lung_Surg_rank</t>
  </si>
  <si>
    <t>Alum_pub_percent</t>
  </si>
  <si>
    <t>Alum_clinical_percent</t>
  </si>
  <si>
    <t>Founding_year</t>
  </si>
  <si>
    <t>NIH_fund_rank_23</t>
  </si>
  <si>
    <t>Offers_t32</t>
  </si>
  <si>
    <t>Research_requirement</t>
  </si>
  <si>
    <t>Match_year</t>
  </si>
  <si>
    <t>Grad_current_year</t>
  </si>
  <si>
    <t>Resident_Name</t>
  </si>
  <si>
    <t>University of Virginia</t>
  </si>
  <si>
    <t>University of California, Davis</t>
  </si>
  <si>
    <t>Zucker School of Medicine at Hofstra/Northwell</t>
  </si>
  <si>
    <t>Med_school_rank_22_23</t>
  </si>
  <si>
    <t>Med_school_rank_top_10</t>
  </si>
  <si>
    <t>Med_school_rank_no</t>
  </si>
  <si>
    <t>H_index</t>
  </si>
  <si>
    <t>Pre_countcheck</t>
  </si>
  <si>
    <t>Post_count</t>
  </si>
  <si>
    <t>Pre_first</t>
  </si>
  <si>
    <t>Pre_basic</t>
  </si>
  <si>
    <t>Pre_clinical</t>
  </si>
  <si>
    <t>Pre_case</t>
  </si>
  <si>
    <t>Pre_review</t>
  </si>
  <si>
    <t>Pre_other</t>
  </si>
  <si>
    <t>Post_first</t>
  </si>
  <si>
    <t>Post_basic</t>
  </si>
  <si>
    <t>Post_clinical</t>
  </si>
  <si>
    <t>Post_case</t>
  </si>
  <si>
    <t>Post_review</t>
  </si>
  <si>
    <t>Post_other</t>
  </si>
  <si>
    <t>Total_first</t>
  </si>
  <si>
    <t>Total_basic</t>
  </si>
  <si>
    <t>Total_clinical</t>
  </si>
  <si>
    <t>Total_cases</t>
  </si>
  <si>
    <t>Total_review</t>
  </si>
  <si>
    <t>Total_other</t>
  </si>
  <si>
    <t>Total_check</t>
  </si>
  <si>
    <t>Pub_rate</t>
  </si>
  <si>
    <t>Post_grad_no</t>
  </si>
  <si>
    <t>Post_grad_career</t>
  </si>
  <si>
    <t>Grant_before</t>
  </si>
  <si>
    <t>Grant_after</t>
  </si>
  <si>
    <t>Post_grant_category</t>
  </si>
  <si>
    <t>post_firstauthor_rate</t>
  </si>
  <si>
    <t>post_clinical_rate</t>
  </si>
  <si>
    <t>post_basic_rate</t>
  </si>
  <si>
    <t>pre_wo</t>
  </si>
  <si>
    <t>post_wo_rate</t>
  </si>
  <si>
    <t>total_post_wo</t>
  </si>
  <si>
    <t>post_case_rate</t>
  </si>
  <si>
    <t>post_review_rate</t>
  </si>
  <si>
    <t>post_other_rate</t>
  </si>
  <si>
    <r>
      <t xml:space="preserve">Heather L Palomino </t>
    </r>
    <r>
      <rPr>
        <sz val="12"/>
        <color rgb="FFFF0000"/>
        <rFont val="Calibri"/>
        <family val="2"/>
        <scheme val="minor"/>
      </rPr>
      <t>(-2021)</t>
    </r>
  </si>
  <si>
    <t xml:space="preserve">UC San Diego </t>
  </si>
  <si>
    <r>
      <t xml:space="preserve">Scott Christopher Deroo </t>
    </r>
    <r>
      <rPr>
        <sz val="11"/>
        <color rgb="FFFF0000"/>
        <rFont val="Calibri"/>
        <family val="2"/>
        <scheme val="minor"/>
      </rPr>
      <t>(-2021)</t>
    </r>
  </si>
  <si>
    <t>Michigan University</t>
  </si>
  <si>
    <t>Academic (Udub)</t>
  </si>
  <si>
    <t>nataliya Bahatyrevich, M.D</t>
  </si>
  <si>
    <r>
      <t xml:space="preserve">Sheelagh M Pousatis </t>
    </r>
    <r>
      <rPr>
        <sz val="11"/>
        <color rgb="FFFF0000"/>
        <rFont val="Calibri"/>
        <family val="2"/>
        <scheme val="minor"/>
      </rPr>
      <t>(-2021)</t>
    </r>
  </si>
  <si>
    <t xml:space="preserve">Warren C selsky </t>
  </si>
  <si>
    <r>
      <t>Bartholomew V. Simon</t>
    </r>
    <r>
      <rPr>
        <sz val="12"/>
        <color rgb="FFFF0000"/>
        <rFont val="Calibri"/>
        <family val="2"/>
        <scheme val="minor"/>
      </rPr>
      <t xml:space="preserve"> (-2022)</t>
    </r>
  </si>
  <si>
    <t xml:space="preserve">Academic (Mt Sinai) </t>
  </si>
  <si>
    <t xml:space="preserve">Academic (fellow columbia -&gt; stony brook) </t>
  </si>
  <si>
    <t>Academic (baylor)</t>
  </si>
  <si>
    <t>Academic (fellow congenital -&gt; MUSC)</t>
  </si>
  <si>
    <t xml:space="preserve">Private (Northside) </t>
  </si>
  <si>
    <t>Private (Baycare florida)</t>
  </si>
  <si>
    <t>Private (Idaho, Kootenai)</t>
  </si>
  <si>
    <t>Private (St peters)</t>
  </si>
  <si>
    <t xml:space="preserve">Academic (Upenn) </t>
  </si>
  <si>
    <r>
      <rPr>
        <sz val="12"/>
        <rFont val="Calibri"/>
        <family val="2"/>
        <scheme val="minor"/>
      </rPr>
      <t>Anne H. Xue, MD</t>
    </r>
    <r>
      <rPr>
        <sz val="12"/>
        <color rgb="FFFF0000"/>
        <rFont val="Calibri"/>
        <family val="2"/>
        <scheme val="minor"/>
      </rPr>
      <t xml:space="preserve"> (-2023)</t>
    </r>
  </si>
  <si>
    <t>Mercy medical group (cardiac, CA)</t>
  </si>
  <si>
    <t>CCF</t>
  </si>
  <si>
    <t>Corewell Health William Beaumont University Hospital</t>
  </si>
  <si>
    <t>St. Luke's University Health Network </t>
  </si>
  <si>
    <t>Aurora Cardiovascular &amp; Thoracic Services (WI)</t>
  </si>
  <si>
    <t>OHSU</t>
  </si>
  <si>
    <t>Congenital Fellowship, Children’s Healthcare of Atlanta</t>
  </si>
  <si>
    <t>University of Tennessee Medical Center</t>
  </si>
  <si>
    <t>Fellow (robotic thoracic, NYU</t>
  </si>
  <si>
    <t>Hardford medical group (CT)</t>
  </si>
  <si>
    <t>Grand Strand health, south carolina (thoracic), teaching hospital no CT</t>
  </si>
  <si>
    <t>Bellin health, WI (cardiac), not teaching</t>
  </si>
  <si>
    <t>Henry Ford MI (TEACHING!, had to change)</t>
  </si>
  <si>
    <t xml:space="preserve">Career_res </t>
  </si>
  <si>
    <t>Private (UC health Rockies) (TEACHING!, had to change)</t>
  </si>
  <si>
    <t>Private (Intermountain health, CO). Surg residency, no CT</t>
  </si>
  <si>
    <t>Private (Novant NC health), no surg residency</t>
  </si>
  <si>
    <t>Private (St Francis, Tulsa Oklohoma). No surg residency, but OSU gen surg rotates there.</t>
  </si>
  <si>
    <t>Academic (Aortia fellow, attending Baylor)</t>
  </si>
  <si>
    <t>Private (Sequoia Heart &amp; Vascular Institute), no surg residency</t>
  </si>
  <si>
    <t>Private (Orange county before) NOW COREWELL HEALTH, TEACHING! HAD TO CHANGE</t>
  </si>
  <si>
    <t>Private (Providence mission hospital, orange county), no surg residency</t>
  </si>
  <si>
    <t>Private (Florida, Advent health cardiovascular institute, has gen surg res, no CT)</t>
  </si>
  <si>
    <r>
      <t xml:space="preserve">Heather L Palomino </t>
    </r>
    <r>
      <rPr>
        <sz val="10"/>
        <color rgb="FFFF0000"/>
        <rFont val="Calibri"/>
        <family val="2"/>
        <scheme val="minor"/>
      </rPr>
      <t>(-2021)</t>
    </r>
  </si>
  <si>
    <r>
      <t xml:space="preserve">James Bailey </t>
    </r>
    <r>
      <rPr>
        <sz val="10"/>
        <color rgb="FFFF0000"/>
        <rFont val="Calibri"/>
        <family val="2"/>
        <scheme val="minor"/>
      </rPr>
      <t>(-2023)</t>
    </r>
  </si>
  <si>
    <r>
      <t>Viral C. Patel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</si>
  <si>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Anthony L. Zaki </t>
    </r>
    <r>
      <rPr>
        <sz val="10"/>
        <color rgb="FFFF0000"/>
        <rFont val="Calibri"/>
        <family val="2"/>
        <scheme val="minor"/>
      </rPr>
      <t>(-2023)</t>
    </r>
  </si>
  <si>
    <r>
      <rPr>
        <sz val="10"/>
        <rFont val="Calibri"/>
        <family val="2"/>
        <scheme val="minor"/>
      </rPr>
      <t>Bogdan A. Kindzelski</t>
    </r>
    <r>
      <rPr>
        <sz val="10"/>
        <color rgb="FFFF0000"/>
        <rFont val="Calibri"/>
        <family val="2"/>
        <scheme val="minor"/>
      </rPr>
      <t xml:space="preserve"> (-2022)</t>
    </r>
  </si>
  <si>
    <r>
      <rPr>
        <sz val="10"/>
        <rFont val="Calibri"/>
        <family val="2"/>
        <scheme val="minor"/>
      </rPr>
      <t>Andrew E. Everett</t>
    </r>
    <r>
      <rPr>
        <sz val="10"/>
        <color rgb="FF555555"/>
        <rFont val="Calibri"/>
        <family val="2"/>
        <scheme val="minor"/>
      </rPr>
      <t xml:space="preserve">  </t>
    </r>
    <r>
      <rPr>
        <sz val="10"/>
        <color rgb="FFFF0000"/>
        <rFont val="Calibri"/>
        <family val="2"/>
        <scheme val="minor"/>
      </rPr>
      <t>(-2022)</t>
    </r>
  </si>
  <si>
    <r>
      <rPr>
        <sz val="10"/>
        <rFont val="Calibri"/>
        <family val="2"/>
        <scheme val="minor"/>
      </rPr>
      <t>Kevin E. Hodges</t>
    </r>
    <r>
      <rPr>
        <sz val="10"/>
        <color rgb="FF555555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 xml:space="preserve"> (-2021)</t>
    </r>
  </si>
  <si>
    <r>
      <rPr>
        <sz val="10"/>
        <rFont val="Calibri"/>
        <family val="2"/>
        <scheme val="minor"/>
      </rPr>
      <t>Kyle G. Miletic</t>
    </r>
    <r>
      <rPr>
        <sz val="10"/>
        <color rgb="FF555555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(-2021)</t>
    </r>
  </si>
  <si>
    <r>
      <t xml:space="preserve">Alex M. D’Angelo </t>
    </r>
    <r>
      <rPr>
        <sz val="10"/>
        <color rgb="FFFF0000"/>
        <rFont val="Calibri"/>
        <family val="2"/>
        <scheme val="minor"/>
      </rPr>
      <t>(-2023)</t>
    </r>
  </si>
  <si>
    <r>
      <t xml:space="preserve">Yuting Chiang </t>
    </r>
    <r>
      <rPr>
        <sz val="10"/>
        <color rgb="FFFF0000"/>
        <rFont val="Calibri"/>
        <family val="2"/>
        <scheme val="minor"/>
      </rPr>
      <t>(-2023)</t>
    </r>
  </si>
  <si>
    <r>
      <t>Nicholas John Shea</t>
    </r>
    <r>
      <rPr>
        <sz val="10"/>
        <color rgb="FFFF0000"/>
        <rFont val="Calibri"/>
        <family val="2"/>
        <scheme val="minor"/>
      </rPr>
      <t xml:space="preserve"> (-2022)</t>
    </r>
  </si>
  <si>
    <r>
      <t xml:space="preserve">Scott Christopher Deroo </t>
    </r>
    <r>
      <rPr>
        <sz val="10"/>
        <color rgb="FFFF0000"/>
        <rFont val="Calibri"/>
        <family val="2"/>
        <scheme val="minor"/>
      </rPr>
      <t>(-2021)</t>
    </r>
  </si>
  <si>
    <r>
      <t xml:space="preserve">Julie Doberne </t>
    </r>
    <r>
      <rPr>
        <sz val="10"/>
        <color rgb="FFFF0000"/>
        <rFont val="Calibri"/>
        <family val="2"/>
        <scheme val="minor"/>
      </rPr>
      <t>(-2023)</t>
    </r>
  </si>
  <si>
    <r>
      <t xml:space="preserve"> Maureen A. McKiern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</si>
  <si>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John L. Murray </t>
    </r>
    <r>
      <rPr>
        <sz val="10"/>
        <color rgb="FFFF0000"/>
        <rFont val="Calibri"/>
        <family val="2"/>
        <scheme val="minor"/>
      </rPr>
      <t>(-2023)</t>
    </r>
  </si>
  <si>
    <r>
      <t>Xiaoying Lou </t>
    </r>
    <r>
      <rPr>
        <sz val="10"/>
        <color rgb="FFFF0000"/>
        <rFont val="Calibri"/>
        <family val="2"/>
        <scheme val="minor"/>
      </rPr>
      <t>(-2022)</t>
    </r>
  </si>
  <si>
    <r>
      <t>David Zapata</t>
    </r>
    <r>
      <rPr>
        <sz val="10"/>
        <color rgb="FFFF0000"/>
        <rFont val="Calibri"/>
        <family val="2"/>
        <scheme val="minor"/>
      </rPr>
      <t xml:space="preserve"> (-2022)</t>
    </r>
  </si>
  <si>
    <r>
      <t xml:space="preserve">Amalia A Winters/Jonsson </t>
    </r>
    <r>
      <rPr>
        <sz val="10"/>
        <color rgb="FFFF0000"/>
        <rFont val="Calibri"/>
        <family val="2"/>
        <scheme val="minor"/>
      </rPr>
      <t>(2021)</t>
    </r>
  </si>
  <si>
    <r>
      <t xml:space="preserve">Miguel Alexis </t>
    </r>
    <r>
      <rPr>
        <sz val="10"/>
        <color rgb="FFFF0000"/>
        <rFont val="Calibri"/>
        <family val="2"/>
        <scheme val="minor"/>
      </rPr>
      <t>(-2023)</t>
    </r>
  </si>
  <si>
    <r>
      <t>Kyle William Riggs</t>
    </r>
    <r>
      <rPr>
        <sz val="10"/>
        <color rgb="FFFF0000"/>
        <rFont val="Calibri"/>
        <family val="2"/>
        <scheme val="minor"/>
      </rPr>
      <t xml:space="preserve"> (-2022)</t>
    </r>
  </si>
  <si>
    <r>
      <t xml:space="preserve">Adn M. Al Ayoubi </t>
    </r>
    <r>
      <rPr>
        <sz val="10"/>
        <color rgb="FFFF0000"/>
        <rFont val="Calibri"/>
        <family val="2"/>
        <scheme val="minor"/>
      </rPr>
      <t>(-2023)</t>
    </r>
  </si>
  <si>
    <r>
      <t xml:space="preserve">Sheelagh M Pousatis </t>
    </r>
    <r>
      <rPr>
        <sz val="10"/>
        <color rgb="FFFF0000"/>
        <rFont val="Calibri"/>
        <family val="2"/>
        <scheme val="minor"/>
      </rPr>
      <t>(-2021)</t>
    </r>
  </si>
  <si>
    <r>
      <t xml:space="preserve"> Nana Toyoda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</si>
  <si>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Lilyanne Chen </t>
    </r>
    <r>
      <rPr>
        <sz val="10"/>
        <color rgb="FFFF0000"/>
        <rFont val="Calibri"/>
        <family val="2"/>
        <scheme val="minor"/>
      </rPr>
      <t>(-2023)</t>
    </r>
  </si>
  <si>
    <r>
      <t xml:space="preserve">Maroun Yammine </t>
    </r>
    <r>
      <rPr>
        <sz val="10"/>
        <color rgb="FFFF0000"/>
        <rFont val="Calibri"/>
        <family val="2"/>
        <scheme val="minor"/>
      </rPr>
      <t>(-2022)</t>
    </r>
  </si>
  <si>
    <r>
      <t>Ana Claudia B.A Costa</t>
    </r>
    <r>
      <rPr>
        <sz val="10"/>
        <color rgb="FFFF0000"/>
        <rFont val="Calibri"/>
        <family val="2"/>
        <scheme val="minor"/>
      </rPr>
      <t xml:space="preserve"> (-2021)</t>
    </r>
  </si>
  <si>
    <r>
      <t xml:space="preserve">Alexander J Sbrocchi </t>
    </r>
    <r>
      <rPr>
        <sz val="10"/>
        <color rgb="FFFF0000"/>
        <rFont val="Calibri"/>
        <family val="2"/>
        <scheme val="minor"/>
      </rPr>
      <t>(-2022)</t>
    </r>
  </si>
  <si>
    <r>
      <t xml:space="preserve">Lloyd "Mac" Felmly </t>
    </r>
    <r>
      <rPr>
        <sz val="10"/>
        <color rgb="FFFF0000"/>
        <rFont val="Calibri"/>
        <family val="2"/>
        <scheme val="minor"/>
      </rPr>
      <t>(-2021)</t>
    </r>
  </si>
  <si>
    <r>
      <t xml:space="preserve">Azad Karim </t>
    </r>
    <r>
      <rPr>
        <sz val="10"/>
        <color rgb="FFFF0000"/>
        <rFont val="Calibri"/>
        <family val="2"/>
        <scheme val="minor"/>
      </rPr>
      <t>(-2022)</t>
    </r>
  </si>
  <si>
    <r>
      <t>Andre Y. Son</t>
    </r>
    <r>
      <rPr>
        <sz val="10"/>
        <color rgb="FFFF0000"/>
        <rFont val="Calibri"/>
        <family val="2"/>
        <scheme val="minor"/>
      </rPr>
      <t xml:space="preserve"> (-2023)</t>
    </r>
  </si>
  <si>
    <r>
      <t>Paul J. Devlin</t>
    </r>
    <r>
      <rPr>
        <sz val="10"/>
        <color rgb="FFFF0000"/>
        <rFont val="Calibri"/>
        <family val="2"/>
        <scheme val="minor"/>
      </rPr>
      <t xml:space="preserve"> (-2023)</t>
    </r>
  </si>
  <si>
    <r>
      <rPr>
        <sz val="10"/>
        <color rgb="FF000000"/>
        <rFont val="Calibri"/>
        <family val="2"/>
        <scheme val="minor"/>
      </rPr>
      <t xml:space="preserve">Patpilai Kasinpila </t>
    </r>
    <r>
      <rPr>
        <sz val="10"/>
        <color rgb="FFFF0000"/>
        <rFont val="Calibri"/>
        <family val="2"/>
        <scheme val="minor"/>
      </rPr>
      <t>(-2023)</t>
    </r>
  </si>
  <si>
    <r>
      <rPr>
        <sz val="10"/>
        <color rgb="FF000000"/>
        <rFont val="Calibri"/>
        <family val="2"/>
        <scheme val="minor"/>
      </rPr>
      <t xml:space="preserve">Michael J. Paulsen </t>
    </r>
    <r>
      <rPr>
        <sz val="10"/>
        <color rgb="FFFF0000"/>
        <rFont val="Calibri"/>
        <family val="2"/>
        <scheme val="minor"/>
      </rPr>
      <t>(-2023)</t>
    </r>
  </si>
  <si>
    <r>
      <t>William B. Weir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</si>
  <si>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Alexander Brescia </t>
    </r>
    <r>
      <rPr>
        <sz val="10"/>
        <color rgb="FFFF0000"/>
        <rFont val="Calibri"/>
        <family val="2"/>
        <scheme val="minor"/>
      </rPr>
      <t>(-2022)</t>
    </r>
  </si>
  <si>
    <r>
      <t xml:space="preserve">Daniel Ryan Ziazadeh </t>
    </r>
    <r>
      <rPr>
        <sz val="10"/>
        <color rgb="FFFF0000"/>
        <rFont val="Calibri"/>
        <family val="2"/>
        <scheme val="minor"/>
      </rPr>
      <t>(-2023)</t>
    </r>
  </si>
  <si>
    <r>
      <t xml:space="preserve">Clauden Louis </t>
    </r>
    <r>
      <rPr>
        <sz val="10"/>
        <color rgb="FFFF0000"/>
        <rFont val="Calibri"/>
        <family val="2"/>
        <scheme val="minor"/>
      </rPr>
      <t>(-2022)</t>
    </r>
  </si>
  <si>
    <r>
      <t>Bartholomew V. Simon</t>
    </r>
    <r>
      <rPr>
        <sz val="10"/>
        <color rgb="FFFF0000"/>
        <rFont val="Calibri"/>
        <family val="2"/>
        <scheme val="minor"/>
      </rPr>
      <t xml:space="preserve"> (-2022)</t>
    </r>
  </si>
  <si>
    <r>
      <rPr>
        <sz val="10"/>
        <color rgb="FF000000"/>
        <rFont val="Calibri"/>
        <family val="2"/>
        <scheme val="minor"/>
      </rPr>
      <t>Tori C. Lennox</t>
    </r>
    <r>
      <rPr>
        <sz val="10"/>
        <color rgb="FFFF0000"/>
        <rFont val="Calibri"/>
        <family val="2"/>
        <scheme val="minor"/>
      </rPr>
      <t xml:space="preserve"> (-2021)</t>
    </r>
  </si>
  <si>
    <r>
      <t xml:space="preserve">Rebecca Phillip </t>
    </r>
    <r>
      <rPr>
        <sz val="10"/>
        <color rgb="FFFF0000"/>
        <rFont val="Calibri"/>
        <family val="2"/>
        <scheme val="minor"/>
      </rPr>
      <t>(-2023)</t>
    </r>
  </si>
  <si>
    <r>
      <t xml:space="preserve">Peter Rodgers-Fischl </t>
    </r>
    <r>
      <rPr>
        <sz val="10"/>
        <color rgb="FFFF0000"/>
        <rFont val="Calibri"/>
        <family val="2"/>
        <scheme val="minor"/>
      </rPr>
      <t>(-2022)</t>
    </r>
  </si>
  <si>
    <r>
      <t xml:space="preserve">Erinn Ogburn </t>
    </r>
    <r>
      <rPr>
        <sz val="10"/>
        <color rgb="FFFF0000"/>
        <rFont val="Calibri"/>
        <family val="2"/>
        <scheme val="minor"/>
      </rPr>
      <t>(-2021)</t>
    </r>
  </si>
  <si>
    <r>
      <t>Michael Ibrahim</t>
    </r>
    <r>
      <rPr>
        <sz val="10"/>
        <color rgb="FFFF0000"/>
        <rFont val="Calibri"/>
        <family val="2"/>
        <scheme val="minor"/>
      </rPr>
      <t xml:space="preserve"> (-2021)</t>
    </r>
  </si>
  <si>
    <r>
      <t xml:space="preserve">Aurelie Merlo </t>
    </r>
    <r>
      <rPr>
        <sz val="10"/>
        <color rgb="FFFF0000"/>
        <rFont val="Calibri"/>
        <family val="2"/>
        <scheme val="minor"/>
      </rPr>
      <t>(-2023)</t>
    </r>
  </si>
  <si>
    <r>
      <t>Catharine Jane McDermott</t>
    </r>
    <r>
      <rPr>
        <sz val="10"/>
        <color rgb="FFFF0000"/>
        <rFont val="Calibri"/>
        <family val="2"/>
        <scheme val="minor"/>
      </rPr>
      <t xml:space="preserve"> (-2022)</t>
    </r>
  </si>
  <si>
    <r>
      <t xml:space="preserve">Hadley Kitchin Wilson </t>
    </r>
    <r>
      <rPr>
        <sz val="10"/>
        <color rgb="FFFF0000"/>
        <rFont val="Calibri"/>
        <family val="2"/>
        <scheme val="minor"/>
      </rPr>
      <t>(-2021)</t>
    </r>
  </si>
  <si>
    <r>
      <t xml:space="preserve">Chigozirim N. Ekeke </t>
    </r>
    <r>
      <rPr>
        <sz val="10"/>
        <color rgb="FFFF0000"/>
        <rFont val="Calibri"/>
        <family val="2"/>
        <scheme val="minor"/>
      </rPr>
      <t>(-2023)</t>
    </r>
  </si>
  <si>
    <r>
      <t>Kyla D. Joubert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</si>
  <si>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Laura M. Seese </t>
    </r>
    <r>
      <rPr>
        <sz val="10"/>
        <color rgb="FFFF0000"/>
        <rFont val="Calibri"/>
        <family val="2"/>
        <scheme val="minor"/>
      </rPr>
      <t>(-2023)</t>
    </r>
  </si>
  <si>
    <r>
      <t xml:space="preserve">J (Jaye) Alexander Weston </t>
    </r>
    <r>
      <rPr>
        <sz val="10"/>
        <color rgb="FFFF0000"/>
        <rFont val="Calibri"/>
        <family val="2"/>
        <scheme val="minor"/>
      </rPr>
      <t>(-2023)</t>
    </r>
  </si>
  <si>
    <r>
      <t xml:space="preserve">Megan Loo </t>
    </r>
    <r>
      <rPr>
        <sz val="10"/>
        <color rgb="FFFF0000"/>
        <rFont val="Calibri"/>
        <family val="2"/>
        <scheme val="minor"/>
      </rPr>
      <t>(-2022)</t>
    </r>
  </si>
  <si>
    <r>
      <t xml:space="preserve">Hope E Cordova, DO </t>
    </r>
    <r>
      <rPr>
        <u/>
        <sz val="10"/>
        <color rgb="FFFF0000"/>
        <rFont val="Calibri"/>
        <family val="2"/>
        <scheme val="minor"/>
      </rPr>
      <t xml:space="preserve">(-2023?) </t>
    </r>
  </si>
  <si>
    <r>
      <t xml:space="preserve">Aaron Bettenhausen </t>
    </r>
    <r>
      <rPr>
        <u/>
        <sz val="10"/>
        <color rgb="FFFF0000"/>
        <rFont val="Calibri"/>
        <family val="2"/>
        <scheme val="minor"/>
      </rPr>
      <t>(2022)</t>
    </r>
  </si>
  <si>
    <r>
      <t xml:space="preserve">Jared P. Beller, MD </t>
    </r>
    <r>
      <rPr>
        <sz val="10"/>
        <color rgb="FFFF0000"/>
        <rFont val="Calibri"/>
        <family val="2"/>
        <scheme val="minor"/>
      </rPr>
      <t>(-2023)</t>
    </r>
  </si>
  <si>
    <r>
      <rPr>
        <sz val="10"/>
        <rFont val="Calibri"/>
        <family val="2"/>
        <scheme val="minor"/>
      </rPr>
      <t>Anne H. Xue, MD</t>
    </r>
    <r>
      <rPr>
        <sz val="10"/>
        <color rgb="FFFF0000"/>
        <rFont val="Calibri"/>
        <family val="2"/>
        <scheme val="minor"/>
      </rPr>
      <t xml:space="preserve"> (-2023)</t>
    </r>
  </si>
  <si>
    <r>
      <t xml:space="preserve">Amir Sarkeshik </t>
    </r>
    <r>
      <rPr>
        <sz val="10"/>
        <color rgb="FFFF0000"/>
        <rFont val="Calibri"/>
        <family val="2"/>
        <scheme val="minor"/>
      </rPr>
      <t>(-2022)</t>
    </r>
  </si>
  <si>
    <r>
      <t>Jeenah Jung</t>
    </r>
    <r>
      <rPr>
        <sz val="10"/>
        <color rgb="FFFF0000"/>
        <rFont val="Calibri"/>
        <family val="2"/>
        <scheme val="minor"/>
      </rPr>
      <t xml:space="preserve">  (-2022)</t>
    </r>
  </si>
  <si>
    <t>Pre_match_count</t>
  </si>
  <si>
    <t>Post_match_count</t>
  </si>
  <si>
    <t>Cardiology/heart surgery ranking  https://health.usnews.com/best-hospitals/rankings/cardiology-and-heart-surgery</t>
  </si>
  <si>
    <t>Lung ranking (rank, High performing (H), not ranked (N))</t>
  </si>
  <si>
    <t xml:space="preserve">Comments </t>
  </si>
  <si>
    <t>Comments</t>
  </si>
  <si>
    <t>Individual URL</t>
  </si>
  <si>
    <t>PGY</t>
  </si>
  <si>
    <t>Resident Name</t>
  </si>
  <si>
    <t xml:space="preserve">IMG </t>
  </si>
  <si>
    <t>Total Pubs</t>
  </si>
  <si>
    <t># Pubs Before</t>
  </si>
  <si>
    <t># Pubs After</t>
  </si>
  <si>
    <t># First Authored total</t>
  </si>
  <si>
    <t>Pre First Author</t>
  </si>
  <si>
    <t>Pre-case reports &lt;4</t>
  </si>
  <si>
    <t>Pre-Review (e.g. state of art)</t>
  </si>
  <si>
    <t xml:space="preserve">Pre-Other (editorial, commentary, erratum, chapter, correspondance, surgical technique, viewpoints) </t>
  </si>
  <si>
    <t>Total Basic</t>
  </si>
  <si>
    <t xml:space="preserve">Total Clinical </t>
  </si>
  <si>
    <t>Total case reports &lt;4</t>
  </si>
  <si>
    <t>Total Review (e.g. state of art)</t>
  </si>
  <si>
    <t xml:space="preserve">Total Other Pubs (editorial, commentary, erratum, chapter, correspondance, viewpoints) </t>
  </si>
  <si>
    <t xml:space="preserve">Research Fellowship </t>
  </si>
  <si>
    <t xml:space="preserve">Prior residency # years or NA </t>
  </si>
  <si>
    <t xml:space="preserve">Research fellowship Years </t>
  </si>
  <si>
    <t>3 articles "commentary" were published in 2021 but are listed as 2023 on scopus</t>
  </si>
  <si>
    <t>https://www.researchgate.net/profile/Monika-Halas/publications</t>
  </si>
  <si>
    <t>(24) Experience | Monika Halas, MD | LinkedIn</t>
  </si>
  <si>
    <t>NA</t>
  </si>
  <si>
    <t>Yes</t>
  </si>
  <si>
    <t>https://www.researchgate.net/profile/Gregory-Boyajian/publications</t>
  </si>
  <si>
    <t>Dox</t>
  </si>
  <si>
    <t>No</t>
  </si>
  <si>
    <t>https://www.linkedin.com/in/naya-mohan-81585118b</t>
  </si>
  <si>
    <t>Navyatha Mohan</t>
  </si>
  <si>
    <t>MD, MPH</t>
  </si>
  <si>
    <t>https://www.scopus.com/results/authorNamesList.uri?sort=count-f&amp;src=al&amp;sid=ea35dee77e1373fefc6461d9171736d4&amp;sot=al&amp;sdt=al&amp;sl=47&amp;s=AUTHLASTNAME%28schloss%29+AND+AUTHFIRST%28maximilian%29&amp;st1=schloss&amp;st2=maximili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f46269cef16e986c50c641e7ea4cddde</t>
  </si>
  <si>
    <t>?</t>
  </si>
  <si>
    <t>Andrea LIEBOWITZ | MD Candidate | Columbia University, NY | CU | Research profile (researchgate.net)</t>
  </si>
  <si>
    <t xml:space="preserve">Columbia University </t>
  </si>
  <si>
    <t xml:space="preserve">confirmed 2016 with Chan (was 2013 before) </t>
  </si>
  <si>
    <t>https://www.researchgate.net/profile/Farhang-Yazdchi</t>
  </si>
  <si>
    <t>https://www.linkedin.com/in/farhang-yazdchi-12395a40/</t>
  </si>
  <si>
    <t>yes</t>
  </si>
  <si>
    <t>https://www.researchgate.net/scientific-contributions/Ariana-Bratt-2045824758</t>
  </si>
  <si>
    <t xml:space="preserve">Maiden name Jones/now PhD at Harvard/ BS was from Rice </t>
  </si>
  <si>
    <t>https://www.researchgate.net/scientific-contributions/Ariana-S-Bratt-2195877998</t>
  </si>
  <si>
    <t>Ariana S. Bratt</t>
  </si>
  <si>
    <t>no linked in</t>
  </si>
  <si>
    <t xml:space="preserve">not sure if she has more/has none before match </t>
  </si>
  <si>
    <t>https://www.researchgate.net/scientific-contributions/Sue-X-Wang-2190600495</t>
  </si>
  <si>
    <t>https://www.researchgate.net/scientific-contributions/Patrick-C-Gedeon-15865930</t>
  </si>
  <si>
    <t>MD, PhD</t>
  </si>
  <si>
    <t>(24) Hoda Javadikasgari | LinkedIn</t>
  </si>
  <si>
    <t>(3) Hoda Javadikasgari (researchgate.net)</t>
  </si>
  <si>
    <t>N/A</t>
  </si>
  <si>
    <t>(24) John Finnigan | LinkedIn</t>
  </si>
  <si>
    <t>ResearchGate</t>
  </si>
  <si>
    <t>(3) Morgan Harloff (researchgate.net)</t>
  </si>
  <si>
    <t>https://www.linkedin.com/in/mharloff</t>
  </si>
  <si>
    <t>(3) Philip Martins Allen (researchgate.net)</t>
  </si>
  <si>
    <t xml:space="preserve">says 5 year of med school, but unsure of research </t>
  </si>
  <si>
    <t>(24) Philip Allen | LinkedIn</t>
  </si>
  <si>
    <t>‪Vivian Hsing-Chun Wang‬ - ‪Google Scholar‬</t>
  </si>
  <si>
    <t>Accelerating integration of tobacco use treatment in the context of lung cancer screening: Relevance and application of implementation science to achieving policy and practice | Translational Behavioral Medicine | Oxford Academic (oup.com)</t>
  </si>
  <si>
    <t>https://www.researchgate.net/profile/Andreas-Habertheuer/research</t>
  </si>
  <si>
    <t>(24) Andreas Habertheuer, M.D., Ph.D. | LinkedIn</t>
  </si>
  <si>
    <t>Andreas Habertheuer</t>
  </si>
  <si>
    <t xml:space="preserve">Vienna </t>
  </si>
  <si>
    <t xml:space="preserve">Medical University of Vienna </t>
  </si>
  <si>
    <t>Andy Dong's research works | Emory University, GA (EU) and other places (researchgate.net)</t>
  </si>
  <si>
    <t xml:space="preserve">? </t>
  </si>
  <si>
    <t>(24) Brian Lim | LinkedIn</t>
  </si>
  <si>
    <t xml:space="preserve">yes </t>
  </si>
  <si>
    <t>Rishab HUMAR | University of Pittsburgh, PA | Pitt | Research profile (researchgate.net)</t>
  </si>
  <si>
    <t>(24) Jad Malas | LinkedIn</t>
  </si>
  <si>
    <t>(24) Ali Own | LinkedIn</t>
  </si>
  <si>
    <t>‪https://www.researchgate.net/profile/Federico-Sertic</t>
  </si>
  <si>
    <t>Cincinnati</t>
  </si>
  <si>
    <t>Keaton Cooley-Rieders's research works | University of Cincinnati Medical Center, Cincinnati and other places (researchgate.net)</t>
  </si>
  <si>
    <t xml:space="preserve">Unranked </t>
  </si>
  <si>
    <t>Kennedy, John T. - Author details - Scopus Preview</t>
  </si>
  <si>
    <t>https://www.linkedin.com/in/emily-wright-20b476264/</t>
  </si>
  <si>
    <t>James A. Miller's research works | University of Cincinnati, Ohio (UC) and other places (researchgate.net)</t>
  </si>
  <si>
    <t>James Bailey's research works | University of Cincinnati Medical Center, Cincinnati and other places (researchgate.net)</t>
  </si>
  <si>
    <t>James Bailey</t>
  </si>
  <si>
    <t>‪Nadia Bakir‬ - ‪Google Scholar‬</t>
  </si>
  <si>
    <t>(24) Rohun Bhagat | LinkedIn</t>
  </si>
  <si>
    <t>Emily Vianna's research works | Metropolitan Heart and Vascular Institute, Minneapolis and other places (researchgate.net)</t>
  </si>
  <si>
    <t>Emily Vianna</t>
  </si>
  <si>
    <t>MD/MPH</t>
  </si>
  <si>
    <t>William C. Frankel (researchgate.net)</t>
  </si>
  <si>
    <t>Jenkins, Haley N. - Author details - Scopus Preview</t>
  </si>
  <si>
    <t>(24) Benjamin Yang | LinkedIn</t>
  </si>
  <si>
    <t>https://www.researchgate.net/profile/Raphaelle-Chemtob</t>
  </si>
  <si>
    <t>Rosinski, Brad F. - Author details - Scopus Preview</t>
  </si>
  <si>
    <t>Shawn Shah (researchgate.net)</t>
  </si>
  <si>
    <t>MD/MBA</t>
  </si>
  <si>
    <t xml:space="preserve">has no pre residency research, so assuming no fellowship? Cant find info </t>
  </si>
  <si>
    <t>Nicholas A. Oh's research works | Harvard Medical School, MA (HMS) and other places (researchgate.net)</t>
  </si>
  <si>
    <t>Juan B. Umana-Pizano (researchgate.net)/https://www.linkedin.com/in/juan-b-umana-pizano-a62068b2/</t>
  </si>
  <si>
    <t>Juan B. Umana-Pizano</t>
  </si>
  <si>
    <t>(25) James Witten | LinkedIn</t>
  </si>
  <si>
    <t>(25) Karolis Bauza | LinkedIn</t>
  </si>
  <si>
    <t>Frank Cikach (researchgate.net)</t>
  </si>
  <si>
    <t>Javorski, Michael J. - Author details - Scopus Preview</t>
  </si>
  <si>
    <t>MD/MS</t>
  </si>
  <si>
    <t>Viral C Patel's research works | Case Western Reserve University, Ohio (CWRU) and other places (researchgate.net)/https://www.linkedin.com/in/viral-patel-6b817210/</t>
  </si>
  <si>
    <t>Viral C. Patel</t>
  </si>
  <si>
    <t>MD/MHS</t>
  </si>
  <si>
    <t>Zaki, Anthony - Author details - Scopus Preview</t>
  </si>
  <si>
    <t>Anthony L. Zaki</t>
  </si>
  <si>
    <t>William M. Mitchell's research works | University of Arkansas at Little Rock, Arkansas (UALR) and other places (researchgate.net)  /https://ctsnet.figshare.com/articles/media/Repair_of_Partial_Anomalous_Pulmonary_Venous_Return_Scimitar_Vein_via_Interposed_Polytetrafluoroethylene_PTFE_/17766032</t>
  </si>
  <si>
    <t>took year off for MPH I think?</t>
  </si>
  <si>
    <t>Argaw, Salem T. - Author details - Scopus Preview</t>
  </si>
  <si>
    <t>Rgate has 14 pubs, scopus has 5</t>
  </si>
  <si>
    <t>(25) Nasim Azizgolshani | LinkedIn</t>
  </si>
  <si>
    <t>Nasim M. Azizgolshani</t>
  </si>
  <si>
    <t>(25) Isao Anzai, MD | LinkedIn</t>
  </si>
  <si>
    <t>Columbia University</t>
  </si>
  <si>
    <t>Morgan K. Moroi's research works | Penn State Hershey Medical Center and Penn State College of Medicine, PA and other places (researchgate.net) / https://www.researchgate.net/profile/Morgan-Moroi-2/publications /https://www.linkedin.com/in/morgan-moroi-md-83393476/</t>
  </si>
  <si>
    <t>Outcomes and Reintervention After Repair of Type I Aortic Dissection (researchgate.net)</t>
  </si>
  <si>
    <t>Krushang Patel</t>
  </si>
  <si>
    <t>Sameer K. Singh's research works | Columbia University, NY (CU) and other places (researchgate.net) /https://www.scopus.com/authid/detail.uri?authorId=57194616955</t>
  </si>
  <si>
    <t>Sameer Singh</t>
  </si>
  <si>
    <t>Stephanie N. Nguyen's research works | Columbia University, NY (CU) and other places (researchgate.net)</t>
  </si>
  <si>
    <t>Went to standford for a year 2017, switched to columbia 2018 - has MBA now but not by matriculation in to CT (24 pre if we count 2018)</t>
  </si>
  <si>
    <t>(25) Michael Salna | LinkedIn</t>
  </si>
  <si>
    <t>Michael P. Salna</t>
  </si>
  <si>
    <t>Started at indiana CT 2015 then post doc x1 year, then Columbia 2018 - so what year??</t>
  </si>
  <si>
    <t>David Blitzer (researchgate.net) / https://www.linkedin.com/in/david-blitzer-5ba68897/</t>
  </si>
  <si>
    <t>5 or 8? (says 5 on website)</t>
  </si>
  <si>
    <t>https://www.researchgate.net/scientific-contributions/Alex-M-DAngelo-2165233054</t>
  </si>
  <si>
    <t>Alex M. D’Angelo</t>
  </si>
  <si>
    <t>2 RGs</t>
  </si>
  <si>
    <t>Yuting Chiang's research works | Columbia University, NY (CU) and other places (researchgate.net) / https://www.researchgate.net/scientific-contributions/Yuting-Chiang-2038746175</t>
  </si>
  <si>
    <t>Yuting Chiang</t>
  </si>
  <si>
    <t xml:space="preserve">has 3 different RGs with different name combos </t>
  </si>
  <si>
    <t>https://www.researchgate.net/scientific-contributions/W-Clinton-Erwin-2121307770 / https://www.researchgate.net/scientific-contributions/W-Clinton-Erwin-2240300560</t>
  </si>
  <si>
    <t>Scopus preview - Scopus - Search for an author profile</t>
  </si>
  <si>
    <t>(3) Michael Simpson (researchgate.net)</t>
  </si>
  <si>
    <t xml:space="preserve">was RN </t>
  </si>
  <si>
    <t>(1) Rebekah Boyd, MD (@UmAvielB) / Twitter</t>
  </si>
  <si>
    <t>(25) Ramak Khosravi | LinkedIn / https://www.researchgate.net/scientific-contributions/Ramak-Khosravi-2045406525</t>
  </si>
  <si>
    <t xml:space="preserve">2 RG/ research yr after undergrad not med school </t>
  </si>
  <si>
    <t>Abigail R. Benkert's research works | Children's Heart Center, Las Vegas and other places (researchgate.net) / https://www.researchgate.net/scientific-contributions/Abigail-R-Benkert-2050818890</t>
  </si>
  <si>
    <t>Andrew Vekstein | Duke Department of Surgery</t>
  </si>
  <si>
    <t>Andrew Vekstein</t>
  </si>
  <si>
    <t>Julie Doberne | Duke Department of Surgery</t>
  </si>
  <si>
    <t>Julie Doberne</t>
  </si>
  <si>
    <t>Muath Bishawi | Duke Department of Surgery</t>
  </si>
  <si>
    <t>https://www.linkedin.com/in/alejandromurilloberlioz/</t>
  </si>
  <si>
    <t xml:space="preserve">Duke Medical School </t>
  </si>
  <si>
    <t>2 publications made during high school</t>
  </si>
  <si>
    <t>https://www.scopus.com/authid/detail.uri?authorId=57221957195</t>
  </si>
  <si>
    <t>Ross Reul</t>
  </si>
  <si>
    <t>https://www.linkedin.com/in/elizabeth-norton-8448b3104/</t>
  </si>
  <si>
    <t>3 pubs in pubmed, researchgate, and scopus verified</t>
  </si>
  <si>
    <t>https://www.scopus.com/authid/detail.uri?authorId=57219607844</t>
  </si>
  <si>
    <t>https://www.scopus.com/authid/detail.uri?authorId=57226527533</t>
  </si>
  <si>
    <t>University of Washington</t>
  </si>
  <si>
    <t>extra poster listed on researchgate</t>
  </si>
  <si>
    <t>https://www.researchgate.net/profile/Dale-Deas-Jr/publications</t>
  </si>
  <si>
    <t>should have research years</t>
  </si>
  <si>
    <t>https://www.linkedin.com/in/parth-patel-11a8a372/   ,    https://www.scopus.com/authid/detail.uri?authorId=57198995173.  ,   https://www.researchgate.net/scientific-contributions/Parth-M-Patel-2177136185</t>
  </si>
  <si>
    <t>Indiana University</t>
  </si>
  <si>
    <t>5 pubs on scopus, 2 on researchgate, 4 on pubmed</t>
  </si>
  <si>
    <t>https://www.vitals.com/doctors/Maureen_Ann_Mckiernan.html</t>
  </si>
  <si>
    <t xml:space="preserve"> Maureen McKiernan</t>
  </si>
  <si>
    <t>only 1 review? checked on scopus, researchgate, and pubmed</t>
  </si>
  <si>
    <t>https://pubmed.ncbi.nlm.nih.gov/33592654/</t>
  </si>
  <si>
    <t>John Murray</t>
  </si>
  <si>
    <t>Medical University of South Carolina</t>
  </si>
  <si>
    <t>https://www.scopus.com/authid/detail.uri?authorId=57218370573</t>
  </si>
  <si>
    <t>two profiles on scopus and researchgate</t>
  </si>
  <si>
    <t>https://www.researchgate.net/scientific-contributions/Scarlett-Tohme-2196657481 ; https://www.researchgate.net/scientific-contributions/Scarlett-Tohme-2228727330</t>
  </si>
  <si>
    <t>two profiles on researchgate</t>
  </si>
  <si>
    <t>https://www.researchgate.net/scientific-contributions/Danielle-Aronowitz-2137185660 ; https://www.researchgate.net/scientific-contributions/Danielle-Aronowitz-2135491661</t>
  </si>
  <si>
    <t>Obstructive coronary artery disease with a coronary artery calcium score of 0: A case report - PubMed (nih.gov)</t>
  </si>
  <si>
    <t>Found RG for someone in IL, but middle name doesn’t match - (the 1 I put in is confirmed him)</t>
  </si>
  <si>
    <t>https://www.researchgate.net/scientific-contributions/Vivek-M-Mehta-2230646192</t>
  </si>
  <si>
    <t>Graduated MD 2018 - 2 year gap?</t>
  </si>
  <si>
    <t>https://www.researchgate.net/scientific-contributions/Daniel-Lambert-2206840363</t>
  </si>
  <si>
    <t>https://www.researchgate.net/scientific-contributions/Joshua-Newman-2107286408</t>
  </si>
  <si>
    <t>https://www.scopus.com/authid/detail.uri?authorId=57204638908 ; https://www.linkedin.com/in/joshua-newman-md-23665431/ ; 4 researchgate profiles</t>
  </si>
  <si>
    <t>https://www.linkedin.com/in/miguel-alexis-027a7880/</t>
  </si>
  <si>
    <t>Miguel Alexis</t>
  </si>
  <si>
    <t>Kyle William Riggs</t>
  </si>
  <si>
    <t>Indiana</t>
  </si>
  <si>
    <t>https://www.scopus.com/authid/detail.uri?authorId=57226291726</t>
  </si>
  <si>
    <t>https://www.researchgate.net/scientific-contributions/Kirsten-Zborek-2151931642</t>
  </si>
  <si>
    <t>Indiana University School of Medicine</t>
  </si>
  <si>
    <t>https://www.researchgate.net/scientific-contributions/Chelsea-M-Loria-2230047706</t>
  </si>
  <si>
    <t>https://www.researchgate.net/scientific-contributions/Merideth-Geib-2172529993</t>
  </si>
  <si>
    <t>https://www.researchgate.net/scientific-contributions/Patrick-F-Vining-2128459498</t>
  </si>
  <si>
    <t>Patrick Vining</t>
  </si>
  <si>
    <t>https://www.linkedin.com/in/rohan-anand-47150b41/</t>
  </si>
  <si>
    <t>Rohan Anand</t>
  </si>
  <si>
    <t>MD, MBA</t>
  </si>
  <si>
    <t>https://www.sharecare.com/doctor/dr-kyle-walsh-ytr9ir6447 ; no linked in was found, but his age is listed as 29, and given the number of publications, assume no research/fellowship years are taken, enumeration date is listed as 2021</t>
  </si>
  <si>
    <t>MD, MS</t>
  </si>
  <si>
    <t>https://www.researchgate.net/scientific-contributions/Marian-R-Hohenwarter-2239585912 and two articles on scopus, checked associated lab and no other publications were under her name</t>
  </si>
  <si>
    <t>Medical Univeristy of South Carolina</t>
  </si>
  <si>
    <t>3 profiles on scopus, 2 on researchgate</t>
  </si>
  <si>
    <t>2 profiles on scopus and researchgate</t>
  </si>
  <si>
    <t>Abby Chainani</t>
  </si>
  <si>
    <t>https://www.researchgate.net/profile/Adnan-Al-Ayoubi</t>
  </si>
  <si>
    <t>https://www.linkedin.com/in/adnan-al-ayoubi-0bb38313b/</t>
  </si>
  <si>
    <t>Adnan Al Ayoubi</t>
  </si>
  <si>
    <t>Maybe 4 years https://www.linkedin.com/in/adnan-al-ayoubi-0bb38313b/</t>
  </si>
  <si>
    <t xml:space="preserve">1 or 5? </t>
  </si>
  <si>
    <t>4?</t>
  </si>
  <si>
    <t>Loma Linda</t>
  </si>
  <si>
    <t>Darren Haskett (researchgate.net)</t>
  </si>
  <si>
    <t>got PhD after college so yes?</t>
  </si>
  <si>
    <t>no linkedin</t>
  </si>
  <si>
    <t xml:space="preserve">no linked in </t>
  </si>
  <si>
    <t>Residents | University of Maryland Medical Center (umms.org)</t>
  </si>
  <si>
    <t>Justin Robinson, MD</t>
  </si>
  <si>
    <t>Josh Leibowitz</t>
  </si>
  <si>
    <t>Warren Naselsky's research works | University of Maryland, Baltimore, Maryland (UMB) and other places (researchgate.net)/https://pubmed.ncbi.nlm.nih.gov/?term=Naselsky%20W&amp;page=2</t>
  </si>
  <si>
    <t>got masters after match</t>
  </si>
  <si>
    <t>(24) Warren Naselsky, MD | LinkedIn</t>
  </si>
  <si>
    <t>Warren C Naselsky</t>
  </si>
  <si>
    <t>University of North Carolina at Chapel Hill School of Medicine</t>
  </si>
  <si>
    <t>https://www.linkedin.com/in/korri-hershenhouse-1a7737a7/</t>
  </si>
  <si>
    <t>https://www.linkedin.com/in/brandon-ferrell-md-159a4b72/?trk=org-employees&amp;originalSubdomain=id</t>
  </si>
  <si>
    <t>nothing on scopus, found on researchgate with 0 pub</t>
  </si>
  <si>
    <t>https://www.linkedin.com/in/ross-wheeler-89304b202/</t>
  </si>
  <si>
    <t>(3) Mohamed Abdullah (researchgate.net)</t>
  </si>
  <si>
    <t>AbdAllah, Mohamed - Author details - Scopus Preview</t>
  </si>
  <si>
    <t>https://www.researchgate.net/scientific-contributions/Mohamed-Abdullah-71930185</t>
  </si>
  <si>
    <t>MD PhD</t>
  </si>
  <si>
    <t>https://www.researchgate.net/scientific-contributions/Armita-Kabirpour-2165631654</t>
  </si>
  <si>
    <t>https://www.researchgate.net/scientific-contributions/Erick-Sun-2165248252</t>
  </si>
  <si>
    <t>Icahn School of Medicine at Mt Sinai</t>
  </si>
  <si>
    <t>3 rg profiles; https://www.researchgate.net/profile/Timothy-Lee-3/research</t>
  </si>
  <si>
    <t>https://www.researchgate.net/scientific-contributions/Javier-Mejia-2146883559</t>
  </si>
  <si>
    <t>Javier O Mejia</t>
  </si>
  <si>
    <t>https://www.researchgate.net/scientific-contributions/Sophia-L-Alexis-2168535474</t>
  </si>
  <si>
    <t>N/A (93?)</t>
  </si>
  <si>
    <t>https://www.researchgate.net/scientific-contributions/Nana-Toyoda-2042186294</t>
  </si>
  <si>
    <t>Nana Toyoda</t>
  </si>
  <si>
    <t>https://www.linkedin.com/in/kelly-ohlrich/</t>
  </si>
  <si>
    <t>https://www.researchgate.net/scientific-contributions/Brady-Gunn-2201732911</t>
  </si>
  <si>
    <t>https://www.scopus.com/authid/detail.uri?authorId=57219279581</t>
  </si>
  <si>
    <t>Zachary Sollie</t>
  </si>
  <si>
    <t>https://www.linkedin.com/in/sarah-chen-621197a7/</t>
  </si>
  <si>
    <t>University of North Carolina, Chapel Hill</t>
  </si>
  <si>
    <t>https://www.linkedin.com/in/maxwell-kilcoyne-21225697/</t>
  </si>
  <si>
    <t>can't find 3 publications</t>
  </si>
  <si>
    <t>https://www.scopus.com/authid/detail.uri?authorId=57202010834</t>
  </si>
  <si>
    <t>https://www.scopus.com/authid/detail.uri?authorId=57215656061</t>
  </si>
  <si>
    <t>Alexander Ghannam</t>
  </si>
  <si>
    <t>https://www.scopus.com/authid/detail.uri?authorId=54395592600</t>
  </si>
  <si>
    <t>Quiana Kern</t>
  </si>
  <si>
    <t>Jennie Kwon (researchgate.net)</t>
  </si>
  <si>
    <t>https://www.researchgate.net/profile/Jennie_Kwon/research ;  https://www.researchgate.net/scientific-contributions/Jennie-Kwon-2223598886</t>
  </si>
  <si>
    <t>https://www.linkedin.com/in/adwaiy-manerikar-md-970758a9/</t>
  </si>
  <si>
    <t>https://www.linkedin.com/in/sarah-nisivaco-83467aa5/</t>
  </si>
  <si>
    <t>https://www.linkedin.com/in/sandeep-bharadwaj-71aba988/</t>
  </si>
  <si>
    <t>only 1 pub?</t>
  </si>
  <si>
    <t>https://www.researchgate.net/scientific-contributions/Aaron-J-Clark-2192150426</t>
  </si>
  <si>
    <t>https://www.researchgate.net/scientific-contributions/Andre-Y-Son-2158068638</t>
  </si>
  <si>
    <t>Andre Son</t>
  </si>
  <si>
    <t>20 pubs on rg, 21 on scopus/https://pubmed.ncbi.nlm.nih.gov/?term=Devlin%20PJ&amp;sort=pubdate&amp;page=3/https://data-center.chss.org/about/devlin.cgi</t>
  </si>
  <si>
    <t>https://www.linkedin.com/in/pauldevlinmd/</t>
  </si>
  <si>
    <t>Paul Devlin</t>
  </si>
  <si>
    <t>https://www.linkedin.com/in/sumner-kilmarx-0b41a71a8/</t>
  </si>
  <si>
    <t>https://www.scopus.com/authid/detail.uri?authorId=57211011538</t>
  </si>
  <si>
    <t>Katherine/Kate Phillips</t>
  </si>
  <si>
    <t>https://www.scopus.com/authid/detail.uri?authorId=57194171737</t>
  </si>
  <si>
    <t>Case Western University School of Medicine</t>
  </si>
  <si>
    <t>https://www.linkedin.com/in/darien-paone-ba5a2b81/</t>
  </si>
  <si>
    <t>https://twitter.com/JennaAziz1</t>
  </si>
  <si>
    <t>Jenna Aziz</t>
  </si>
  <si>
    <t>https://www.researchgate.net/profile/Ahmed-Aly-42/research</t>
  </si>
  <si>
    <t>https://twitter.com/avijay7</t>
  </si>
  <si>
    <t>University of North Carolina School of Medicine</t>
  </si>
  <si>
    <t>https://www.linkedin.com/in/hannah-mcmullen-75a06a238/</t>
  </si>
  <si>
    <t>Hannah McMullen</t>
  </si>
  <si>
    <t>https://twitter.com/AlexanderReedMD</t>
  </si>
  <si>
    <t>Alexander (Alec) Reed</t>
  </si>
  <si>
    <t>Kelly Higa's research works | University of Colorado, CO (UCD) and other places (researchgate.net)</t>
  </si>
  <si>
    <t>https://twitter.com/KellyCHiga</t>
  </si>
  <si>
    <t>Kelly Higa</t>
  </si>
  <si>
    <t>https://twitter.com/AshleyYJChoi</t>
  </si>
  <si>
    <t>Ashley Choi</t>
  </si>
  <si>
    <t>https://www.linkedin.com/in/matthew-duda-17543410a/</t>
  </si>
  <si>
    <t>Matthew Duda</t>
  </si>
  <si>
    <t>https://www.scopus.com/authid/detail.uri?authorId=57206198922</t>
  </si>
  <si>
    <t>Robert Borden</t>
  </si>
  <si>
    <t>https://twitter.com/arav_krishnan?lang=en</t>
  </si>
  <si>
    <t>Aravind Krishnan</t>
  </si>
  <si>
    <t>https://www.researchgate.net/scientific-contributions/Perry-S-Choi-2168458866</t>
  </si>
  <si>
    <t>Obafemi, Oluwatomisin - Search Results - PubMed (nih.gov)</t>
  </si>
  <si>
    <t>https://www.linkedin.com/in/oluwatomisin-obafemi-m-d-2b11a287/</t>
  </si>
  <si>
    <t>Tomi Obafemi</t>
  </si>
  <si>
    <t>https://twitter.com/ajpedroza_md?lang=en</t>
  </si>
  <si>
    <t>https://scholar.google.com/citations?hl=en&amp;user=8j4mCc8AAAAJ&amp;view_op=list_works&amp;sortby=pubdate</t>
  </si>
  <si>
    <t>https://www.linkedin.com/in/terrence-pong-4b39861/</t>
  </si>
  <si>
    <t>https://www.linkedin.com/in/hanjay-wang-m-d-054738153/</t>
  </si>
  <si>
    <t>https://www.researchgate.net/scientific-contributions/Patpilai-Kasinpila-2139764353</t>
  </si>
  <si>
    <t>Patpilai Kasinpila</t>
  </si>
  <si>
    <t>https://www.researchgate.net/profile/Michael-Paulsen/research</t>
  </si>
  <si>
    <t>Michael Paulsen</t>
  </si>
  <si>
    <t>https://www.linkedin.com/in/cayley-bowles-47567977/</t>
  </si>
  <si>
    <t>https://twitter.com/yuanjiazhu?lang=en</t>
  </si>
  <si>
    <t>https://twitter.com/ardalal_md?lang=en</t>
  </si>
  <si>
    <t>https://www.linkedin.com/in/elbertheng/</t>
  </si>
  <si>
    <t>Elbert Heng</t>
  </si>
  <si>
    <t>https://www.linkedin.com/in/stefan-elde-bb456516b/</t>
  </si>
  <si>
    <t>Stefan Elde</t>
  </si>
  <si>
    <t>https://www.scopus.com/authid/detail.uri?authorId=57219180782</t>
  </si>
  <si>
    <t>Sikandar Raza</t>
  </si>
  <si>
    <t>https://twitter.com/FerrelMeganne</t>
  </si>
  <si>
    <t>Meganne Ferrel</t>
  </si>
  <si>
    <t>https://twitter.com/ChiChiDoNguyen</t>
  </si>
  <si>
    <t>https://www.scopus.com/authid/detail.uri?authorId=58287800600</t>
  </si>
  <si>
    <t>Temilolaoluwa Daramola</t>
  </si>
  <si>
    <t>MD RN MS</t>
  </si>
  <si>
    <t>Drexel University College of Medicine</t>
  </si>
  <si>
    <t>https://www.linkedin.com/in/nathaniel-parchment-083722b1/</t>
  </si>
  <si>
    <t>Nathaniel Parchment</t>
  </si>
  <si>
    <t>https://twitter.com/jarredmondonedo?lang=en</t>
  </si>
  <si>
    <t>Jarred Mondonedo</t>
  </si>
  <si>
    <t>https://www.linkedin.com/in/gardner-yost-8039a242/</t>
  </si>
  <si>
    <t>MD MS</t>
  </si>
  <si>
    <t>https://www.scopus.com/authid/detail.uri?authorId=57402945800</t>
  </si>
  <si>
    <t>Catherine Wagner</t>
  </si>
  <si>
    <t>https://www.researchgate.net/profile/Megan-Schultz-4/publications</t>
  </si>
  <si>
    <t>Megan Schultz</t>
  </si>
  <si>
    <t>https://twitter.com/taylorkantor?lang=en</t>
  </si>
  <si>
    <t>University of Cincinnati College of Medicine</t>
  </si>
  <si>
    <t>https://www.linkedin.com/in/bree-ann-young-md-ms-8a261b30/</t>
  </si>
  <si>
    <t>Bree Young</t>
  </si>
  <si>
    <t>https://twitter.com/MichaelPienta</t>
  </si>
  <si>
    <t>Michael Pienta</t>
  </si>
  <si>
    <t>https://www.linkedin.com/in/k-candis-jones-97837226/</t>
  </si>
  <si>
    <t>K Candis Jones</t>
  </si>
  <si>
    <t>MD MScEng</t>
  </si>
  <si>
    <t>(1) William Weir, MD (doximity.com)</t>
  </si>
  <si>
    <t>https://www.researchgate.net/scientific-contributions/William-B-Weir-2071869324</t>
  </si>
  <si>
    <t>William Weir</t>
  </si>
  <si>
    <t>https://www.linkedin.com/in/alexbresciamd/</t>
  </si>
  <si>
    <t>Alexander Brescia</t>
  </si>
  <si>
    <t>MD MSc</t>
  </si>
  <si>
    <t>MD, NP</t>
  </si>
  <si>
    <t>Fryer Madeline - Search Results - PubMed (nih.gov)</t>
  </si>
  <si>
    <t>https://www.researchgate.net/profile/Madeline-Fryer/research</t>
  </si>
  <si>
    <t>MD, MMSc</t>
  </si>
  <si>
    <t>https://www.linkedin.com/in/ariana-goodman-6aa65280/</t>
  </si>
  <si>
    <t>Ariana Goodman</t>
  </si>
  <si>
    <t>https://www.linkedin.com/in/nwsearcy/</t>
  </si>
  <si>
    <t>https://www.scopus.com/authid/detail.uri?authorId=41860924400</t>
  </si>
  <si>
    <t>https://www.researchgate.net/profile/Daniel-Ziazadeh/research</t>
  </si>
  <si>
    <t>Daniel Ryan Ziazadeh</t>
  </si>
  <si>
    <t>https://www.scopus.com/authid/detail.uri?authorId=57196119536</t>
  </si>
  <si>
    <t>https://www.researchgate.net/scientific-contributions/Arjune-Dhanekula-2189427837</t>
  </si>
  <si>
    <t>https://www.researchgate.net/profile/Michael-Shang</t>
  </si>
  <si>
    <t>Jimenez Contreras - Search Results - PubMed (nih.gov)</t>
  </si>
  <si>
    <t>Fabian Jimenez</t>
  </si>
  <si>
    <t>1 yr internship</t>
  </si>
  <si>
    <t>https://www.linkedin.com/in/ryan-azarrafiy-57648a29/</t>
  </si>
  <si>
    <t>no</t>
  </si>
  <si>
    <t>https://twitter.com/chris_bobba?lang=en</t>
  </si>
  <si>
    <t>Christopher Bobba</t>
  </si>
  <si>
    <t>Parr AR - Search Results - PubMed (nih.gov)</t>
  </si>
  <si>
    <t>https://www.scopus.com/results/authorNamesList.uri?sort=count-f&amp;src=al&amp;sid=e890ed643f8cd6ff90a12ef312646db7&amp;sot=al&amp;sdt=al&amp;sl=38&amp;s=AUTHLASTNAME%28parr%29+AND+AUTHFIRST%28alan%29&amp;st1=parr&amp;st2=al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7841de32af5c87cdf0bb466e1f8bd01f</t>
  </si>
  <si>
    <t>Alan Parr</t>
  </si>
  <si>
    <t>Gorton Andrew - Search Results - PubMed (nih.gov)</t>
  </si>
  <si>
    <t>https://www.linkedin.com/in/andrew-gorton-md-1a66a12a/</t>
  </si>
  <si>
    <t>Prevalence and Impact of Musculoskeletal Pain Due to Operating Among Surgical Trainees - PubMed (nih.gov)</t>
  </si>
  <si>
    <t>https://www.linkedin.com/in/andrew-bishop-27291b181/</t>
  </si>
  <si>
    <t>Andrew Bishop</t>
  </si>
  <si>
    <t>https://www.scopus.com/authid/detail.uri?authorId=57222338495</t>
  </si>
  <si>
    <t>Rebecca Phillip</t>
  </si>
  <si>
    <t>unranked</t>
  </si>
  <si>
    <t>Rohan Shad (researchgate.net)</t>
  </si>
  <si>
    <t>9 + 1 chapter</t>
  </si>
  <si>
    <t xml:space="preserve">no linkedin, but non traditional was a nurse before </t>
  </si>
  <si>
    <t>Matthew Brown, MD - Penn Medicine</t>
  </si>
  <si>
    <t xml:space="preserve">has lots of papers by being 780th paper in covid </t>
  </si>
  <si>
    <t>(24) Alexandra Sperry | LinkedIn</t>
  </si>
  <si>
    <t>https://www.scopus.com/results/authorNamesList.uri?sort=count-f&amp;src=al&amp;sid=74b09a26e0193eeb3b8fb396fa2f6d91&amp;sot=al&amp;sdt=al&amp;sl=45&amp;s=AUTHLASTNAME%28Sperry%29+AND+AUTHFIRST%28Alexandra%29&amp;st1=Sperry&amp;st2=Alexandr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a0dfd5531d729c5055ca6e91b0b4ee</t>
  </si>
  <si>
    <t>https://www.linkedin.com/in/michael-catalano</t>
  </si>
  <si>
    <t>Michael Catalano (researchgate.net)</t>
  </si>
  <si>
    <t>Nicholas J. Goel's research works | University of Pennsylvania, PA (UP) and other places (researchgate.net)</t>
  </si>
  <si>
    <t>research gate says PhD student?/weird research hx, has things in Tx on neurosurg in 2014? (has to inclue both 7 +13)</t>
  </si>
  <si>
    <t>Nicholas Goel (researchgate.net)</t>
  </si>
  <si>
    <t>(24) Andrew Acker, MD | LinkedIn</t>
  </si>
  <si>
    <t>Andrew Acker's research works | Hospital of the University of Pennsylvania, Philadelphia (HUP) and other places (researchgate.net)</t>
  </si>
  <si>
    <t>120 + 24</t>
  </si>
  <si>
    <t>Jason J. Han's research works | Hospital of the University of Pennsylvania, Philadelphia (HUP) and other places (researchgate.net)</t>
  </si>
  <si>
    <t>Jason Han | ResearchGate</t>
  </si>
  <si>
    <t>linked in not updated</t>
  </si>
  <si>
    <t>(24) William Patrick | LinkedIn</t>
  </si>
  <si>
    <t>William L Patrick (researchgate.net)</t>
  </si>
  <si>
    <t>Dr. Matthew Woods, MD – Philadelphia, PA | Thoracic Surgery (doximity.com)</t>
  </si>
  <si>
    <t>MD Matthew Woods's research works | University of Pennsylvania, PA (UP) and other places (researchgate.net)</t>
  </si>
  <si>
    <t>linked none</t>
  </si>
  <si>
    <t>removed 9 duplicate abstracts, included ones w DOI in other. Some pubs dup as well</t>
  </si>
  <si>
    <t>Mark R. Helmers's research works | University of Pennsylvania, PA (UP) and other places (researchgate.net)</t>
  </si>
  <si>
    <t xml:space="preserve">linked </t>
  </si>
  <si>
    <t>Mallory L. Hunt's research works | The Children's Hospital of Philadelphia, PA (CHOP) and other places (researchgate.net)</t>
  </si>
  <si>
    <t xml:space="preserve">added 1 book chapter + 2 other not on RG only scopius </t>
  </si>
  <si>
    <t>(24) LinkedIn</t>
  </si>
  <si>
    <t>Mallory L Hunt</t>
  </si>
  <si>
    <t>MD, MBE</t>
  </si>
  <si>
    <t xml:space="preserve">Counted pre and post from 2017 - this was rly hard to do might be off a few/ thousands of IHLST abstracts counrted in other if not dup </t>
  </si>
  <si>
    <t>Amit Iyengar's research works | University of Pennsylvania, PA (UP) and other places (researchgate.net)</t>
  </si>
  <si>
    <t>R/5?? Based on AATS</t>
  </si>
  <si>
    <t>MD, MSE</t>
  </si>
  <si>
    <t xml:space="preserve">IDTS, finished UCLA 2017, and apparently 5th year cant confirm </t>
  </si>
  <si>
    <t>LinkedIn</t>
  </si>
  <si>
    <t>John J. Kelly's research works | University of Pennsylvania, PA (UP) and other places (researchgate.net)</t>
  </si>
  <si>
    <t xml:space="preserve">R/5?? Based on linkedin </t>
  </si>
  <si>
    <t>https://www.linkedin.com/in/benjaminsmood</t>
  </si>
  <si>
    <t>RG doesn’t have2023 papers on scopus +5</t>
  </si>
  <si>
    <t>(2) Benjamin Smood (researchgate.net)</t>
  </si>
  <si>
    <t>R/4</t>
  </si>
  <si>
    <t>Steven A. Buckeridge's research works | Georgia Southern University (GSU) and other places (researchgate.net)</t>
  </si>
  <si>
    <t>(24) Steven Buckeridge, MD | LinkedIn</t>
  </si>
  <si>
    <t>Amrita Sukhavasi's research works | Thomas Jefferson University, Philadelphia (Jefferson) and other places (researchgate.net)</t>
  </si>
  <si>
    <t>? assuming not - 0</t>
  </si>
  <si>
    <t xml:space="preserve">no linkedin, but I think 0 since went to UPMC med </t>
  </si>
  <si>
    <t xml:space="preserve">has a different RG for every paper  + 2 on pubmed + non profit one but cant verify added anyway </t>
  </si>
  <si>
    <t>O'Hara, Danielle N. - Author details - Scopus Preview</t>
  </si>
  <si>
    <t>https://www.linkedin.com/in/danielle-o-hara-261714100</t>
  </si>
  <si>
    <t>Theres Amal* anesthesiologist at UNC/UCSF, messes up scopus /a lot of pubs come up on pubmed (most not her) +34</t>
  </si>
  <si>
    <t xml:space="preserve">graduaed med school 2019, but was research coordinator before med </t>
  </si>
  <si>
    <t>Khoury AL - Search Results - PubMed (nih.gov) + https://www.researchgate.net/scientific-contributions/A-Khoury-2218775265</t>
  </si>
  <si>
    <t xml:space="preserve">MD, MPH </t>
  </si>
  <si>
    <t>Duke University</t>
  </si>
  <si>
    <t>0?</t>
  </si>
  <si>
    <t xml:space="preserve">5-Year med for MPH degree </t>
  </si>
  <si>
    <t>used scopus to find several different RGs</t>
  </si>
  <si>
    <t>Aurelie Merlo's research works | University of North Carolina at Chapel Hill, NC (UNC) and other places (researchgate.net)</t>
  </si>
  <si>
    <t>Aurelie Merlo</t>
  </si>
  <si>
    <t>Case Western Reserve University SOM</t>
  </si>
  <si>
    <t>40</t>
  </si>
  <si>
    <t>29</t>
  </si>
  <si>
    <t>did fellowship in japan, then moved here in 2020, did research for 2 years, then accepted</t>
  </si>
  <si>
    <t>Kei Kobayashi (researchgate.net)</t>
  </si>
  <si>
    <t xml:space="preserve">? 2 research + fellowship/residency </t>
  </si>
  <si>
    <t>Ian Christie (researchgate.net)</t>
  </si>
  <si>
    <t>https://www.linkedin.com/in/ian-g-christie</t>
  </si>
  <si>
    <t xml:space="preserve">Dr. Chan unsure of rest </t>
  </si>
  <si>
    <t>https://www.researchgate.net/scientific-contributions/Megan-E-Turner-2113836340</t>
  </si>
  <si>
    <t>Megan Turner (researchgate.net)</t>
  </si>
  <si>
    <t>Megan Turner</t>
  </si>
  <si>
    <t xml:space="preserve">Cinncinati School of Medicine </t>
  </si>
  <si>
    <t>remove 4 pre print + 9 duplicates</t>
  </si>
  <si>
    <t>James Brown (researchgate.net)</t>
  </si>
  <si>
    <t xml:space="preserve">published a lot before matriculation, must have had gap ?, linkedin not found </t>
  </si>
  <si>
    <t>Mahnoor Imran (researchgate.net) https://www.researchgate.net/profile/Mahnoor-Imran-2</t>
  </si>
  <si>
    <t>did postdoc at yale 2018-2019 and then prelim year at yale until 2020 / when scopus 2 identity is looked up on RG(+2 more), 3rd identity (+5)</t>
  </si>
  <si>
    <t>MBBS</t>
  </si>
  <si>
    <t>2 or 3 if we count prelim year at yale?</t>
  </si>
  <si>
    <t>Bryant Fisher's research works | University of Pittsburgh, PA (Pitt) and other places (researchgate.net)</t>
  </si>
  <si>
    <t>Rachel Deitz (0000-0002-6494-599X) (orcid.org)</t>
  </si>
  <si>
    <t>Rachel Deitz's research works | University of Pittsburgh, PA (Pitt) and other places (researchgate.net)</t>
  </si>
  <si>
    <t>(26) Rachel Deitz, M.D., M.P.H. | LinkedIn</t>
  </si>
  <si>
    <t>Rachel L. Dietz</t>
  </si>
  <si>
    <t>(26) Sarah Yousef | LinkedIn</t>
  </si>
  <si>
    <t>removed 5 dups on RG 57 - 5 =52</t>
  </si>
  <si>
    <t>Sarah Yousef (researchgate.net)</t>
  </si>
  <si>
    <t> University of Pittsburgh School of Medicine</t>
  </si>
  <si>
    <t xml:space="preserve">removed 2 duplicated from RG </t>
  </si>
  <si>
    <t>Syed Faaz Ashraf (researchgate.net)</t>
  </si>
  <si>
    <t xml:space="preserve"> 13 pre prints copies, 2 pre prints not published to date (70 on RG - 15?)</t>
  </si>
  <si>
    <t xml:space="preserve">no linkedin found </t>
  </si>
  <si>
    <t>Nicholas Ryan Hess (researchgate.net)</t>
  </si>
  <si>
    <t>University of Pittsburgh School of Medicine</t>
  </si>
  <si>
    <t>https://www.linkedin.com/in/keith-dufendach-20474a40</t>
  </si>
  <si>
    <t>Keith Dufendach's research works | University of Pittsburgh, PA (Pitt) and other places (researchgate.net)</t>
  </si>
  <si>
    <t>Keith D Dufendach</t>
  </si>
  <si>
    <t xml:space="preserve">matriculation/mph confirmed with Dr. Chan </t>
  </si>
  <si>
    <t>Ernest Chan (researchgate.net)</t>
  </si>
  <si>
    <t>Ernest Chan</t>
  </si>
  <si>
    <t>got MPH 2015-2016 before match in 2016</t>
  </si>
  <si>
    <t>(26) Dongning Zhang | LinkedIn</t>
  </si>
  <si>
    <t>Dongning Zhang's research works | University of Pittsburgh, PA (Pitt) and other places (researchgate.net)</t>
  </si>
  <si>
    <t>Dongning Zhang (researchgate.net)</t>
  </si>
  <si>
    <t>University of Pittsburgh School of Medicine </t>
  </si>
  <si>
    <t xml:space="preserve">Graduated MD 2016 (took 5 years, did research year, started residency a year after grad. Confusing timeline </t>
  </si>
  <si>
    <t>Chigozirim N. Ekeke's research works | University of Pittsburgh, PA (Pitt) and other places (researchgate.net)</t>
  </si>
  <si>
    <t>Chigozirim N. Ekeke</t>
  </si>
  <si>
    <t>? Finished med school 2013 but started residency 2015?</t>
  </si>
  <si>
    <t>(26) Kyla Joubert | LinkedIn</t>
  </si>
  <si>
    <t>Kyla Joubert's research works | University of Pittsburgh, PA (Pitt) and other places (researchgate.net)</t>
  </si>
  <si>
    <t xml:space="preserve">Kyla D. Joubart </t>
  </si>
  <si>
    <t>Louisiana State University Health Sciences Center</t>
  </si>
  <si>
    <t>maiden name 'Mucinese doesn’t pul anything up'</t>
  </si>
  <si>
    <t>Laura Seese (researchgate.net)</t>
  </si>
  <si>
    <t>Laura M. Seese</t>
  </si>
  <si>
    <t>(25) Valerie Huang | LinkedIn</t>
  </si>
  <si>
    <t>twitter</t>
  </si>
  <si>
    <t>Swicord, William Blake - Author details - Scopus Preview</t>
  </si>
  <si>
    <t>(25) Lynette Lester | LinkedIn</t>
  </si>
  <si>
    <t>Lester, Lynette - Author details - Scopus Preview /Estimating obstetric and gynecologic surgical rate: A benchmark of surgical capacity building in Ghana</t>
  </si>
  <si>
    <t>Combining Cardiology and Public Health to Help Communities | Drexel Dornsife School of Public Health</t>
  </si>
  <si>
    <t>Markian Bojko's research works | University of Southern California, California (USC) and other places (researchgate.net)</t>
  </si>
  <si>
    <t>MD MPH</t>
  </si>
  <si>
    <t xml:space="preserve">Drexel College of medicine </t>
  </si>
  <si>
    <t>found most through pubmed, not found on scopus</t>
  </si>
  <si>
    <t>Kayvan Kazerouni's research works | Janssen Research &amp; Development, LLC, Raritan (JANSSEN) and other places (researchgate.net) /https://pubmed-ncbi-nlm-nih-gov.elibrary.amc.edu/?term=Kayvan+Kazerouni&amp;sort=jour /Kayvan Kazerouni's research works | University of Southern California, California (USC) and other places (researchgate.net)</t>
  </si>
  <si>
    <t>Kavyan Kazerouni</t>
  </si>
  <si>
    <t>h index highr on RG / took gap year at MS3</t>
  </si>
  <si>
    <t>(7) Anna Olds (researchgate.net) /https://www.linkedin.com/in/anna-hollembeak-olds-md-209682151/</t>
  </si>
  <si>
    <t>Anna Olds</t>
  </si>
  <si>
    <t xml:space="preserve">goes by billy </t>
  </si>
  <si>
    <t>William Oslund's research works | Keck School of Medicine USC, Los Angeles and other places (researchgate.net) /https://www.linkedin.com/in/billy-oslund-md-a69a4a11/</t>
  </si>
  <si>
    <t>William Oslund</t>
  </si>
  <si>
    <t xml:space="preserve">University of North Carolina at Chapel Hill School of Medicine </t>
  </si>
  <si>
    <t>Weston JA - Search Results - PubMed (nih.gov)</t>
  </si>
  <si>
    <t>J. Alexander Weston's research works | University of Southern California, California (USC) and other places (researchgate.net)</t>
  </si>
  <si>
    <t>FELLOW?</t>
  </si>
  <si>
    <t>J. Alexander Weston</t>
  </si>
  <si>
    <t>David W Fields's research works | University of Pennsylvania, PA (UP) and other places (researchgate.net)</t>
  </si>
  <si>
    <t xml:space="preserve">I think 4+3, calls himself fellow </t>
  </si>
  <si>
    <t>David Fields, MD | LinkedIn</t>
  </si>
  <si>
    <t>David Fields</t>
  </si>
  <si>
    <t>(25) Brittany Abt | LinkedIn</t>
  </si>
  <si>
    <t>Brittany Gabriella Abt (researchgate.net)</t>
  </si>
  <si>
    <t>Hope E Cordova, DO</t>
  </si>
  <si>
    <t>? Graduated med school 2016</t>
  </si>
  <si>
    <t>Errico, Kristen N. - Author details - Scopus Preview</t>
  </si>
  <si>
    <t>(4) Connor McDonald (researchgate.net)</t>
  </si>
  <si>
    <t>Connor P. McDonald, MD</t>
  </si>
  <si>
    <t>(17) Carolyn Dubeau | LinkedIn //https://www.researchgate.net/scientific-contributions/Carolyn-Dubeau-2172057118 /https://www.researchgate.net/scientific-contributions/Carolyn-A-Dubeau-2201971779</t>
  </si>
  <si>
    <t>ResearchGate //https://www.researchgate.net/scientific-contributions/Aakash-Shah-2099742835</t>
  </si>
  <si>
    <t>Anne Sandstrom's research works (researchgate.net) /https://www.researchgate.net/scientific-contributions/Anne-Sandstrom-2218335947</t>
  </si>
  <si>
    <t>(18) Joseph Heiler | LinkedIn /https://www.researchgate.net/scientific-contributions/Joseph-C-Heiler-2178605058</t>
  </si>
  <si>
    <t>University of Arizona College of Medicine</t>
  </si>
  <si>
    <t>Levy, Lauren - Author details - Scopus Preview</t>
  </si>
  <si>
    <t xml:space="preserve"> Lauren Levy, MD</t>
  </si>
  <si>
    <t>if graduated/atched 2017, otherwise 2x check pub</t>
  </si>
  <si>
    <t>Jared P. Beller's research works | University of Virginia, VA (UVa) and other places (researchgate.net) //https://www.researchgate.net/profile/Jared-Beller</t>
  </si>
  <si>
    <t xml:space="preserve">Jared P. Beller, MD </t>
  </si>
  <si>
    <t>(4) Jared P. Beller (researchgate.net)</t>
  </si>
  <si>
    <t>Jolian Dahl's research works | University of Virginia, VA (UVa) and other places (researchgate.net)</t>
  </si>
  <si>
    <t>MD, MSc</t>
  </si>
  <si>
    <t>(18) Erik Scott | LinkedIn //https://www.scopus.com/results/authorNamesList.uri?sort=count-f&amp;src=al&amp;sid=c238f55707eca7b03b1d4ed1bcd37ecc&amp;sot=al&amp;sdt=al&amp;sl=39&amp;s=AUTHLASTNAME%28Scott%29+AND+AUTHFIRST%28Erik%29&amp;st1=Scott&amp;st2=Erik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65e6b327d4428c739a012900704a0a73</t>
  </si>
  <si>
    <t>6 (5 website vs. linkedin)</t>
  </si>
  <si>
    <t>(18) Evan Rotar | LinkedIn /https://www.researchgate.net/scientific-contributions/Erik-J-Scott-2166911306</t>
  </si>
  <si>
    <t>4 (says 3 on website, but 4 per linkedin)</t>
  </si>
  <si>
    <t>2 yr reseach b4 med school /PhD student now</t>
  </si>
  <si>
    <t>(18) Raymond Strobel | LinkedIn /https://www.researchgate.net/scientific-contributions/Raymond-J-Strobel-2201632069 //https://www.researchgate.net/profile/Raymond-Strobel/research</t>
  </si>
  <si>
    <t>Raymond Strobel, MD MSc</t>
  </si>
  <si>
    <t>(13) Alex Wisniewski | LinkedIn</t>
  </si>
  <si>
    <t>R/3</t>
  </si>
  <si>
    <t>I think this is his pubs? None CT related?</t>
  </si>
  <si>
    <t>Steven Young's research works | University of Virginia, VA (UVa) and other places (researchgate.net) /https://www.scopus.com/results/authorNamesList.uri?sort=count-f&amp;src=al&amp;affilName=university+of+virginia&amp;sid=4508fdcf4553517a2cfc164d8cb8054e&amp;sot=al&amp;sdt=al&amp;sl=75&amp;s=AUTHLASTNAME%28Young%29+AND+AUTHFIRST%28Steven%29+AND+AFFIL%28university+of+virginia%29&amp;st1=Young&amp;st2=Steve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ee140f37c313ff6568e058cc04b0bd66</t>
  </si>
  <si>
    <t> University of Virginia</t>
  </si>
  <si>
    <t>https://www.researchgate.net/scientific-contributions/Daniella-Wong-2167258801/https://www.researchgate.net/publication/310471408_Two_PTP_receptors_mediate_CSPG_inhibition_by_convergent_and_divergent_signaling_pathways_in_neurons</t>
  </si>
  <si>
    <t>Daniella Wong, MD</t>
  </si>
  <si>
    <t>Anna H. Xue, MD</t>
  </si>
  <si>
    <t> University of Washington School of Medicine</t>
  </si>
  <si>
    <t>only 1 pub after match?/US news says she did peds residency? Graduated Lake Erie 2008?</t>
  </si>
  <si>
    <t>Melissa Blaker's research works (researchgate.net)</t>
  </si>
  <si>
    <t>Melissa Blaker, D.O</t>
  </si>
  <si>
    <t>Graduated Jeff 2018, research yr?</t>
  </si>
  <si>
    <t>https://www.linkedin.com/in/nataliya-bahatyrevich-381730160</t>
  </si>
  <si>
    <t>Nataliya Bahatyrevich, M.D</t>
  </si>
  <si>
    <t>LinkedIn not found, may have had name change bc scopus only has pubs after 2019</t>
  </si>
  <si>
    <t>https://www.scopus.com/results/authorNamesList.uri?sort=count-f&amp;src=al&amp;affilName=Davis&amp;sid=e98d9933295d480f309835df3c2f2f24&amp;sot=al&amp;sdt=al&amp;sl=56&amp;s=AUTHLASTNAME%28chen%29+AND+AUTHFIRST%28sarah%29+AND+AFFIL%28Davis%29&amp;st1=chen&amp;st2=sarah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47977dfa7d9f797e7da4244dde4dc4e0</t>
  </si>
  <si>
    <t> University of California, Davis</t>
  </si>
  <si>
    <t>3 scopus links (6) and 1 article found in RG</t>
  </si>
  <si>
    <t>Jonathan Hyde (@JonathanHyde_3) / Twitter /https://www.scopus.com/results/authorNamesList.uri?sort=count-f&amp;src=al&amp;sid=e177be3dd56228784a5facac75bb5021&amp;sot=al&amp;sdt=al&amp;sl=42&amp;s=AUTHLASTNAME%28Hyde%29+AND+AUTHFIRST%28Jonathan%29&amp;st1=Hyde&amp;st2=Jonath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d4e462ea0a8c476307caafc56a0eb8</t>
  </si>
  <si>
    <t>Jonathan Hyde, M.D</t>
  </si>
  <si>
    <t xml:space="preserve">LinkedIn w/o info </t>
  </si>
  <si>
    <t>Bret Gary Degraaff's research works | University of Washington Seattle, Seattle (UW) and other places (researchgate.net)</t>
  </si>
  <si>
    <t>Bret DeGraaff, M.D</t>
  </si>
  <si>
    <t>did PhD years</t>
  </si>
  <si>
    <t>(4) Makoto Mori (researchgate.net)</t>
  </si>
  <si>
    <t>was a fellow for 2 years before moving to US</t>
  </si>
  <si>
    <t>(25) Saket Singh | LinkedIn/https://www.researchgate.net/profile/Saket-Singh-2</t>
  </si>
  <si>
    <t>Dishen Lin's research works | Yale-New Haven Hospital, New Haven (YNHH) and other places (researchgate.net) /https://www.researchgate.net/profile/Dishen_Lin2</t>
  </si>
  <si>
    <t> Zucker School of Medicine at Hofstra/Northwell</t>
  </si>
  <si>
    <t>has 2 RGs</t>
  </si>
  <si>
    <t>Matthew D. Pichert's research works | Yale University, CT (YU) and other places (researchgate.net)/https://www.researchgate.net/scientific-contributions/Matthew-D-Pichert-2194094375</t>
  </si>
  <si>
    <t xml:space="preserve">Mathew D. Pichert </t>
  </si>
  <si>
    <t>can't find second researchgate and that's where all his pre pubs are</t>
  </si>
  <si>
    <t>Alex Sotolongo's research works | Yale-New Haven Hospital, New Haven (YNHH) and other places (researchgate.net)/https://www.researchgate.net/scientific-contributions/Alex-Sotolongo-2133150039</t>
  </si>
  <si>
    <t>Clancy Mullan</t>
  </si>
  <si>
    <t>changed pre/post pubs from 20/37 to 30/27 after recounting</t>
  </si>
  <si>
    <t>Syed Usman Bin Mahmood | LinkedIn /https://www.researchgate.net/profile/Syed-Usman-Bin-Mahmood-2</t>
  </si>
  <si>
    <t>i feel like he did fellow year at yale bc pubs before getting in are from yale; took out one pub because it was a repeat</t>
  </si>
  <si>
    <t>Alan S. Chou's research works | Yale-New Haven Hospital, New Haven (YNHH) and other places (researchgate.net)</t>
  </si>
  <si>
    <t>(4) Irbaz Hameed (researchgate.net)</t>
  </si>
  <si>
    <t>China</t>
  </si>
  <si>
    <t xml:space="preserve">China </t>
  </si>
  <si>
    <t xml:space="preserve">Did 6 years at UPenn before med school </t>
  </si>
  <si>
    <t>https://www.linkedin.com/in/carolinekomlo/https://www.researchgate.net/profile/Caroline-Komlo-2</t>
  </si>
  <si>
    <t>Dustin Lieu's research works | University of Southern California, California (USC) and other places (researchgate.net) /https://www.researchgate.net/scientific-contributions/Dustin-K-Lieu-2195317086</t>
  </si>
  <si>
    <t>(24) Theresa Ermer | LinkedIn /https://www.researchgate.net/profile/Theresa-Ermer-2</t>
  </si>
  <si>
    <t>Mina Zaky | LinkedIn</t>
  </si>
  <si>
    <t>Mina H Zaky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</si>
</sst>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rgb="FF333333"/>
      <name val="Helvetica Neue"/>
      <family val="2"/>
    </font>
    <font>
      <sz val="13"/>
      <color rgb="FF555555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555555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theme="9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8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4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/>
    <xf numFmtId="0" fontId="3" fillId="6" borderId="1" xfId="0" applyFont="1" applyFill="1" applyBorder="1"/>
    <xf numFmtId="0" fontId="1" fillId="6" borderId="1" xfId="1" applyFill="1" applyBorder="1"/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3" fillId="3" borderId="1" xfId="0" applyFont="1" applyFill="1" applyBorder="1"/>
    <xf numFmtId="0" fontId="2" fillId="2" borderId="1" xfId="0" applyFont="1" applyFill="1" applyBorder="1"/>
    <xf numFmtId="0" fontId="2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/>
    <xf numFmtId="0" fontId="2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0" borderId="1" xfId="0" applyFont="1" applyFill="1" applyBorder="1"/>
    <xf numFmtId="0" fontId="3" fillId="11" borderId="1" xfId="0" applyFont="1" applyFill="1" applyBorder="1" applyAlignment="1">
      <alignment vertical="center" wrapText="1"/>
    </xf>
    <xf numFmtId="0" fontId="0" fillId="0" borderId="1" xfId="0" applyBorder="1"/>
    <xf numFmtId="0" fontId="0" fillId="9" borderId="1" xfId="0" applyFill="1" applyBorder="1"/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11" fillId="0" borderId="1" xfId="0" applyFont="1" applyBorder="1"/>
    <xf numFmtId="0" fontId="1" fillId="0" borderId="1" xfId="1" applyFill="1" applyBorder="1"/>
    <xf numFmtId="0" fontId="0" fillId="2" borderId="1" xfId="0" applyFill="1" applyBorder="1"/>
    <xf numFmtId="0" fontId="12" fillId="0" borderId="1" xfId="0" applyFont="1" applyBorder="1"/>
    <xf numFmtId="0" fontId="0" fillId="6" borderId="1" xfId="0" applyFill="1" applyBorder="1"/>
    <xf numFmtId="0" fontId="2" fillId="12" borderId="1" xfId="0" applyFont="1" applyFill="1" applyBorder="1" applyAlignment="1">
      <alignment vertical="center" wrapText="1"/>
    </xf>
    <xf numFmtId="0" fontId="3" fillId="12" borderId="1" xfId="1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0" fillId="12" borderId="1" xfId="0" applyFill="1" applyBorder="1"/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/>
    <xf numFmtId="0" fontId="1" fillId="12" borderId="1" xfId="1" applyFill="1" applyBorder="1"/>
    <xf numFmtId="0" fontId="0" fillId="12" borderId="0" xfId="0" applyFill="1"/>
    <xf numFmtId="0" fontId="3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0" fillId="13" borderId="0" xfId="0" applyFill="1"/>
    <xf numFmtId="0" fontId="15" fillId="2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20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1" fillId="0" borderId="1" xfId="1" applyFont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3" fillId="2" borderId="1" xfId="0" applyFont="1" applyFill="1" applyBorder="1" applyAlignment="1">
      <alignment vertical="center"/>
    </xf>
    <xf numFmtId="0" fontId="17" fillId="0" borderId="0" xfId="0" applyFont="1" applyAlignment="1"/>
    <xf numFmtId="0" fontId="15" fillId="2" borderId="1" xfId="0" applyFont="1" applyFill="1" applyBorder="1" applyAlignment="1"/>
    <xf numFmtId="0" fontId="16" fillId="3" borderId="1" xfId="0" applyFont="1" applyFill="1" applyBorder="1" applyAlignment="1"/>
    <xf numFmtId="0" fontId="16" fillId="0" borderId="1" xfId="0" applyFont="1" applyBorder="1" applyAlignment="1"/>
    <xf numFmtId="0" fontId="16" fillId="4" borderId="1" xfId="0" applyFont="1" applyFill="1" applyBorder="1" applyAlignment="1"/>
    <xf numFmtId="0" fontId="15" fillId="8" borderId="1" xfId="0" applyFont="1" applyFill="1" applyBorder="1" applyAlignment="1"/>
    <xf numFmtId="0" fontId="16" fillId="8" borderId="1" xfId="0" applyFont="1" applyFill="1" applyBorder="1" applyAlignment="1"/>
    <xf numFmtId="0" fontId="16" fillId="2" borderId="1" xfId="0" applyFont="1" applyFill="1" applyBorder="1" applyAlignment="1"/>
    <xf numFmtId="0" fontId="16" fillId="9" borderId="1" xfId="0" applyFont="1" applyFill="1" applyBorder="1" applyAlignment="1"/>
    <xf numFmtId="0" fontId="0" fillId="0" borderId="0" xfId="0" applyAlignment="1">
      <alignment vertical="center"/>
    </xf>
    <xf numFmtId="0" fontId="19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/>
    <xf numFmtId="0" fontId="15" fillId="2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21" fillId="0" borderId="1" xfId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8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1" fillId="3" borderId="1" xfId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3" fillId="2" borderId="1" xfId="0" applyFont="1" applyFill="1" applyBorder="1"/>
    <xf numFmtId="0" fontId="3" fillId="14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wrapText="1"/>
    </xf>
    <xf numFmtId="0" fontId="6" fillId="0" borderId="1" xfId="1" applyFont="1" applyBorder="1"/>
    <xf numFmtId="0" fontId="24" fillId="3" borderId="1" xfId="1" applyFont="1" applyFill="1" applyBorder="1" applyAlignment="1">
      <alignment horizontal="center" wrapText="1"/>
    </xf>
    <xf numFmtId="0" fontId="24" fillId="3" borderId="1" xfId="1" applyFont="1" applyFill="1" applyBorder="1"/>
    <xf numFmtId="0" fontId="1" fillId="5" borderId="1" xfId="1" applyFill="1" applyBorder="1"/>
    <xf numFmtId="0" fontId="6" fillId="3" borderId="1" xfId="1" applyFont="1" applyFill="1" applyBorder="1"/>
    <xf numFmtId="0" fontId="3" fillId="15" borderId="1" xfId="0" applyFont="1" applyFill="1" applyBorder="1"/>
    <xf numFmtId="0" fontId="3" fillId="5" borderId="1" xfId="0" applyFont="1" applyFill="1" applyBorder="1" applyAlignment="1">
      <alignment horizontal="center" wrapText="1"/>
    </xf>
    <xf numFmtId="0" fontId="1" fillId="3" borderId="1" xfId="1" applyFill="1" applyBorder="1"/>
    <xf numFmtId="0" fontId="1" fillId="14" borderId="1" xfId="1" applyFill="1" applyBorder="1"/>
    <xf numFmtId="0" fontId="24" fillId="3" borderId="0" xfId="1" applyFont="1" applyFill="1"/>
    <xf numFmtId="0" fontId="24" fillId="0" borderId="0" xfId="1" applyFont="1"/>
    <xf numFmtId="0" fontId="24" fillId="0" borderId="1" xfId="1" applyFont="1" applyBorder="1"/>
    <xf numFmtId="0" fontId="4" fillId="0" borderId="1" xfId="0" applyFont="1" applyBorder="1"/>
    <xf numFmtId="0" fontId="24" fillId="0" borderId="1" xfId="1" applyFont="1" applyFill="1" applyBorder="1"/>
    <xf numFmtId="0" fontId="5" fillId="0" borderId="1" xfId="0" applyFont="1" applyBorder="1"/>
    <xf numFmtId="0" fontId="1" fillId="0" borderId="1" xfId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" fillId="3" borderId="1" xfId="1" applyFill="1" applyBorder="1" applyAlignment="1">
      <alignment horizontal="center" wrapText="1"/>
    </xf>
    <xf numFmtId="0" fontId="3" fillId="4" borderId="1" xfId="0" applyFont="1" applyFill="1" applyBorder="1"/>
    <xf numFmtId="0" fontId="24" fillId="0" borderId="1" xfId="1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1" fillId="0" borderId="0" xfId="1"/>
    <xf numFmtId="0" fontId="1" fillId="0" borderId="1" xfId="1" applyBorder="1"/>
    <xf numFmtId="0" fontId="5" fillId="3" borderId="0" xfId="0" applyFont="1" applyFill="1" applyAlignment="1">
      <alignment vertical="center" wrapText="1"/>
    </xf>
    <xf numFmtId="0" fontId="5" fillId="3" borderId="0" xfId="0" applyFont="1" applyFill="1"/>
    <xf numFmtId="0" fontId="24" fillId="3" borderId="0" xfId="1" applyFont="1" applyFill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6" borderId="1" xfId="0" applyFont="1" applyFill="1" applyBorder="1"/>
    <xf numFmtId="0" fontId="24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6" fillId="4" borderId="1" xfId="1" applyFont="1" applyFill="1" applyBorder="1"/>
    <xf numFmtId="0" fontId="6" fillId="4" borderId="1" xfId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4" fillId="4" borderId="1" xfId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0" fontId="6" fillId="0" borderId="1" xfId="1" applyFont="1" applyFill="1" applyBorder="1"/>
    <xf numFmtId="0" fontId="1" fillId="3" borderId="0" xfId="1" applyFill="1"/>
    <xf numFmtId="0" fontId="6" fillId="0" borderId="1" xfId="1" applyFont="1" applyBorder="1" applyAlignment="1">
      <alignment horizontal="left" vertical="center" wrapText="1"/>
    </xf>
    <xf numFmtId="0" fontId="3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F8F4"/>
      <color rgb="FFFEF4FD"/>
      <color rgb="FFF9D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som.uthscsa.edu/ct-surgery/team-member/hope-cordova-do/" TargetMode="External"/><Relationship Id="rId13" Type="http://schemas.openxmlformats.org/officeDocument/2006/relationships/hyperlink" Target="https://lsom.uthscsa.edu/ct-surgery/team-member/anne-sandstrom-md/" TargetMode="External"/><Relationship Id="rId3" Type="http://schemas.openxmlformats.org/officeDocument/2006/relationships/hyperlink" Target="https://lsom.uthscsa.edu/ct-surgery/team-member/connor-mcdonald-md/" TargetMode="External"/><Relationship Id="rId7" Type="http://schemas.openxmlformats.org/officeDocument/2006/relationships/hyperlink" Target="https://medicine.utah.edu/surgery/residents/joseph-heiler" TargetMode="External"/><Relationship Id="rId12" Type="http://schemas.openxmlformats.org/officeDocument/2006/relationships/hyperlink" Target="https://lsom.uthscsa.edu/ct-surgery/team-member/aakash-shah-md/" TargetMode="External"/><Relationship Id="rId2" Type="http://schemas.openxmlformats.org/officeDocument/2006/relationships/hyperlink" Target="https://lsom.uthscsa.edu/ct-surgery/team-member/hope-cordova-do/" TargetMode="External"/><Relationship Id="rId1" Type="http://schemas.openxmlformats.org/officeDocument/2006/relationships/hyperlink" Target="https://lsom.uthscsa.edu/ct-surgery/team-member/hope-cordova-do/" TargetMode="External"/><Relationship Id="rId6" Type="http://schemas.openxmlformats.org/officeDocument/2006/relationships/hyperlink" Target="https://lsom.uthscsa.edu/ct-surgery/team-member/anne-sandstrom-md/" TargetMode="External"/><Relationship Id="rId11" Type="http://schemas.openxmlformats.org/officeDocument/2006/relationships/hyperlink" Target="https://lsom.uthscsa.edu/ct-surgery/team-member/carolyn-dubeau-md/" TargetMode="External"/><Relationship Id="rId5" Type="http://schemas.openxmlformats.org/officeDocument/2006/relationships/hyperlink" Target="https://lsom.uthscsa.edu/ct-surgery/team-member/aakash-shah-md/" TargetMode="External"/><Relationship Id="rId10" Type="http://schemas.openxmlformats.org/officeDocument/2006/relationships/hyperlink" Target="https://lsom.uthscsa.edu/ct-surgery/team-member/connor-mcdonald-md/" TargetMode="External"/><Relationship Id="rId4" Type="http://schemas.openxmlformats.org/officeDocument/2006/relationships/hyperlink" Target="https://lsom.uthscsa.edu/ct-surgery/team-member/carolyn-dubeau-md/" TargetMode="External"/><Relationship Id="rId9" Type="http://schemas.openxmlformats.org/officeDocument/2006/relationships/hyperlink" Target="https://lsom.uthscsa.edu/ct-surgery/team-member/hope-cordova-do/" TargetMode="External"/><Relationship Id="rId14" Type="http://schemas.openxmlformats.org/officeDocument/2006/relationships/hyperlink" Target="https://medicine.utah.edu/surgery/residents/joseph-heile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ter.com/AlexanderReedMD" TargetMode="External"/><Relationship Id="rId299" Type="http://schemas.openxmlformats.org/officeDocument/2006/relationships/hyperlink" Target="https://www.researchgate.net/profile/Michael-Paulsen/research" TargetMode="External"/><Relationship Id="rId21" Type="http://schemas.openxmlformats.org/officeDocument/2006/relationships/hyperlink" Target="https://www.linkedin.com/in/andreas-habertheuer-m-d-ph-d-5b14428b/" TargetMode="External"/><Relationship Id="rId63" Type="http://schemas.openxmlformats.org/officeDocument/2006/relationships/hyperlink" Target="https://www.scopus.com/results/authorNamesList.uri?sort=count-f&amp;src=al&amp;sid=74b09a26e0193eeb3b8fb396fa2f6d91&amp;sot=al&amp;sdt=al&amp;sl=45&amp;s=AUTHLASTNAME%28Sperry%29+AND+AUTHFIRST%28Alexandra%29&amp;st1=Sperry&amp;st2=Alexandr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a0dfd5531d729c5055ca6e91b0b4ee" TargetMode="External"/><Relationship Id="rId159" Type="http://schemas.openxmlformats.org/officeDocument/2006/relationships/hyperlink" Target="https://www.scopus.com/authid/detail.uri?authorId=57206774569" TargetMode="External"/><Relationship Id="rId170" Type="http://schemas.openxmlformats.org/officeDocument/2006/relationships/hyperlink" Target="https://www.linkedin.com/in/adnan-al-ayoubi-0bb38313b/" TargetMode="External"/><Relationship Id="rId226" Type="http://schemas.openxmlformats.org/officeDocument/2006/relationships/hyperlink" Target="https://www.scopus.com/authid/detail.uri?authorId=57219607844" TargetMode="External"/><Relationship Id="rId268" Type="http://schemas.openxmlformats.org/officeDocument/2006/relationships/hyperlink" Target="https://www.researchgate.net/scientific-contributions/James-A-Miller-2196477269" TargetMode="External"/><Relationship Id="rId32" Type="http://schemas.openxmlformats.org/officeDocument/2006/relationships/hyperlink" Target="https://www.linkedin.com/in/ariana-goodman-6aa65280/" TargetMode="External"/><Relationship Id="rId74" Type="http://schemas.openxmlformats.org/officeDocument/2006/relationships/hyperlink" Target="https://www.researchgate.net/scientific-contributions/Amrita-Sukhavasi-2172289485" TargetMode="External"/><Relationship Id="rId128" Type="http://schemas.openxmlformats.org/officeDocument/2006/relationships/hyperlink" Target="https://www.researchgate.net/scientific-contributions/Aaron-J-Clark-2192150426" TargetMode="External"/><Relationship Id="rId5" Type="http://schemas.openxmlformats.org/officeDocument/2006/relationships/hyperlink" Target="https://pubmed.ncbi.nlm.nih.gov/32506571/" TargetMode="External"/><Relationship Id="rId181" Type="http://schemas.openxmlformats.org/officeDocument/2006/relationships/hyperlink" Target="https://www.researchgate.net/scientific-contributions/Chelsea-M-Loria-2230047706" TargetMode="External"/><Relationship Id="rId237" Type="http://schemas.openxmlformats.org/officeDocument/2006/relationships/hyperlink" Target="https://www.scopus.com/authid/detail.uri?authorId=57193518561" TargetMode="External"/><Relationship Id="rId279" Type="http://schemas.openxmlformats.org/officeDocument/2006/relationships/hyperlink" Target="https://www.umms.org/ummc/pros/gme/residency/cardiothoracic-surgery/residents" TargetMode="External"/><Relationship Id="rId43" Type="http://schemas.openxmlformats.org/officeDocument/2006/relationships/hyperlink" Target="https://www.linkedin.com/in/k-candis-jones-97837226/" TargetMode="External"/><Relationship Id="rId139" Type="http://schemas.openxmlformats.org/officeDocument/2006/relationships/hyperlink" Target="https://www.researchgate.net/scientific-contributions/Brady-Gunn-2201732911" TargetMode="External"/><Relationship Id="rId290" Type="http://schemas.openxmlformats.org/officeDocument/2006/relationships/hyperlink" Target="https://www.researchgate.net/scientific-contributions/Patrick-C-Gedeon-15865930" TargetMode="External"/><Relationship Id="rId304" Type="http://schemas.openxmlformats.org/officeDocument/2006/relationships/hyperlink" Target="https://pubmed.ncbi.nlm.nih.gov/?term=Gorton+Andrew+&amp;sort=pubdate" TargetMode="External"/><Relationship Id="rId85" Type="http://schemas.openxmlformats.org/officeDocument/2006/relationships/hyperlink" Target="https://www.researchgate.net/scientific-contributions/Rachel-Deitz-2175432506" TargetMode="External"/><Relationship Id="rId150" Type="http://schemas.openxmlformats.org/officeDocument/2006/relationships/hyperlink" Target="https://www.researchgate.net/profile/Brittany-Abt" TargetMode="External"/><Relationship Id="rId192" Type="http://schemas.openxmlformats.org/officeDocument/2006/relationships/hyperlink" Target="https://www.linkedin.com/in/alex-wisniewski-41b825a5/" TargetMode="External"/><Relationship Id="rId206" Type="http://schemas.openxmlformats.org/officeDocument/2006/relationships/hyperlink" Target="https://www.scopus.com/results/authorNamesList.uri?sort=count-f&amp;src=al&amp;sid=a2b91f9705b644fc86010213d99020e7&amp;sot=al&amp;sdt=al&amp;sl=43&amp;s=AUTHLASTNAME%28Anderson%29+AND+AUTHFIRST%28Devon%29&amp;st1=Anderson&amp;st2=Devo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b085ea0aabdecfb22c559aa55c1307db" TargetMode="External"/><Relationship Id="rId248" Type="http://schemas.openxmlformats.org/officeDocument/2006/relationships/hyperlink" Target="https://www.scopus.com/authid/detail.uri?authorId=57205391612" TargetMode="External"/><Relationship Id="rId12" Type="http://schemas.openxmlformats.org/officeDocument/2006/relationships/hyperlink" Target="https://www.linkedin.com/in/ryan-azarrafiy-57648a29/" TargetMode="External"/><Relationship Id="rId108" Type="http://schemas.openxmlformats.org/officeDocument/2006/relationships/hyperlink" Target="https://www.linkedin.com/in/terrence-pong-4b39861/" TargetMode="External"/><Relationship Id="rId54" Type="http://schemas.openxmlformats.org/officeDocument/2006/relationships/hyperlink" Target="https://www.researchgate.net/profile/William-Patrick-2" TargetMode="External"/><Relationship Id="rId96" Type="http://schemas.openxmlformats.org/officeDocument/2006/relationships/hyperlink" Target="https://www.linkedin.com/in/cayley-bowles-47567977/" TargetMode="External"/><Relationship Id="rId161" Type="http://schemas.openxmlformats.org/officeDocument/2006/relationships/hyperlink" Target="https://www.linkedin.com/in/valeriehuangg/" TargetMode="External"/><Relationship Id="rId217" Type="http://schemas.openxmlformats.org/officeDocument/2006/relationships/hyperlink" Target="https://www.researchgate.net/scientific-contributions/Alex-Sotolongo-2171248788" TargetMode="External"/><Relationship Id="rId259" Type="http://schemas.openxmlformats.org/officeDocument/2006/relationships/hyperlink" Target="https://www.scopus.com/authid/detail.uri?authorId=57202007477" TargetMode="External"/><Relationship Id="rId23" Type="http://schemas.openxmlformats.org/officeDocument/2006/relationships/hyperlink" Target="https://www.linkedin.com/in/john-kelly-7b690638/" TargetMode="External"/><Relationship Id="rId119" Type="http://schemas.openxmlformats.org/officeDocument/2006/relationships/hyperlink" Target="https://twitter.com/avijay7" TargetMode="External"/><Relationship Id="rId270" Type="http://schemas.openxmlformats.org/officeDocument/2006/relationships/hyperlink" Target="https://www.researchgate.net/scientific-contributions/Keaton-Cooley-Rieders-2174603319" TargetMode="External"/><Relationship Id="rId291" Type="http://schemas.openxmlformats.org/officeDocument/2006/relationships/hyperlink" Target="https://www.researchgate.net/profile/Andreas-Habertheuer/research" TargetMode="External"/><Relationship Id="rId305" Type="http://schemas.openxmlformats.org/officeDocument/2006/relationships/hyperlink" Target="https://pubmed.ncbi.nlm.nih.gov/36841715/" TargetMode="External"/><Relationship Id="rId44" Type="http://schemas.openxmlformats.org/officeDocument/2006/relationships/hyperlink" Target="https://twitter.com/MichaelPienta" TargetMode="External"/><Relationship Id="rId65" Type="http://schemas.openxmlformats.org/officeDocument/2006/relationships/hyperlink" Target="https://twitter.com/ChiChiDoNguyen" TargetMode="External"/><Relationship Id="rId86" Type="http://schemas.openxmlformats.org/officeDocument/2006/relationships/hyperlink" Target="https://www.linkedin.com/in/rachel-deitz-m-d-m-p-h-4ab83032/" TargetMode="External"/><Relationship Id="rId130" Type="http://schemas.openxmlformats.org/officeDocument/2006/relationships/hyperlink" Target="https://www.linkedin.com/in/sarah-nisivaco-83467aa5/" TargetMode="External"/><Relationship Id="rId151" Type="http://schemas.openxmlformats.org/officeDocument/2006/relationships/hyperlink" Target="https://www.linkedin.com/in/david-fields-md-3643b821a/" TargetMode="External"/><Relationship Id="rId172" Type="http://schemas.openxmlformats.org/officeDocument/2006/relationships/hyperlink" Target="https://www.sharecare.com/doctor/dr-kyle-walsh-ytr9ir6447%20;%20no%20linked%20in%20was%20found,%20but%20his%20age%20is%20listed%20as%2029,%20and%20given%20the%20number%20of%20publications,%20assume%20no%20research/fellowship%20years%20are%20taken,%20enumeration%20date%20is%20listed%20as%202021" TargetMode="External"/><Relationship Id="rId193" Type="http://schemas.openxmlformats.org/officeDocument/2006/relationships/hyperlink" Target="https://www.researchgate.net/scientific-contributions/Steven-Young-2176896336" TargetMode="External"/><Relationship Id="rId207" Type="http://schemas.openxmlformats.org/officeDocument/2006/relationships/hyperlink" Target="https://pubmed.ncbi.nlm.nih.gov/33592654/" TargetMode="External"/><Relationship Id="rId228" Type="http://schemas.openxmlformats.org/officeDocument/2006/relationships/hyperlink" Target="https://www.scopus.com/authid/detail.uri?authorId=57221957195" TargetMode="External"/><Relationship Id="rId249" Type="http://schemas.openxmlformats.org/officeDocument/2006/relationships/hyperlink" Target="https://www.linkedin.com/in/nasim-azizgolshani-1643152a/" TargetMode="External"/><Relationship Id="rId13" Type="http://schemas.openxmlformats.org/officeDocument/2006/relationships/hyperlink" Target="https://www.researchgate.net/profile/Hoda-Javadikasgari" TargetMode="External"/><Relationship Id="rId109" Type="http://schemas.openxmlformats.org/officeDocument/2006/relationships/hyperlink" Target="https://twitter.com/ajpedroza_md?lang=en" TargetMode="External"/><Relationship Id="rId260" Type="http://schemas.openxmlformats.org/officeDocument/2006/relationships/hyperlink" Target="https://www.linkedin.com/in/benyyang/" TargetMode="External"/><Relationship Id="rId281" Type="http://schemas.openxmlformats.org/officeDocument/2006/relationships/hyperlink" Target="https://www.linkedin.com/in/warren-naselsky/" TargetMode="External"/><Relationship Id="rId34" Type="http://schemas.openxmlformats.org/officeDocument/2006/relationships/hyperlink" Target="https://www.researchgate.net/scientific-contributions/Amit-Iyengar-2150425943" TargetMode="External"/><Relationship Id="rId55" Type="http://schemas.openxmlformats.org/officeDocument/2006/relationships/hyperlink" Target="https://www.researchgate.net/scientific-contributions/Jason-J-Han-2177406833" TargetMode="External"/><Relationship Id="rId76" Type="http://schemas.openxmlformats.org/officeDocument/2006/relationships/hyperlink" Target="https://www.linkedin.com/in/steven-buckeridge-1a0a5320b/" TargetMode="External"/><Relationship Id="rId97" Type="http://schemas.openxmlformats.org/officeDocument/2006/relationships/hyperlink" Target="https://www.linkedin.com/in/michael-j-paulsen-md-1216bb61/" TargetMode="External"/><Relationship Id="rId120" Type="http://schemas.openxmlformats.org/officeDocument/2006/relationships/hyperlink" Target="https://www.researchgate.net/profile/Ahmed-Aly-42/research" TargetMode="External"/><Relationship Id="rId141" Type="http://schemas.openxmlformats.org/officeDocument/2006/relationships/hyperlink" Target="https://www.researchgate.net/scientific-contributions/Nana-Toyoda-2042186294" TargetMode="External"/><Relationship Id="rId7" Type="http://schemas.openxmlformats.org/officeDocument/2006/relationships/hyperlink" Target="https://www.researchgate.net/profile/Michael-Simpson-24" TargetMode="External"/><Relationship Id="rId162" Type="http://schemas.openxmlformats.org/officeDocument/2006/relationships/hyperlink" Target="https://www.linkedin.com/in/brandon-ferrell-md-159a4b72/?trk=org-employees&amp;originalSubdomain=id" TargetMode="External"/><Relationship Id="rId183" Type="http://schemas.openxmlformats.org/officeDocument/2006/relationships/hyperlink" Target="https://www.linkedin.com/in/joseph-heiler-31b320184/" TargetMode="External"/><Relationship Id="rId218" Type="http://schemas.openxmlformats.org/officeDocument/2006/relationships/hyperlink" Target="https://www.researchgate.net/scientific-contributions/Matthew-D-Pichert-2194094375" TargetMode="External"/><Relationship Id="rId239" Type="http://schemas.openxmlformats.org/officeDocument/2006/relationships/hyperlink" Target="https://www.researchgate.net/scientific-contributions/Sameer-K-Singh-2179284160" TargetMode="External"/><Relationship Id="rId250" Type="http://schemas.openxmlformats.org/officeDocument/2006/relationships/hyperlink" Target="https://www.scopus.com/authid/detail.uri?authorId=52564474000" TargetMode="External"/><Relationship Id="rId271" Type="http://schemas.openxmlformats.org/officeDocument/2006/relationships/hyperlink" Target="https://scholar.google.com/citations?user=vJJFv3YAAAAJ" TargetMode="External"/><Relationship Id="rId292" Type="http://schemas.openxmlformats.org/officeDocument/2006/relationships/hyperlink" Target="https://www.linkedin.com/in/emily-wright-20b476264/" TargetMode="External"/><Relationship Id="rId306" Type="http://schemas.openxmlformats.org/officeDocument/2006/relationships/hyperlink" Target="https://www.linkedin.com/in/ian-g-christie" TargetMode="External"/><Relationship Id="rId24" Type="http://schemas.openxmlformats.org/officeDocument/2006/relationships/hyperlink" Target="https://www.researchgate.net/scientific-contributions/John-J-Kelly-2158869492" TargetMode="External"/><Relationship Id="rId45" Type="http://schemas.openxmlformats.org/officeDocument/2006/relationships/hyperlink" Target="https://www.linkedin.com/in/bree-ann-young-md-ms-8a261b30/" TargetMode="External"/><Relationship Id="rId66" Type="http://schemas.openxmlformats.org/officeDocument/2006/relationships/hyperlink" Target="https://twitter.com/FerrelMeganne" TargetMode="External"/><Relationship Id="rId87" Type="http://schemas.openxmlformats.org/officeDocument/2006/relationships/hyperlink" Target="https://www.linkedin.com/in/sarah-yousef-1a4465240/" TargetMode="External"/><Relationship Id="rId110" Type="http://schemas.openxmlformats.org/officeDocument/2006/relationships/hyperlink" Target="https://www.linkedin.com/in/oluwatomisin-obafemi-m-d-2b11a287/" TargetMode="External"/><Relationship Id="rId131" Type="http://schemas.openxmlformats.org/officeDocument/2006/relationships/hyperlink" Target="https://www.linkedin.com/in/adwaiy-manerikar-md-970758a9/" TargetMode="External"/><Relationship Id="rId152" Type="http://schemas.openxmlformats.org/officeDocument/2006/relationships/hyperlink" Target="https://www.researchgate.net/scientific-contributions/William-Oslund-72431922" TargetMode="External"/><Relationship Id="rId173" Type="http://schemas.openxmlformats.org/officeDocument/2006/relationships/hyperlink" Target="https://www.researchgate.net/scientific-contributions/Anne-Sandstrom-2189763574" TargetMode="External"/><Relationship Id="rId194" Type="http://schemas.openxmlformats.org/officeDocument/2006/relationships/hyperlink" Target="https://www.researchgate.net/scientific-contributions/Daniella-Wong-2167258801/https:/www.researchgate.net/publication/310471408_Two_PTP_receptors_mediate_CSPG_inhibition_by_convergent_and_divergent_signaling_pathways_in_neurons" TargetMode="External"/><Relationship Id="rId208" Type="http://schemas.openxmlformats.org/officeDocument/2006/relationships/hyperlink" Target="https://twitter.com/JonathanHyde_3" TargetMode="External"/><Relationship Id="rId229" Type="http://schemas.openxmlformats.org/officeDocument/2006/relationships/hyperlink" Target="https://www.linkedin.com/in/theresa-ermer-b0163150/" TargetMode="External"/><Relationship Id="rId240" Type="http://schemas.openxmlformats.org/officeDocument/2006/relationships/hyperlink" Target="https://www.researchgate.net/scientific-contributions/Stephanie-N-Nguyen-2175971361" TargetMode="External"/><Relationship Id="rId261" Type="http://schemas.openxmlformats.org/officeDocument/2006/relationships/hyperlink" Target="https://www.researchgate.net/profile/Raphaelle-Chemtob" TargetMode="External"/><Relationship Id="rId14" Type="http://schemas.openxmlformats.org/officeDocument/2006/relationships/hyperlink" Target="https://www.linkedin.com/in/hoda-javadikasgari-3302b5a8/" TargetMode="External"/><Relationship Id="rId35" Type="http://schemas.openxmlformats.org/officeDocument/2006/relationships/hyperlink" Target="https://www.linkedin.com/in/mallorylynnirons/" TargetMode="External"/><Relationship Id="rId56" Type="http://schemas.openxmlformats.org/officeDocument/2006/relationships/hyperlink" Target="https://www.researchgate.net/profile/Jason-Han-6" TargetMode="External"/><Relationship Id="rId77" Type="http://schemas.openxmlformats.org/officeDocument/2006/relationships/hyperlink" Target="https://www.researchgate.net/profile/Kei-Kobayashi-6" TargetMode="External"/><Relationship Id="rId100" Type="http://schemas.openxmlformats.org/officeDocument/2006/relationships/hyperlink" Target="https://www.researchgate.net/scientific-contributions/Dongning-Zhang-2199488740" TargetMode="External"/><Relationship Id="rId282" Type="http://schemas.openxmlformats.org/officeDocument/2006/relationships/hyperlink" Target="https://www.researchgate.net/scientific-contributions/Warren-Naselsky-2189255412" TargetMode="External"/><Relationship Id="rId8" Type="http://schemas.openxmlformats.org/officeDocument/2006/relationships/hyperlink" Target="https://scholar.google.com/citations?view_op=list_works&amp;hl=en&amp;hl=en&amp;user=PHE7lPsAAAAJ" TargetMode="External"/><Relationship Id="rId98" Type="http://schemas.openxmlformats.org/officeDocument/2006/relationships/hyperlink" Target="https://www.researchgate.net/scientific-contributions/Patpilai-Kasinpila-2139764353" TargetMode="External"/><Relationship Id="rId121" Type="http://schemas.openxmlformats.org/officeDocument/2006/relationships/hyperlink" Target="https://twitter.com/JennaAziz1" TargetMode="External"/><Relationship Id="rId142" Type="http://schemas.openxmlformats.org/officeDocument/2006/relationships/hyperlink" Target="https://www.researchgate.net/scientific-contributions/Sophia-L-Alexis-2168535474" TargetMode="External"/><Relationship Id="rId163" Type="http://schemas.openxmlformats.org/officeDocument/2006/relationships/hyperlink" Target="https://www.linkedin.com/in/korri-hershenhouse-1a7737a7/" TargetMode="External"/><Relationship Id="rId184" Type="http://schemas.openxmlformats.org/officeDocument/2006/relationships/hyperlink" Target="https://www.researchgate.net/scientific-contributions/Jared-P-Beller-2164235785" TargetMode="External"/><Relationship Id="rId219" Type="http://schemas.openxmlformats.org/officeDocument/2006/relationships/hyperlink" Target="https://www.researchgate.net/scientific-contributions/Dishen-Lin-2129134893" TargetMode="External"/><Relationship Id="rId230" Type="http://schemas.openxmlformats.org/officeDocument/2006/relationships/hyperlink" Target="https://surgery.duke.edu/profile/andrew-vekstein" TargetMode="External"/><Relationship Id="rId251" Type="http://schemas.openxmlformats.org/officeDocument/2006/relationships/hyperlink" Target="https://www.researchgate.net/scientific-contributions/Viral-C-Patel-2114239437" TargetMode="External"/><Relationship Id="rId25" Type="http://schemas.openxmlformats.org/officeDocument/2006/relationships/hyperlink" Target="https://www.scopus.com/authid/detail.uri?authorId=57222338495" TargetMode="External"/><Relationship Id="rId46" Type="http://schemas.openxmlformats.org/officeDocument/2006/relationships/hyperlink" Target="https://twitter.com/taylorkantor?lang=en" TargetMode="External"/><Relationship Id="rId67" Type="http://schemas.openxmlformats.org/officeDocument/2006/relationships/hyperlink" Target="https://www.scopus.com/authid/detail.uri?authorId=57219180782" TargetMode="External"/><Relationship Id="rId272" Type="http://schemas.openxmlformats.org/officeDocument/2006/relationships/hyperlink" Target="https://www.linkedin.com/in/ali-own-b57a4475/" TargetMode="External"/><Relationship Id="rId293" Type="http://schemas.openxmlformats.org/officeDocument/2006/relationships/hyperlink" Target="https://www.researchgate.net/profile/Dan-Lambert-2/research" TargetMode="External"/><Relationship Id="rId307" Type="http://schemas.openxmlformats.org/officeDocument/2006/relationships/hyperlink" Target="https://www.researchgate.net/scientific-contributions/Megan-E-Turner-2113836340" TargetMode="External"/><Relationship Id="rId88" Type="http://schemas.openxmlformats.org/officeDocument/2006/relationships/hyperlink" Target="https://www.researchgate.net/profile/Sarah-Yousef-6" TargetMode="External"/><Relationship Id="rId111" Type="http://schemas.openxmlformats.org/officeDocument/2006/relationships/hyperlink" Target="https://www.researchgate.net/scientific-contributions/Perry-S-Choi-2168458866" TargetMode="External"/><Relationship Id="rId132" Type="http://schemas.openxmlformats.org/officeDocument/2006/relationships/hyperlink" Target="https://www.scopus.com/authid/detail.uri?authorId=54395592600" TargetMode="External"/><Relationship Id="rId153" Type="http://schemas.openxmlformats.org/officeDocument/2006/relationships/hyperlink" Target="https://www.researchgate.net/profile/Anna-Olds" TargetMode="External"/><Relationship Id="rId174" Type="http://schemas.openxmlformats.org/officeDocument/2006/relationships/hyperlink" Target="https://www.researchgate.net/profile/Aakash-Shah-9/publications" TargetMode="External"/><Relationship Id="rId195" Type="http://schemas.openxmlformats.org/officeDocument/2006/relationships/hyperlink" Target="https://lsom.uthscsa.edu/ct-surgery/team-member/hope-cordova-do/" TargetMode="External"/><Relationship Id="rId209" Type="http://schemas.openxmlformats.org/officeDocument/2006/relationships/hyperlink" Target="https://www.researchgate.net/scientific-contributions/Bret-Gary-Degraaff-2166551708" TargetMode="External"/><Relationship Id="rId220" Type="http://schemas.openxmlformats.org/officeDocument/2006/relationships/hyperlink" Target="https://www.linkedin.com/in/saketsingh1953/" TargetMode="External"/><Relationship Id="rId241" Type="http://schemas.openxmlformats.org/officeDocument/2006/relationships/hyperlink" Target="https://www.linkedin.com/in/michael-salna-949b061b2/" TargetMode="External"/><Relationship Id="rId15" Type="http://schemas.openxmlformats.org/officeDocument/2006/relationships/hyperlink" Target="https://www.researchgate.net/profile/Morgan-Harloff" TargetMode="External"/><Relationship Id="rId36" Type="http://schemas.openxmlformats.org/officeDocument/2006/relationships/hyperlink" Target="https://www.researchgate.net/scientific-contributions/Mallory-L-Hunt-2176800469" TargetMode="External"/><Relationship Id="rId57" Type="http://schemas.openxmlformats.org/officeDocument/2006/relationships/hyperlink" Target="https://www.linkedin.com/in/andrew-acker-md-009b3260/" TargetMode="External"/><Relationship Id="rId262" Type="http://schemas.openxmlformats.org/officeDocument/2006/relationships/hyperlink" Target="https://www.scopus.com/authid/detail.uri?authorId=57208900999" TargetMode="External"/><Relationship Id="rId283" Type="http://schemas.openxmlformats.org/officeDocument/2006/relationships/hyperlink" Target="https://www.researchgate.net/profile/Darren-Haskett" TargetMode="External"/><Relationship Id="rId78" Type="http://schemas.openxmlformats.org/officeDocument/2006/relationships/hyperlink" Target="https://www.researchgate.net/profile/Ian-Christie-2" TargetMode="External"/><Relationship Id="rId99" Type="http://schemas.openxmlformats.org/officeDocument/2006/relationships/hyperlink" Target="https://www.researchgate.net/profile/Ernest-Chan" TargetMode="External"/><Relationship Id="rId101" Type="http://schemas.openxmlformats.org/officeDocument/2006/relationships/hyperlink" Target="https://www.linkedin.com/in/dongning-zhang-19a00a34/" TargetMode="External"/><Relationship Id="rId122" Type="http://schemas.openxmlformats.org/officeDocument/2006/relationships/hyperlink" Target="https://www.scopus.com/authid/detail.uri?authorId=57194171737" TargetMode="External"/><Relationship Id="rId143" Type="http://schemas.openxmlformats.org/officeDocument/2006/relationships/hyperlink" Target="https://www.researchgate.net/scientific-contributions/Javier-Mejia-2146883559" TargetMode="External"/><Relationship Id="rId164" Type="http://schemas.openxmlformats.org/officeDocument/2006/relationships/hyperlink" Target="https://www.linkedin.com/in/miguel-alexis-027a7880/" TargetMode="External"/><Relationship Id="rId185" Type="http://schemas.openxmlformats.org/officeDocument/2006/relationships/hyperlink" Target="https://www.researchgate.net/profile/Jared-Beller" TargetMode="External"/><Relationship Id="rId9" Type="http://schemas.openxmlformats.org/officeDocument/2006/relationships/hyperlink" Target="https://www.linkedin.com/in/mharloff" TargetMode="External"/><Relationship Id="rId210" Type="http://schemas.openxmlformats.org/officeDocument/2006/relationships/hyperlink" Target="https://www.linkedin.com/in/mina-zaky-12811abb/" TargetMode="External"/><Relationship Id="rId26" Type="http://schemas.openxmlformats.org/officeDocument/2006/relationships/hyperlink" Target="https://www.linkedin.com/in/andrew-bishop-27291b181/" TargetMode="External"/><Relationship Id="rId231" Type="http://schemas.openxmlformats.org/officeDocument/2006/relationships/hyperlink" Target="https://surgery.duke.edu/profile/julie-doberne" TargetMode="External"/><Relationship Id="rId252" Type="http://schemas.openxmlformats.org/officeDocument/2006/relationships/hyperlink" Target="https://www.scopus.com/authid/detail.uri?authorId=57191072412" TargetMode="External"/><Relationship Id="rId273" Type="http://schemas.openxmlformats.org/officeDocument/2006/relationships/hyperlink" Target="https://www.researchgate.net/profile/Rishab-Humar" TargetMode="External"/><Relationship Id="rId294" Type="http://schemas.openxmlformats.org/officeDocument/2006/relationships/hyperlink" Target="https://www.researchgate.net/profile/Adnan-Al-Ayoubi" TargetMode="External"/><Relationship Id="rId47" Type="http://schemas.openxmlformats.org/officeDocument/2006/relationships/hyperlink" Target="https://www.researchgate.net/profile/Megan-Schultz-4/publications" TargetMode="External"/><Relationship Id="rId68" Type="http://schemas.openxmlformats.org/officeDocument/2006/relationships/hyperlink" Target="https://www.researchgate.net/profile/Rohan-Shad" TargetMode="External"/><Relationship Id="rId89" Type="http://schemas.openxmlformats.org/officeDocument/2006/relationships/hyperlink" Target="https://www.researchgate.net/profile/Syed-Faaz-Ashraf" TargetMode="External"/><Relationship Id="rId112" Type="http://schemas.openxmlformats.org/officeDocument/2006/relationships/hyperlink" Target="https://twitter.com/arav_krishnan?lang=en" TargetMode="External"/><Relationship Id="rId133" Type="http://schemas.openxmlformats.org/officeDocument/2006/relationships/hyperlink" Target="https://www.researchgate.net/profile/Jennie_Kwon/research%20;%20%20https:/www.researchgate.net/scientific-contributions/Jennie-Kwon-2223598886" TargetMode="External"/><Relationship Id="rId154" Type="http://schemas.openxmlformats.org/officeDocument/2006/relationships/hyperlink" Target="https://www.researchgate.net/scientific-contributions/Kayvan-Kazerouni-2048218131" TargetMode="External"/><Relationship Id="rId175" Type="http://schemas.openxmlformats.org/officeDocument/2006/relationships/hyperlink" Target="https://www.linkedin.com/in/carolyn-dubeau-b14606a6/" TargetMode="External"/><Relationship Id="rId196" Type="http://schemas.openxmlformats.org/officeDocument/2006/relationships/hyperlink" Target="https://lsom.uthscsa.edu/ct-surgery/team-member/hope-cordova-do/" TargetMode="External"/><Relationship Id="rId200" Type="http://schemas.openxmlformats.org/officeDocument/2006/relationships/hyperlink" Target="https://lsom.uthscsa.edu/ct-surgery/team-member/anne-sandstrom-md/" TargetMode="External"/><Relationship Id="rId16" Type="http://schemas.openxmlformats.org/officeDocument/2006/relationships/hyperlink" Target="https://www.researchgate.net/profile/John-Finnigan-2/research" TargetMode="External"/><Relationship Id="rId221" Type="http://schemas.openxmlformats.org/officeDocument/2006/relationships/hyperlink" Target="https://www.researchgate.net/profile/Makoto-Mori-3" TargetMode="External"/><Relationship Id="rId242" Type="http://schemas.openxmlformats.org/officeDocument/2006/relationships/hyperlink" Target="https://www.researchgate.net/profile/David-Blitzer-3" TargetMode="External"/><Relationship Id="rId263" Type="http://schemas.openxmlformats.org/officeDocument/2006/relationships/hyperlink" Target="https://www.researchgate.net/profile/William-Frankel" TargetMode="External"/><Relationship Id="rId284" Type="http://schemas.openxmlformats.org/officeDocument/2006/relationships/hyperlink" Target="https://www.researchgate.net/scientific-contributions/J-Alexander-Weston-2149165120" TargetMode="External"/><Relationship Id="rId37" Type="http://schemas.openxmlformats.org/officeDocument/2006/relationships/hyperlink" Target="https://www.researchgate.net/scientific-contributions/Mark-R-Helmers-2176350176" TargetMode="External"/><Relationship Id="rId58" Type="http://schemas.openxmlformats.org/officeDocument/2006/relationships/hyperlink" Target="https://www.researchgate.net/scientific-contributions/Andrew-Acker-2183040219" TargetMode="External"/><Relationship Id="rId79" Type="http://schemas.openxmlformats.org/officeDocument/2006/relationships/hyperlink" Target="https://www.researchgate.net/profile/Meghan-Turner-2" TargetMode="External"/><Relationship Id="rId102" Type="http://schemas.openxmlformats.org/officeDocument/2006/relationships/hyperlink" Target="https://www.researchgate.net/profile/Dongning-Zhang-4" TargetMode="External"/><Relationship Id="rId123" Type="http://schemas.openxmlformats.org/officeDocument/2006/relationships/hyperlink" Target="https://www.linkedin.com/in/darien-paone-ba5a2b81/" TargetMode="External"/><Relationship Id="rId144" Type="http://schemas.openxmlformats.org/officeDocument/2006/relationships/hyperlink" Target="https://www.researchgate.net/scientific-contributions/Erick-Sun-2165248252" TargetMode="External"/><Relationship Id="rId90" Type="http://schemas.openxmlformats.org/officeDocument/2006/relationships/hyperlink" Target="https://www.researchgate.net/profile/Nicholas-Hess" TargetMode="External"/><Relationship Id="rId165" Type="http://schemas.openxmlformats.org/officeDocument/2006/relationships/hyperlink" Target="https://www.scopus.com/authid/detail.uri?authorId=57204638908%20;%20https://www.linkedin.com/in/joshua-newman-md-23665431/%20;%204%20researchgate%20profiles" TargetMode="External"/><Relationship Id="rId186" Type="http://schemas.openxmlformats.org/officeDocument/2006/relationships/hyperlink" Target="https://www.researchgate.net/scientific-contributions/Jolian-Dahl-2151611953" TargetMode="External"/><Relationship Id="rId211" Type="http://schemas.openxmlformats.org/officeDocument/2006/relationships/hyperlink" Target="https://www.researchgate.net/scientific-contributions/Dustin-Lieu-2105091741" TargetMode="External"/><Relationship Id="rId232" Type="http://schemas.openxmlformats.org/officeDocument/2006/relationships/hyperlink" Target="https://surgery.duke.edu/profile/muath-bishawi" TargetMode="External"/><Relationship Id="rId253" Type="http://schemas.openxmlformats.org/officeDocument/2006/relationships/hyperlink" Target="https://www.researchgate.net/profile/Frank-Cikach" TargetMode="External"/><Relationship Id="rId274" Type="http://schemas.openxmlformats.org/officeDocument/2006/relationships/hyperlink" Target="https://www.linkedin.com/in/jad-malas-553a361b5/" TargetMode="External"/><Relationship Id="rId295" Type="http://schemas.openxmlformats.org/officeDocument/2006/relationships/hyperlink" Target="https://www.researchgate.net/profile/Jennie_Kwon" TargetMode="External"/><Relationship Id="rId27" Type="http://schemas.openxmlformats.org/officeDocument/2006/relationships/hyperlink" Target="https://www.linkedin.com/in/andrew-gorton-md-1a66a12a/" TargetMode="External"/><Relationship Id="rId48" Type="http://schemas.openxmlformats.org/officeDocument/2006/relationships/hyperlink" Target="https://www.scopus.com/authid/detail.uri?authorId=57402945800" TargetMode="External"/><Relationship Id="rId69" Type="http://schemas.openxmlformats.org/officeDocument/2006/relationships/hyperlink" Target="https://www.researchgate.net/scientific-contributions/Aurelie-Merlo-2158716683" TargetMode="External"/><Relationship Id="rId113" Type="http://schemas.openxmlformats.org/officeDocument/2006/relationships/hyperlink" Target="https://www.scopus.com/authid/detail.uri?authorId=57206198922" TargetMode="External"/><Relationship Id="rId134" Type="http://schemas.openxmlformats.org/officeDocument/2006/relationships/hyperlink" Target="https://www.scopus.com/authid/detail.uri?authorId=57202010834" TargetMode="External"/><Relationship Id="rId80" Type="http://schemas.openxmlformats.org/officeDocument/2006/relationships/hyperlink" Target="https://www.researchgate.net/profile/James-Brown-147" TargetMode="External"/><Relationship Id="rId155" Type="http://schemas.openxmlformats.org/officeDocument/2006/relationships/hyperlink" Target="https://www.scopus.com/results/authorNamesList.uri?sort=count-f&amp;src=al&amp;sid=ebfb0987a2a48d0ff3a4984a2443d21e&amp;sot=al&amp;sdt=al&amp;sl=43&amp;s=AUTHLASTNAME%28Mitchell%29+AND+AUTHFIRST%28Chace%29&amp;st1=Mitchell&amp;st2=Chac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1bb110bc3b1bf05a8ead9df5af17578" TargetMode="External"/><Relationship Id="rId176" Type="http://schemas.openxmlformats.org/officeDocument/2006/relationships/hyperlink" Target="https://www.researchgate.net/profile/Connor-Mcdonald-5" TargetMode="External"/><Relationship Id="rId197" Type="http://schemas.openxmlformats.org/officeDocument/2006/relationships/hyperlink" Target="https://lsom.uthscsa.edu/ct-surgery/team-member/connor-mcdonald-md/" TargetMode="External"/><Relationship Id="rId201" Type="http://schemas.openxmlformats.org/officeDocument/2006/relationships/hyperlink" Target="https://medicine.utah.edu/surgery/residents/joseph-heiler" TargetMode="External"/><Relationship Id="rId222" Type="http://schemas.openxmlformats.org/officeDocument/2006/relationships/hyperlink" Target="https://www.vitals.com/doctors/Maureen_Ann_Mckiernan.html" TargetMode="External"/><Relationship Id="rId243" Type="http://schemas.openxmlformats.org/officeDocument/2006/relationships/hyperlink" Target="https://www.researchgate.net/scientific-contributions/Alex-M-DAngelo-2165233054" TargetMode="External"/><Relationship Id="rId264" Type="http://schemas.openxmlformats.org/officeDocument/2006/relationships/hyperlink" Target="https://www.researchgate.net/scientific-contributions/Emily-Vianna-2234166753" TargetMode="External"/><Relationship Id="rId285" Type="http://schemas.openxmlformats.org/officeDocument/2006/relationships/hyperlink" Target="https://pubmed.ncbi.nlm.nih.gov/?term=Weston+JA&amp;filter=datesearch.y_10" TargetMode="External"/><Relationship Id="rId17" Type="http://schemas.openxmlformats.org/officeDocument/2006/relationships/hyperlink" Target="https://www.linkedin.com/in/john-finnigan-aa366212a/" TargetMode="External"/><Relationship Id="rId38" Type="http://schemas.openxmlformats.org/officeDocument/2006/relationships/hyperlink" Target="https://www.doximity.com/pub/matthew-woods-md-080c5e98" TargetMode="External"/><Relationship Id="rId59" Type="http://schemas.openxmlformats.org/officeDocument/2006/relationships/hyperlink" Target="https://www.researchgate.net/scientific-contributions/Nicholas-J-Goel-2161956616" TargetMode="External"/><Relationship Id="rId103" Type="http://schemas.openxmlformats.org/officeDocument/2006/relationships/hyperlink" Target="https://www.researchgate.net/scientific-contributions/Chigozirim-N-Ekeke-2152533309" TargetMode="External"/><Relationship Id="rId124" Type="http://schemas.openxmlformats.org/officeDocument/2006/relationships/hyperlink" Target="https://www.scopus.com/authid/detail.uri?authorId=57211011538" TargetMode="External"/><Relationship Id="rId70" Type="http://schemas.openxmlformats.org/officeDocument/2006/relationships/hyperlink" Target="https://www.researchgate.net/profile/Aurelie-Merlo-2/research" TargetMode="External"/><Relationship Id="rId91" Type="http://schemas.openxmlformats.org/officeDocument/2006/relationships/hyperlink" Target="https://www.researchgate.net/scientific-contributions/Keith-Dufendach-2135352150" TargetMode="External"/><Relationship Id="rId145" Type="http://schemas.openxmlformats.org/officeDocument/2006/relationships/hyperlink" Target="https://www.researchgate.net/scientific-contributions/Armita-Kabirpour-2165631654" TargetMode="External"/><Relationship Id="rId166" Type="http://schemas.openxmlformats.org/officeDocument/2006/relationships/hyperlink" Target="https://www.researchgate.net/scientific-contributions/Daniel-Lambert-2206840363" TargetMode="External"/><Relationship Id="rId187" Type="http://schemas.openxmlformats.org/officeDocument/2006/relationships/hyperlink" Target="https://www.linkedin.com/in/erikjscott/" TargetMode="External"/><Relationship Id="rId1" Type="http://schemas.openxmlformats.org/officeDocument/2006/relationships/hyperlink" Target="https://www.researchgate.net/profile/Farhang-Yazdchi" TargetMode="External"/><Relationship Id="rId212" Type="http://schemas.openxmlformats.org/officeDocument/2006/relationships/hyperlink" Target="https://www.linkedin.com/in/carolinekomlo/https:/www.researchgate.net/profile/Caroline-Komlo-2" TargetMode="External"/><Relationship Id="rId233" Type="http://schemas.openxmlformats.org/officeDocument/2006/relationships/hyperlink" Target="https://www.researchgate.net/scientific-contributions/Abigail-R-Benkert-2214886224" TargetMode="External"/><Relationship Id="rId254" Type="http://schemas.openxmlformats.org/officeDocument/2006/relationships/hyperlink" Target="https://www.linkedin.com/in/karolis-bauza-41401280/" TargetMode="External"/><Relationship Id="rId28" Type="http://schemas.openxmlformats.org/officeDocument/2006/relationships/hyperlink" Target="https://www.scopus.com/results/authorNamesList.uri?sort=count-f&amp;src=al&amp;sid=e890ed643f8cd6ff90a12ef312646db7&amp;sot=al&amp;sdt=al&amp;sl=38&amp;s=AUTHLASTNAME%28parr%29+AND+AUTHFIRST%28alan%29&amp;st1=parr&amp;st2=al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841de32af5c87cdf0bb466e1f8bd01f" TargetMode="External"/><Relationship Id="rId49" Type="http://schemas.openxmlformats.org/officeDocument/2006/relationships/hyperlink" Target="https://www.linkedin.com/in/gardner-yost-8039a242/" TargetMode="External"/><Relationship Id="rId114" Type="http://schemas.openxmlformats.org/officeDocument/2006/relationships/hyperlink" Target="https://www.linkedin.com/in/matthew-duda-17543410a/" TargetMode="External"/><Relationship Id="rId275" Type="http://schemas.openxmlformats.org/officeDocument/2006/relationships/hyperlink" Target="https://www.linkedin.com/in/brian-lim-68065352/" TargetMode="External"/><Relationship Id="rId296" Type="http://schemas.openxmlformats.org/officeDocument/2006/relationships/hyperlink" Target="https://www.researchgate.net/scientific-contributions/Kelly-Higa-2132581778" TargetMode="External"/><Relationship Id="rId300" Type="http://schemas.openxmlformats.org/officeDocument/2006/relationships/hyperlink" Target="https://www.doximity.com/profiles/ed93cfc5-0a6a-4295-a3dd-db4f70b6ef8f/view" TargetMode="External"/><Relationship Id="rId60" Type="http://schemas.openxmlformats.org/officeDocument/2006/relationships/hyperlink" Target="https://www.researchgate.net/profile/Nicholas-Goel" TargetMode="External"/><Relationship Id="rId81" Type="http://schemas.openxmlformats.org/officeDocument/2006/relationships/hyperlink" Target="https://www.researchgate.net/profile/Mahnoor-Imran-4" TargetMode="External"/><Relationship Id="rId135" Type="http://schemas.openxmlformats.org/officeDocument/2006/relationships/hyperlink" Target="https://www.scopus.com/authid/detail.uri?authorId=57215656061" TargetMode="External"/><Relationship Id="rId156" Type="http://schemas.openxmlformats.org/officeDocument/2006/relationships/hyperlink" Target="https://drexel.edu/dornsife/students/student-stories/Combining-Cardiology-and-Public-Health-to-Help-Communities/" TargetMode="External"/><Relationship Id="rId177" Type="http://schemas.openxmlformats.org/officeDocument/2006/relationships/hyperlink" Target="https://www.scopus.com/authid/detail.uri?authorId=57224896628" TargetMode="External"/><Relationship Id="rId198" Type="http://schemas.openxmlformats.org/officeDocument/2006/relationships/hyperlink" Target="https://lsom.uthscsa.edu/ct-surgery/team-member/carolyn-dubeau-md/" TargetMode="External"/><Relationship Id="rId202" Type="http://schemas.openxmlformats.org/officeDocument/2006/relationships/hyperlink" Target="https://www.scopus.com/results/authorNamesList.uri?sort=count-f&amp;src=al&amp;sid=378a44d2b09beb297ab77a6d593ac3d4&amp;sot=al&amp;sdt=al&amp;sl=37&amp;s=AUTHLASTNAME%28Xue%29+AND+AUTHFIRST%28Anna%29&amp;st1=Xue&amp;st2=Ann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d07365f05794eb26d4faf443019f396" TargetMode="External"/><Relationship Id="rId223" Type="http://schemas.openxmlformats.org/officeDocument/2006/relationships/hyperlink" Target="https://www.linkedin.com/in/parth-patel-11a8a372/%20%20%20,%20%20%20%20https:/www.scopus.com/authid/detail.uri?authorId=57198995173.%20%20,%20%20%20https://www.researchgate.net/scientific-contributions/Parth-M-Patel-2177136185" TargetMode="External"/><Relationship Id="rId244" Type="http://schemas.openxmlformats.org/officeDocument/2006/relationships/hyperlink" Target="https://www.researchgate.net/scientific-contributions/Yuting-Chiang-2167642190" TargetMode="External"/><Relationship Id="rId18" Type="http://schemas.openxmlformats.org/officeDocument/2006/relationships/hyperlink" Target="https://www.researchgate.net/profile/Philip-Allen" TargetMode="External"/><Relationship Id="rId39" Type="http://schemas.openxmlformats.org/officeDocument/2006/relationships/hyperlink" Target="https://www.researchgate.net/scientific-contributions/MD-Matthew-Woods-2198947985" TargetMode="External"/><Relationship Id="rId265" Type="http://schemas.openxmlformats.org/officeDocument/2006/relationships/hyperlink" Target="https://scholar.google.com/citations?hl=en&amp;user=nh2ExRYAAAAJ&amp;view_op=list_works&amp;gmla=AJsN-F5aLkXR0bP" TargetMode="External"/><Relationship Id="rId286" Type="http://schemas.openxmlformats.org/officeDocument/2006/relationships/hyperlink" Target="https://www.researchgate.net/scientific-contributions/David-W-Fields-71297589" TargetMode="External"/><Relationship Id="rId50" Type="http://schemas.openxmlformats.org/officeDocument/2006/relationships/hyperlink" Target="https://twitter.com/jarredmondonedo?lang=en" TargetMode="External"/><Relationship Id="rId104" Type="http://schemas.openxmlformats.org/officeDocument/2006/relationships/hyperlink" Target="https://www.linkedin.com/in/kyla-joubert-515b9932/" TargetMode="External"/><Relationship Id="rId125" Type="http://schemas.openxmlformats.org/officeDocument/2006/relationships/hyperlink" Target="https://www.linkedin.com/in/sumner-kilmarx-0b41a71a8/" TargetMode="External"/><Relationship Id="rId146" Type="http://schemas.openxmlformats.org/officeDocument/2006/relationships/hyperlink" Target="https://www.researchgate.net/scientific-contributions/Mohamed-Abdullah-71930185" TargetMode="External"/><Relationship Id="rId167" Type="http://schemas.openxmlformats.org/officeDocument/2006/relationships/hyperlink" Target="https://www.researchgate.net/scientific-contributions/Vivek-M-Mehta-2230646192" TargetMode="External"/><Relationship Id="rId188" Type="http://schemas.openxmlformats.org/officeDocument/2006/relationships/hyperlink" Target="https://www.linkedin.com/in/evan-rotar-a6315289/" TargetMode="External"/><Relationship Id="rId71" Type="http://schemas.openxmlformats.org/officeDocument/2006/relationships/hyperlink" Target="https://pubmed.ncbi.nlm.nih.gov/?size=200&amp;term=Khoury+AL&amp;cauthor_id=28662079" TargetMode="External"/><Relationship Id="rId92" Type="http://schemas.openxmlformats.org/officeDocument/2006/relationships/hyperlink" Target="https://twitter.com/ardalal_md?lang=en" TargetMode="External"/><Relationship Id="rId213" Type="http://schemas.openxmlformats.org/officeDocument/2006/relationships/hyperlink" Target="https://www.researchgate.net/profile/Irbaz-Hameed-2" TargetMode="External"/><Relationship Id="rId234" Type="http://schemas.openxmlformats.org/officeDocument/2006/relationships/hyperlink" Target="https://www.linkedin.com/in/ramak-khosravi/" TargetMode="External"/><Relationship Id="rId2" Type="http://schemas.openxmlformats.org/officeDocument/2006/relationships/hyperlink" Target="https://www.researchgate.net/profile/Mohamed-Abdullah-5" TargetMode="External"/><Relationship Id="rId29" Type="http://schemas.openxmlformats.org/officeDocument/2006/relationships/hyperlink" Target="https://www.researchgate.net/profile/Daniel-Ziazadeh/research" TargetMode="External"/><Relationship Id="rId255" Type="http://schemas.openxmlformats.org/officeDocument/2006/relationships/hyperlink" Target="https://www.linkedin.com/in/james-witten-06340531/" TargetMode="External"/><Relationship Id="rId276" Type="http://schemas.openxmlformats.org/officeDocument/2006/relationships/hyperlink" Target="https://www.researchgate.net/scientific-contributions/Andy-Dong-2117201042" TargetMode="External"/><Relationship Id="rId297" Type="http://schemas.openxmlformats.org/officeDocument/2006/relationships/hyperlink" Target="https://pubmed.ncbi.nlm.nih.gov/?term=Obafemi%2C+Oluwatomisin&amp;sort=pubdate" TargetMode="External"/><Relationship Id="rId40" Type="http://schemas.openxmlformats.org/officeDocument/2006/relationships/hyperlink" Target="https://www.researchgate.net/profile/Madeline-Fryer/research" TargetMode="External"/><Relationship Id="rId115" Type="http://schemas.openxmlformats.org/officeDocument/2006/relationships/hyperlink" Target="https://twitter.com/AshleyYJChoi" TargetMode="External"/><Relationship Id="rId136" Type="http://schemas.openxmlformats.org/officeDocument/2006/relationships/hyperlink" Target="https://www.linkedin.com/in/maxwell-kilcoyne-21225697/" TargetMode="External"/><Relationship Id="rId157" Type="http://schemas.openxmlformats.org/officeDocument/2006/relationships/hyperlink" Target="https://www.researchgate.net/scientific-contributions/Markian-Bojko-2248770028" TargetMode="External"/><Relationship Id="rId178" Type="http://schemas.openxmlformats.org/officeDocument/2006/relationships/hyperlink" Target="https://www.scopus.com/results/authorNamesList.uri?sort=count-f&amp;src=al&amp;sid=b9eea39577add6c627deb11eb9302379&amp;sot=al&amp;sdt=al&amp;sl=41&amp;s=AUTHLASTNAME%28cordova%29+AND+AUTHFIRST%28Hope%29&amp;st1=cordova&amp;st2=Hop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307d52f68881567cde1e49f414580068" TargetMode="External"/><Relationship Id="rId301" Type="http://schemas.openxmlformats.org/officeDocument/2006/relationships/hyperlink" Target="https://pubmed.ncbi.nlm.nih.gov/?term=Fryer%20Madeline&amp;sort=pubdate&amp;page=2" TargetMode="External"/><Relationship Id="rId61" Type="http://schemas.openxmlformats.org/officeDocument/2006/relationships/hyperlink" Target="https://www.researchgate.net/profile/Michael-Catalano-3" TargetMode="External"/><Relationship Id="rId82" Type="http://schemas.openxmlformats.org/officeDocument/2006/relationships/hyperlink" Target="https://www.scopus.com/results/authorNamesList.uri?sort=count-f&amp;src=al&amp;sid=b061efdfacd64994b413af35cd5e6a9b&amp;sot=al&amp;sdt=al&amp;sl=42&amp;s=AUTHLASTNAME%28Imran%29+AND+AUTHFIRST%28Mahnoor%29&amp;st1=Imran&amp;st2=Mahnoor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4e84d0a9a06bd137bbf615980e69121" TargetMode="External"/><Relationship Id="rId199" Type="http://schemas.openxmlformats.org/officeDocument/2006/relationships/hyperlink" Target="https://lsom.uthscsa.edu/ct-surgery/team-member/aakash-shah-md/" TargetMode="External"/><Relationship Id="rId203" Type="http://schemas.openxmlformats.org/officeDocument/2006/relationships/hyperlink" Target="https://www.linkedin.com/in/rohan-anand-47150b41/" TargetMode="External"/><Relationship Id="rId19" Type="http://schemas.openxmlformats.org/officeDocument/2006/relationships/hyperlink" Target="https://www.linkedin.com/in/philipallen44/" TargetMode="External"/><Relationship Id="rId224" Type="http://schemas.openxmlformats.org/officeDocument/2006/relationships/hyperlink" Target="https://www.researchgate.net/profile/Dale-Deas-Jr/publications" TargetMode="External"/><Relationship Id="rId245" Type="http://schemas.openxmlformats.org/officeDocument/2006/relationships/hyperlink" Target="https://www.researchgate.net/scientific-contributions/Morgan-K-Moroi-2181015221" TargetMode="External"/><Relationship Id="rId266" Type="http://schemas.openxmlformats.org/officeDocument/2006/relationships/hyperlink" Target="https://www.linkedin.com/in/rohun-bhagat-b08530bb/" TargetMode="External"/><Relationship Id="rId287" Type="http://schemas.openxmlformats.org/officeDocument/2006/relationships/hyperlink" Target="https://www.researchgate.net/profile/Monika-Halas/publications" TargetMode="External"/><Relationship Id="rId30" Type="http://schemas.openxmlformats.org/officeDocument/2006/relationships/hyperlink" Target="https://www.scopus.com/authid/detail.uri?authorId=41860924400" TargetMode="External"/><Relationship Id="rId105" Type="http://schemas.openxmlformats.org/officeDocument/2006/relationships/hyperlink" Target="https://www.linkedin.com/in/hanjay-wang-m-d-054738153/" TargetMode="External"/><Relationship Id="rId126" Type="http://schemas.openxmlformats.org/officeDocument/2006/relationships/hyperlink" Target="https://www.linkedin.com/in/pauldevlinmd/" TargetMode="External"/><Relationship Id="rId147" Type="http://schemas.openxmlformats.org/officeDocument/2006/relationships/hyperlink" Target="https://www.linkedin.com/in/ross-wheeler-89304b202/" TargetMode="External"/><Relationship Id="rId168" Type="http://schemas.openxmlformats.org/officeDocument/2006/relationships/hyperlink" Target="https://www.researchgate.net/scientific-contributions/Scarlett-Tohme-2196657481%20;%20https:/www.researchgate.net/scientific-contributions/Scarlett-Tohme-2228727330" TargetMode="External"/><Relationship Id="rId51" Type="http://schemas.openxmlformats.org/officeDocument/2006/relationships/hyperlink" Target="https://www.linkedin.com/in/nathaniel-parchment-083722b1/" TargetMode="External"/><Relationship Id="rId72" Type="http://schemas.openxmlformats.org/officeDocument/2006/relationships/hyperlink" Target="https://www.scopus.com/authid/detail.uri?authorId=57204164726" TargetMode="External"/><Relationship Id="rId93" Type="http://schemas.openxmlformats.org/officeDocument/2006/relationships/hyperlink" Target="https://www.linkedin.com/in/elbertheng/" TargetMode="External"/><Relationship Id="rId189" Type="http://schemas.openxmlformats.org/officeDocument/2006/relationships/hyperlink" Target="https://www.linkedin.com/in/raymond-strobel/" TargetMode="External"/><Relationship Id="rId3" Type="http://schemas.openxmlformats.org/officeDocument/2006/relationships/hyperlink" Target="https://www.scopus.com/authid/detail.uri?authorId=57194204370" TargetMode="External"/><Relationship Id="rId214" Type="http://schemas.openxmlformats.org/officeDocument/2006/relationships/hyperlink" Target="https://www.researchgate.net/scientific-contributions/Alan-S-Chou-2067644437" TargetMode="External"/><Relationship Id="rId235" Type="http://schemas.openxmlformats.org/officeDocument/2006/relationships/hyperlink" Target="https://twitter.com/UmAvielB" TargetMode="External"/><Relationship Id="rId256" Type="http://schemas.openxmlformats.org/officeDocument/2006/relationships/hyperlink" Target="https://www.researchgate.net/profile/Juan-Umana-Pizano" TargetMode="External"/><Relationship Id="rId277" Type="http://schemas.openxmlformats.org/officeDocument/2006/relationships/hyperlink" Target="https://www.researchgate.net/profile/Andrea-Liebowitz" TargetMode="External"/><Relationship Id="rId298" Type="http://schemas.openxmlformats.org/officeDocument/2006/relationships/hyperlink" Target="https://scholar.google.com/citations?hl=en&amp;user=8j4mCc8AAAAJ&amp;view_op=list_works&amp;sortby=pubdate" TargetMode="External"/><Relationship Id="rId116" Type="http://schemas.openxmlformats.org/officeDocument/2006/relationships/hyperlink" Target="https://twitter.com/KellyCHiga" TargetMode="External"/><Relationship Id="rId137" Type="http://schemas.openxmlformats.org/officeDocument/2006/relationships/hyperlink" Target="https://www.linkedin.com/in/sarah-chen-621197a7/" TargetMode="External"/><Relationship Id="rId158" Type="http://schemas.openxmlformats.org/officeDocument/2006/relationships/hyperlink" Target="https://www.linkedin.com/in/lynette-lester-15796a99/" TargetMode="External"/><Relationship Id="rId302" Type="http://schemas.openxmlformats.org/officeDocument/2006/relationships/hyperlink" Target="https://pubmed.ncbi.nlm.nih.gov/?term=Jimenez+Contreras&amp;sort=pubdate" TargetMode="External"/><Relationship Id="rId20" Type="http://schemas.openxmlformats.org/officeDocument/2006/relationships/hyperlink" Target="https://academic.oup.com/tbm/article/12/11/1076/6760369?login=false" TargetMode="External"/><Relationship Id="rId41" Type="http://schemas.openxmlformats.org/officeDocument/2006/relationships/hyperlink" Target="https://www.linkedin.com/in/alexbresciamd/" TargetMode="External"/><Relationship Id="rId62" Type="http://schemas.openxmlformats.org/officeDocument/2006/relationships/hyperlink" Target="https://www.linkedin.com/in/alexandra-sperry-52a913103/" TargetMode="External"/><Relationship Id="rId83" Type="http://schemas.openxmlformats.org/officeDocument/2006/relationships/hyperlink" Target="https://www.researchgate.net/scientific-contributions/Bryant-Fisher-2174737662" TargetMode="External"/><Relationship Id="rId179" Type="http://schemas.openxmlformats.org/officeDocument/2006/relationships/hyperlink" Target="https://www.researchgate.net/scientific-contributions/Patrick-F-Vining-2128459498" TargetMode="External"/><Relationship Id="rId190" Type="http://schemas.openxmlformats.org/officeDocument/2006/relationships/hyperlink" Target="https://www.researchgate.net/scientific-contributions/Kirsten-Zborek-2151931642" TargetMode="External"/><Relationship Id="rId204" Type="http://schemas.openxmlformats.org/officeDocument/2006/relationships/hyperlink" Target="https://www.researchgate.net/scientific-contributions/Melissa-Blaker-2191799950" TargetMode="External"/><Relationship Id="rId225" Type="http://schemas.openxmlformats.org/officeDocument/2006/relationships/hyperlink" Target="https://www.scopus.com/authid/detail.uri?authorId=57226527533" TargetMode="External"/><Relationship Id="rId246" Type="http://schemas.openxmlformats.org/officeDocument/2006/relationships/hyperlink" Target="https://www.linkedin.com/in/isao-anzai-md-768175172/" TargetMode="External"/><Relationship Id="rId267" Type="http://schemas.openxmlformats.org/officeDocument/2006/relationships/hyperlink" Target="https://www.researchgate.net/scientific-contributions/James-Bailey-2223603216" TargetMode="External"/><Relationship Id="rId288" Type="http://schemas.openxmlformats.org/officeDocument/2006/relationships/hyperlink" Target="https://www.researchgate.net/profile/Gregory-Boyajian/publications" TargetMode="External"/><Relationship Id="rId106" Type="http://schemas.openxmlformats.org/officeDocument/2006/relationships/hyperlink" Target="https://www.researchgate.net/scientific-contributions/Kyla-Joubert-2130181388" TargetMode="External"/><Relationship Id="rId127" Type="http://schemas.openxmlformats.org/officeDocument/2006/relationships/hyperlink" Target="https://www.researchgate.net/scientific-contributions/Andre-Y-Son-2158068638" TargetMode="External"/><Relationship Id="rId10" Type="http://schemas.openxmlformats.org/officeDocument/2006/relationships/hyperlink" Target="https://www.linkedin.com/in/farhang-yazdchi-12395a40/" TargetMode="External"/><Relationship Id="rId31" Type="http://schemas.openxmlformats.org/officeDocument/2006/relationships/hyperlink" Target="https://www.linkedin.com/in/nwsearcy/" TargetMode="External"/><Relationship Id="rId52" Type="http://schemas.openxmlformats.org/officeDocument/2006/relationships/hyperlink" Target="https://www.scopus.com/authid/detail.uri?authorId=58287800600" TargetMode="External"/><Relationship Id="rId73" Type="http://schemas.openxmlformats.org/officeDocument/2006/relationships/hyperlink" Target="https://www.linkedin.com/in/danielle-o-hara-261714100" TargetMode="External"/><Relationship Id="rId94" Type="http://schemas.openxmlformats.org/officeDocument/2006/relationships/hyperlink" Target="https://www.linkedin.com/in/stefan-elde-bb456516b/" TargetMode="External"/><Relationship Id="rId148" Type="http://schemas.openxmlformats.org/officeDocument/2006/relationships/hyperlink" Target="https://www.researchgate.net/profile/Brittany-Abt/research" TargetMode="External"/><Relationship Id="rId169" Type="http://schemas.openxmlformats.org/officeDocument/2006/relationships/hyperlink" Target="https://www.scopus.com/authid/detail.uri?authorId=57218370573" TargetMode="External"/><Relationship Id="rId4" Type="http://schemas.openxmlformats.org/officeDocument/2006/relationships/hyperlink" Target="https://www.scopus.com/results/authorNamesList.uri?sort=count-f&amp;src=al&amp;sid=4e39b6709ce5cb2cfd2b48cab939fc41&amp;sot=al&amp;sdt=al&amp;sl=39&amp;s=AUTHLASTNAME%28Riggs%29+AND+AUTHFIRST%28Kyle%29&amp;st1=Riggs&amp;st2=Kyl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0b05e82b33c9d82529483843b1bbe8d" TargetMode="External"/><Relationship Id="rId180" Type="http://schemas.openxmlformats.org/officeDocument/2006/relationships/hyperlink" Target="https://www.researchgate.net/scientific-contributions/Merideth-Geib-2172529993" TargetMode="External"/><Relationship Id="rId215" Type="http://schemas.openxmlformats.org/officeDocument/2006/relationships/hyperlink" Target="https://www.linkedin.com/in/syed-usman-bin-mahmood-82779088/?originalSubdomain=pk" TargetMode="External"/><Relationship Id="rId236" Type="http://schemas.openxmlformats.org/officeDocument/2006/relationships/hyperlink" Target="https://www.researchgate.net/profile/Jacqueline-K-Olive/research" TargetMode="External"/><Relationship Id="rId257" Type="http://schemas.openxmlformats.org/officeDocument/2006/relationships/hyperlink" Target="https://www.researchgate.net/scientific-contributions/Nicholas-A-Oh-2186232339" TargetMode="External"/><Relationship Id="rId278" Type="http://schemas.openxmlformats.org/officeDocument/2006/relationships/hyperlink" Target="https://www.linkedin.com/in/monika-halas-md-698a71131/details/experience/" TargetMode="External"/><Relationship Id="rId303" Type="http://schemas.openxmlformats.org/officeDocument/2006/relationships/hyperlink" Target="https://pubmed.ncbi.nlm.nih.gov/?sort=pubdate&amp;term=Parr+AR&amp;cauthor_id=29270034" TargetMode="External"/><Relationship Id="rId42" Type="http://schemas.openxmlformats.org/officeDocument/2006/relationships/hyperlink" Target="https://www.researchgate.net/scientific-contributions/William-B-Weir-2071869324" TargetMode="External"/><Relationship Id="rId84" Type="http://schemas.openxmlformats.org/officeDocument/2006/relationships/hyperlink" Target="https://orcid.org/0000-0002-6494-599X" TargetMode="External"/><Relationship Id="rId138" Type="http://schemas.openxmlformats.org/officeDocument/2006/relationships/hyperlink" Target="https://www.scopus.com/authid/detail.uri?authorId=57219279581" TargetMode="External"/><Relationship Id="rId191" Type="http://schemas.openxmlformats.org/officeDocument/2006/relationships/hyperlink" Target="https://www.scopus.com/authid/detail.uri?authorId=57226291726" TargetMode="External"/><Relationship Id="rId205" Type="http://schemas.openxmlformats.org/officeDocument/2006/relationships/hyperlink" Target="https://www.scopus.com/results/authorNamesList.uri?sort=count-f&amp;src=al&amp;affilName=Davis&amp;sid=e98d9933295d480f309835df3c2f2f24&amp;sot=al&amp;sdt=al&amp;sl=56&amp;s=AUTHLASTNAME%28chen%29+AND+AUTHFIRST%28sarah%29+AND+AFFIL%28Davis%29&amp;st1=chen&amp;st2=sarah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7977dfa7d9f797e7da4244dde4dc4e0" TargetMode="External"/><Relationship Id="rId247" Type="http://schemas.openxmlformats.org/officeDocument/2006/relationships/hyperlink" Target="https://www.researchgate.net/scientific-contributions/William-M-Mitchell-2201244441" TargetMode="External"/><Relationship Id="rId107" Type="http://schemas.openxmlformats.org/officeDocument/2006/relationships/hyperlink" Target="https://www.researchgate.net/profile/Laura-Seese" TargetMode="External"/><Relationship Id="rId289" Type="http://schemas.openxmlformats.org/officeDocument/2006/relationships/hyperlink" Target="https://www.scopus.com/results/authorNamesList.uri?sort=count-f&amp;src=al&amp;sid=ea35dee77e1373fefc6461d9171736d4&amp;sot=al&amp;sdt=al&amp;sl=47&amp;s=AUTHLASTNAME%28schloss%29+AND+AUTHFIRST%28maximilian%29&amp;st1=schloss&amp;st2=maximili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f46269cef16e986c50c641e7ea4cddde" TargetMode="External"/><Relationship Id="rId11" Type="http://schemas.openxmlformats.org/officeDocument/2006/relationships/hyperlink" Target="https://twitter.com/chris_bobba?lang=en" TargetMode="External"/><Relationship Id="rId53" Type="http://schemas.openxmlformats.org/officeDocument/2006/relationships/hyperlink" Target="https://www.linkedin.com/in/william-patrick-6b259462/" TargetMode="External"/><Relationship Id="rId149" Type="http://schemas.openxmlformats.org/officeDocument/2006/relationships/hyperlink" Target="https://www.linkedin.com/in/brittany-abt-930487151/" TargetMode="External"/><Relationship Id="rId95" Type="http://schemas.openxmlformats.org/officeDocument/2006/relationships/hyperlink" Target="https://twitter.com/yuanjiazhu?lang=en" TargetMode="External"/><Relationship Id="rId160" Type="http://schemas.openxmlformats.org/officeDocument/2006/relationships/hyperlink" Target="https://www.scopus.com/authid/detail.uri?authorId=57223140062" TargetMode="External"/><Relationship Id="rId216" Type="http://schemas.openxmlformats.org/officeDocument/2006/relationships/hyperlink" Target="https://www.researchgate.net/profile/Clancy-Mullan/research" TargetMode="External"/><Relationship Id="rId258" Type="http://schemas.openxmlformats.org/officeDocument/2006/relationships/hyperlink" Target="https://www.researchgate.net/profile/Shawn-Shah" TargetMode="External"/><Relationship Id="rId22" Type="http://schemas.openxmlformats.org/officeDocument/2006/relationships/hyperlink" Target="https://www.researchgate.net/profile/Benjamin-Smood" TargetMode="External"/><Relationship Id="rId64" Type="http://schemas.openxmlformats.org/officeDocument/2006/relationships/hyperlink" Target="https://www.pennmedicine.org/departments-and-centers/department-of-surgery/education-and-training/residencies/cardiothoracic-residency/residents/pgy1/matthew-brown" TargetMode="External"/><Relationship Id="rId118" Type="http://schemas.openxmlformats.org/officeDocument/2006/relationships/hyperlink" Target="https://www.linkedin.com/in/hannah-mcmullen-75a06a238/" TargetMode="External"/><Relationship Id="rId171" Type="http://schemas.openxmlformats.org/officeDocument/2006/relationships/hyperlink" Target="https://www.researchgate.net/scientific-contributions/Marian-R-Hohenwarter-2239585912%20and%20two%20articles%20on%20scopus,%20checked%20associated%20lab%20and%20no%20other%20publications%20were%20under%20her%20name" TargetMode="External"/><Relationship Id="rId227" Type="http://schemas.openxmlformats.org/officeDocument/2006/relationships/hyperlink" Target="https://www.linkedin.com/in/elizabeth-norton-8448b3104/" TargetMode="External"/><Relationship Id="rId269" Type="http://schemas.openxmlformats.org/officeDocument/2006/relationships/hyperlink" Target="https://www.scopus.com/authid/detail.uri?authorId=57209216975" TargetMode="External"/><Relationship Id="rId33" Type="http://schemas.openxmlformats.org/officeDocument/2006/relationships/hyperlink" Target="https://www.researchgate.net/profile/Amit-Iyengar/research" TargetMode="External"/><Relationship Id="rId129" Type="http://schemas.openxmlformats.org/officeDocument/2006/relationships/hyperlink" Target="https://www.linkedin.com/in/sandeep-bharadwaj-71aba988/" TargetMode="External"/><Relationship Id="rId280" Type="http://schemas.openxmlformats.org/officeDocument/2006/relationships/hyperlink" Target="https://pubmed.ncbi.nlm.nih.gov/?term=Naselsky+W" TargetMode="External"/><Relationship Id="rId75" Type="http://schemas.openxmlformats.org/officeDocument/2006/relationships/hyperlink" Target="https://www.researchgate.net/scientific-contributions/Steven-A-Buckeridge-2137196287" TargetMode="External"/><Relationship Id="rId140" Type="http://schemas.openxmlformats.org/officeDocument/2006/relationships/hyperlink" Target="https://www.linkedin.com/in/kelly-ohlrich/" TargetMode="External"/><Relationship Id="rId182" Type="http://schemas.openxmlformats.org/officeDocument/2006/relationships/hyperlink" Target="https://www.scopus.com/authid/detail.uri?authorId=57004339900" TargetMode="External"/><Relationship Id="rId6" Type="http://schemas.openxmlformats.org/officeDocument/2006/relationships/hyperlink" Target="https://www.scopus.com/results/authorNamesList.uri?sort=count-f&amp;src=al&amp;affilName=columbia&amp;sid=8daa975cc13b807b50d5cd7746240237&amp;sot=al&amp;sdt=al&amp;sl=64&amp;s=AUTHLASTNAME%28Simpson%29+AND+AUTHFIRST%28Michael%29+AND+AFFIL%28columbia%29&amp;st1=Simpson&amp;st2=Michael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9d75e2c9d7cc2d049bf15a875cf2228" TargetMode="External"/><Relationship Id="rId238" Type="http://schemas.openxmlformats.org/officeDocument/2006/relationships/hyperlink" Target="https://www.researchgate.net/publication/354033053_Outcomes_and_Reintervention_After_Repair_of_Type_I_Aortic_Dissec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som.uthscsa.edu/ct-surgery/team-member/hope-cordova-do/" TargetMode="External"/><Relationship Id="rId1" Type="http://schemas.openxmlformats.org/officeDocument/2006/relationships/hyperlink" Target="https://lsom.uthscsa.edu/ct-surgery/team-member/hope-cordova-d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som.uthscsa.edu/ct-surgery/team-member/hope-cordova-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A1A9-530F-754D-984D-33401D1EC1CC}">
  <dimension ref="A1:BJ301"/>
  <sheetViews>
    <sheetView topLeftCell="A32" zoomScale="85" zoomScaleNormal="85" workbookViewId="0">
      <pane xSplit="13" topLeftCell="BE1" activePane="topRight" state="frozen"/>
      <selection pane="topRight" activeCell="N10" sqref="N10"/>
    </sheetView>
  </sheetViews>
  <sheetFormatPr defaultColWidth="11.453125" defaultRowHeight="15.5"/>
  <cols>
    <col min="4" max="4" width="14.36328125" customWidth="1"/>
    <col min="5" max="5" width="15.6328125" customWidth="1"/>
    <col min="14" max="14" width="26.1796875" customWidth="1"/>
    <col min="19" max="19" width="30.1796875" customWidth="1"/>
    <col min="47" max="47" width="11.453125" style="5"/>
    <col min="48" max="49" width="11.453125" style="56"/>
    <col min="50" max="50" width="22.6328125" style="56" customWidth="1"/>
    <col min="51" max="51" width="15.6328125" style="56" customWidth="1"/>
    <col min="52" max="55" width="11.453125" style="56"/>
    <col min="58" max="58" width="11.453125" style="60"/>
    <col min="59" max="59" width="79.36328125" customWidth="1"/>
    <col min="62" max="62" width="26.1796875" customWidth="1"/>
  </cols>
  <sheetData>
    <row r="1" spans="1:62">
      <c r="A1" s="1" t="s">
        <v>0</v>
      </c>
      <c r="B1" s="1" t="s">
        <v>640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27" t="s">
        <v>646</v>
      </c>
      <c r="I1" s="27" t="s">
        <v>647</v>
      </c>
      <c r="J1" s="1" t="s">
        <v>648</v>
      </c>
      <c r="K1" s="1" t="s">
        <v>649</v>
      </c>
      <c r="L1" s="1" t="s">
        <v>537</v>
      </c>
      <c r="M1" s="1" t="s">
        <v>538</v>
      </c>
      <c r="N1" s="1" t="s">
        <v>650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654</v>
      </c>
      <c r="U1" s="1" t="s">
        <v>655</v>
      </c>
      <c r="V1" s="26" t="s">
        <v>656</v>
      </c>
      <c r="W1" s="1" t="s">
        <v>657</v>
      </c>
      <c r="X1" s="1" t="s">
        <v>3</v>
      </c>
      <c r="Y1" s="21" t="s">
        <v>659</v>
      </c>
      <c r="Z1" s="17" t="s">
        <v>658</v>
      </c>
      <c r="AA1" s="18" t="s">
        <v>660</v>
      </c>
      <c r="AB1" s="18" t="s">
        <v>661</v>
      </c>
      <c r="AC1" s="18" t="s">
        <v>662</v>
      </c>
      <c r="AD1" s="18" t="s">
        <v>663</v>
      </c>
      <c r="AE1" s="18" t="s">
        <v>664</v>
      </c>
      <c r="AF1" s="18" t="s">
        <v>665</v>
      </c>
      <c r="AG1" s="37" t="s">
        <v>666</v>
      </c>
      <c r="AH1" s="37" t="s">
        <v>667</v>
      </c>
      <c r="AI1" s="37" t="s">
        <v>668</v>
      </c>
      <c r="AJ1" s="37" t="s">
        <v>669</v>
      </c>
      <c r="AK1" s="37" t="s">
        <v>670</v>
      </c>
      <c r="AL1" s="37" t="s">
        <v>671</v>
      </c>
      <c r="AM1" s="1" t="s">
        <v>672</v>
      </c>
      <c r="AN1" s="1" t="s">
        <v>673</v>
      </c>
      <c r="AO1" s="1" t="s">
        <v>674</v>
      </c>
      <c r="AP1" s="1" t="s">
        <v>675</v>
      </c>
      <c r="AQ1" s="1" t="s">
        <v>676</v>
      </c>
      <c r="AR1" s="1" t="s">
        <v>677</v>
      </c>
      <c r="AS1" s="21" t="s">
        <v>678</v>
      </c>
      <c r="AT1" s="21" t="s">
        <v>679</v>
      </c>
      <c r="AU1" s="5" t="s">
        <v>690</v>
      </c>
      <c r="AV1" s="5" t="s">
        <v>689</v>
      </c>
      <c r="AW1" s="5" t="s">
        <v>688</v>
      </c>
      <c r="AX1" s="5" t="s">
        <v>685</v>
      </c>
      <c r="AY1" s="5" t="s">
        <v>687</v>
      </c>
      <c r="AZ1" s="5" t="s">
        <v>686</v>
      </c>
      <c r="BA1" s="5" t="s">
        <v>691</v>
      </c>
      <c r="BB1" s="5" t="s">
        <v>692</v>
      </c>
      <c r="BC1" s="5" t="s">
        <v>693</v>
      </c>
      <c r="BD1" s="27" t="s">
        <v>680</v>
      </c>
      <c r="BE1" s="27" t="s">
        <v>684</v>
      </c>
      <c r="BF1" s="58" t="s">
        <v>726</v>
      </c>
      <c r="BG1" s="27" t="s">
        <v>681</v>
      </c>
      <c r="BH1" s="1" t="s">
        <v>682</v>
      </c>
      <c r="BI1" s="1" t="s">
        <v>683</v>
      </c>
      <c r="BJ1" s="1" t="s">
        <v>650</v>
      </c>
    </row>
    <row r="2" spans="1:62">
      <c r="A2" s="23" t="s">
        <v>26</v>
      </c>
      <c r="B2" s="3" t="s">
        <v>32</v>
      </c>
      <c r="C2" s="3" t="s">
        <v>33</v>
      </c>
      <c r="D2" s="4">
        <v>18</v>
      </c>
      <c r="E2" s="4">
        <v>74</v>
      </c>
      <c r="F2" s="4">
        <v>2020</v>
      </c>
      <c r="G2" s="39">
        <v>29</v>
      </c>
      <c r="H2" s="28">
        <v>1</v>
      </c>
      <c r="I2" s="28">
        <v>2</v>
      </c>
      <c r="J2" s="5">
        <v>2022</v>
      </c>
      <c r="K2" s="5">
        <v>2024</v>
      </c>
      <c r="L2" s="5">
        <f t="shared" ref="L2:L26" si="0">(K2-J2)-0.42</f>
        <v>1.58</v>
      </c>
      <c r="M2" s="5">
        <v>0</v>
      </c>
      <c r="N2" s="5" t="s">
        <v>27</v>
      </c>
      <c r="O2" s="5" t="s">
        <v>28</v>
      </c>
      <c r="P2" s="5">
        <v>1</v>
      </c>
      <c r="Q2" s="5" t="s">
        <v>29</v>
      </c>
      <c r="R2" s="5" t="s">
        <v>30</v>
      </c>
      <c r="S2" s="5" t="s">
        <v>31</v>
      </c>
      <c r="T2" s="6"/>
      <c r="U2" s="6">
        <v>0</v>
      </c>
      <c r="V2" s="25"/>
      <c r="W2" s="5">
        <v>3</v>
      </c>
      <c r="X2" s="7">
        <f t="shared" ref="X2:X26" si="1">SUM(Y2:Z2)</f>
        <v>17</v>
      </c>
      <c r="Y2" s="22">
        <f t="shared" ref="Y2:Y26" si="2">AS2-Z2</f>
        <v>6</v>
      </c>
      <c r="Z2" s="15">
        <f t="shared" ref="Z2:Z26" si="3">SUM(AB2:AF2)</f>
        <v>11</v>
      </c>
      <c r="AA2" s="19">
        <v>3</v>
      </c>
      <c r="AB2" s="19">
        <v>6</v>
      </c>
      <c r="AC2" s="19">
        <v>1</v>
      </c>
      <c r="AD2" s="19">
        <v>0</v>
      </c>
      <c r="AE2" s="19">
        <v>2</v>
      </c>
      <c r="AF2" s="19">
        <v>2</v>
      </c>
      <c r="AG2" s="36">
        <f t="shared" ref="AG2:AG26" si="4">AM2-AA2</f>
        <v>3</v>
      </c>
      <c r="AH2" s="36">
        <f t="shared" ref="AH2:AH26" si="5">AN2-AB2</f>
        <v>2</v>
      </c>
      <c r="AI2" s="36">
        <f t="shared" ref="AI2:AI26" si="6">AO2-AC2</f>
        <v>0</v>
      </c>
      <c r="AJ2" s="36">
        <f t="shared" ref="AJ2:AJ26" si="7">AP2-AD2</f>
        <v>0</v>
      </c>
      <c r="AK2" s="36">
        <f t="shared" ref="AK2:AK26" si="8">AQ2-AE2</f>
        <v>0</v>
      </c>
      <c r="AL2" s="36">
        <f t="shared" ref="AL2:AL26" si="9">AR2-AF2</f>
        <v>4</v>
      </c>
      <c r="AM2" s="7">
        <v>6</v>
      </c>
      <c r="AN2" s="7">
        <v>8</v>
      </c>
      <c r="AO2" s="7">
        <v>1</v>
      </c>
      <c r="AP2" s="7">
        <v>0</v>
      </c>
      <c r="AQ2" s="7">
        <v>2</v>
      </c>
      <c r="AR2" s="7">
        <v>6</v>
      </c>
      <c r="AS2" s="22">
        <f t="shared" ref="AS2:AS26" si="10">AN2+AO2+AP2+AQ2+AR2</f>
        <v>17</v>
      </c>
      <c r="AT2" s="22">
        <f t="shared" ref="AT2:AT26" si="11">Y2/L2</f>
        <v>3.7974683544303796</v>
      </c>
      <c r="AU2" s="5">
        <f>Y2-AL2</f>
        <v>2</v>
      </c>
      <c r="AV2" s="5">
        <f>AU2/L2</f>
        <v>1.2658227848101264</v>
      </c>
      <c r="AW2" s="5">
        <f>Z2-AF2</f>
        <v>9</v>
      </c>
      <c r="AX2" s="5">
        <f>AG2/L2</f>
        <v>1.8987341772151898</v>
      </c>
      <c r="AY2" s="5">
        <f>AH2/L2</f>
        <v>1.2658227848101264</v>
      </c>
      <c r="AZ2" s="5">
        <f>AI2/L2</f>
        <v>0</v>
      </c>
      <c r="BA2" s="5">
        <f>AJ2/L2</f>
        <v>0</v>
      </c>
      <c r="BB2" s="5">
        <f>AK2/L2</f>
        <v>0</v>
      </c>
      <c r="BC2" s="5">
        <f>AL2/L2</f>
        <v>2.5316455696202529</v>
      </c>
      <c r="BD2" s="6"/>
      <c r="BE2" s="6"/>
      <c r="BF2" s="59"/>
      <c r="BG2" s="6"/>
      <c r="BH2" s="5"/>
      <c r="BI2" s="5"/>
      <c r="BJ2" s="5" t="s">
        <v>27</v>
      </c>
    </row>
    <row r="3" spans="1:62">
      <c r="A3" s="2" t="s">
        <v>26</v>
      </c>
      <c r="B3" s="3" t="s">
        <v>32</v>
      </c>
      <c r="C3" s="3" t="s">
        <v>33</v>
      </c>
      <c r="D3" s="4">
        <v>18</v>
      </c>
      <c r="E3" s="4">
        <v>74</v>
      </c>
      <c r="F3" s="4">
        <v>2020</v>
      </c>
      <c r="G3" s="39">
        <v>29</v>
      </c>
      <c r="H3" s="28">
        <v>1</v>
      </c>
      <c r="I3" s="28">
        <v>2</v>
      </c>
      <c r="J3" s="5">
        <v>2021</v>
      </c>
      <c r="K3" s="5">
        <v>2024</v>
      </c>
      <c r="L3" s="5">
        <f t="shared" si="0"/>
        <v>2.58</v>
      </c>
      <c r="M3" s="5">
        <v>0</v>
      </c>
      <c r="N3" s="5" t="s">
        <v>34</v>
      </c>
      <c r="O3" s="5" t="s">
        <v>35</v>
      </c>
      <c r="P3" s="5">
        <v>0</v>
      </c>
      <c r="Q3" s="5"/>
      <c r="R3" s="5" t="s">
        <v>30</v>
      </c>
      <c r="S3" s="5" t="s">
        <v>36</v>
      </c>
      <c r="T3" s="6" t="s">
        <v>37</v>
      </c>
      <c r="U3" s="6">
        <v>0</v>
      </c>
      <c r="V3" s="25">
        <v>29</v>
      </c>
      <c r="W3" s="5">
        <v>2</v>
      </c>
      <c r="X3" s="7">
        <f t="shared" si="1"/>
        <v>5</v>
      </c>
      <c r="Y3" s="22">
        <f t="shared" si="2"/>
        <v>3</v>
      </c>
      <c r="Z3" s="15">
        <f t="shared" si="3"/>
        <v>2</v>
      </c>
      <c r="AA3" s="19">
        <v>0</v>
      </c>
      <c r="AB3" s="19">
        <v>0</v>
      </c>
      <c r="AC3" s="19">
        <v>1</v>
      </c>
      <c r="AD3" s="19">
        <v>1</v>
      </c>
      <c r="AE3" s="19">
        <v>0</v>
      </c>
      <c r="AF3" s="19">
        <v>0</v>
      </c>
      <c r="AG3" s="36">
        <f t="shared" si="4"/>
        <v>1</v>
      </c>
      <c r="AH3" s="36">
        <f t="shared" si="5"/>
        <v>0</v>
      </c>
      <c r="AI3" s="36">
        <f t="shared" si="6"/>
        <v>3</v>
      </c>
      <c r="AJ3" s="36">
        <f t="shared" si="7"/>
        <v>0</v>
      </c>
      <c r="AK3" s="36">
        <f t="shared" si="8"/>
        <v>0</v>
      </c>
      <c r="AL3" s="36">
        <f t="shared" si="9"/>
        <v>0</v>
      </c>
      <c r="AM3" s="7">
        <v>1</v>
      </c>
      <c r="AN3" s="7">
        <v>0</v>
      </c>
      <c r="AO3" s="7">
        <v>4</v>
      </c>
      <c r="AP3" s="7">
        <v>1</v>
      </c>
      <c r="AQ3" s="7">
        <v>0</v>
      </c>
      <c r="AR3" s="7">
        <v>0</v>
      </c>
      <c r="AS3" s="22">
        <f t="shared" si="10"/>
        <v>5</v>
      </c>
      <c r="AT3" s="22">
        <f t="shared" si="11"/>
        <v>1.1627906976744187</v>
      </c>
      <c r="AU3" s="5">
        <f t="shared" ref="AU3:AU68" si="12">Y3-AL3</f>
        <v>3</v>
      </c>
      <c r="AV3" s="5">
        <f t="shared" ref="AV3:AV68" si="13">AU3/L3</f>
        <v>1.1627906976744187</v>
      </c>
      <c r="AW3" s="5">
        <f t="shared" ref="AW3:AW68" si="14">Z3-AF3</f>
        <v>2</v>
      </c>
      <c r="AX3" s="5">
        <f t="shared" ref="AX3:AX68" si="15">AG3/L3</f>
        <v>0.38759689922480617</v>
      </c>
      <c r="AY3" s="5">
        <f>AH3/L3</f>
        <v>0</v>
      </c>
      <c r="AZ3" s="5">
        <f t="shared" ref="AZ3:AZ68" si="16">AI3/L3</f>
        <v>1.1627906976744187</v>
      </c>
      <c r="BA3" s="5">
        <f t="shared" ref="BA3:BA68" si="17">AJ3/L3</f>
        <v>0</v>
      </c>
      <c r="BB3" s="5">
        <f t="shared" ref="BB3:BB68" si="18">AK3/L3</f>
        <v>0</v>
      </c>
      <c r="BC3" s="5">
        <f t="shared" ref="BC3:BC68" si="19">AL3/L3</f>
        <v>0</v>
      </c>
      <c r="BD3" s="6"/>
      <c r="BE3" s="6"/>
      <c r="BF3" s="59"/>
      <c r="BG3" s="6"/>
      <c r="BH3" s="5"/>
      <c r="BI3" s="5"/>
      <c r="BJ3" s="5" t="s">
        <v>34</v>
      </c>
    </row>
    <row r="4" spans="1:62">
      <c r="A4" s="2" t="s">
        <v>26</v>
      </c>
      <c r="B4" s="3" t="s">
        <v>32</v>
      </c>
      <c r="C4" s="3" t="s">
        <v>33</v>
      </c>
      <c r="D4" s="4">
        <v>18</v>
      </c>
      <c r="E4" s="4">
        <v>74</v>
      </c>
      <c r="F4" s="4">
        <v>2020</v>
      </c>
      <c r="G4" s="39">
        <v>29</v>
      </c>
      <c r="H4" s="28">
        <v>1</v>
      </c>
      <c r="I4" s="28">
        <v>2</v>
      </c>
      <c r="J4" s="5">
        <v>2020</v>
      </c>
      <c r="K4" s="5">
        <v>2024</v>
      </c>
      <c r="L4" s="5">
        <f t="shared" si="0"/>
        <v>3.58</v>
      </c>
      <c r="M4" s="5">
        <v>0</v>
      </c>
      <c r="N4" s="5" t="s">
        <v>558</v>
      </c>
      <c r="O4" s="5" t="s">
        <v>28</v>
      </c>
      <c r="P4" s="5">
        <v>1</v>
      </c>
      <c r="Q4" s="5" t="s">
        <v>38</v>
      </c>
      <c r="R4" s="5" t="s">
        <v>39</v>
      </c>
      <c r="S4" s="5" t="s">
        <v>40</v>
      </c>
      <c r="T4" s="6"/>
      <c r="U4" s="6">
        <v>0</v>
      </c>
      <c r="V4" s="25"/>
      <c r="W4" s="5">
        <v>5</v>
      </c>
      <c r="X4" s="7">
        <f t="shared" si="1"/>
        <v>20</v>
      </c>
      <c r="Y4" s="22">
        <f t="shared" si="2"/>
        <v>12</v>
      </c>
      <c r="Z4" s="15">
        <f t="shared" si="3"/>
        <v>8</v>
      </c>
      <c r="AA4" s="19">
        <v>0</v>
      </c>
      <c r="AB4" s="19">
        <v>0</v>
      </c>
      <c r="AC4" s="19">
        <v>6</v>
      </c>
      <c r="AD4" s="19">
        <v>1</v>
      </c>
      <c r="AE4" s="19">
        <v>1</v>
      </c>
      <c r="AF4" s="19">
        <v>0</v>
      </c>
      <c r="AG4" s="36">
        <f t="shared" si="4"/>
        <v>3</v>
      </c>
      <c r="AH4" s="36">
        <f t="shared" si="5"/>
        <v>0</v>
      </c>
      <c r="AI4" s="36">
        <f t="shared" si="6"/>
        <v>6</v>
      </c>
      <c r="AJ4" s="36">
        <f t="shared" si="7"/>
        <v>1</v>
      </c>
      <c r="AK4" s="36">
        <f t="shared" si="8"/>
        <v>1</v>
      </c>
      <c r="AL4" s="36">
        <f t="shared" si="9"/>
        <v>4</v>
      </c>
      <c r="AM4" s="7">
        <v>3</v>
      </c>
      <c r="AN4" s="7">
        <v>0</v>
      </c>
      <c r="AO4" s="7">
        <v>12</v>
      </c>
      <c r="AP4" s="7">
        <v>2</v>
      </c>
      <c r="AQ4" s="7">
        <v>2</v>
      </c>
      <c r="AR4" s="7">
        <v>4</v>
      </c>
      <c r="AS4" s="22">
        <f t="shared" si="10"/>
        <v>20</v>
      </c>
      <c r="AT4" s="22">
        <f t="shared" si="11"/>
        <v>3.3519553072625698</v>
      </c>
      <c r="AU4" s="5">
        <f t="shared" si="12"/>
        <v>8</v>
      </c>
      <c r="AV4" s="5">
        <f t="shared" si="13"/>
        <v>2.2346368715083798</v>
      </c>
      <c r="AW4" s="5">
        <f t="shared" si="14"/>
        <v>8</v>
      </c>
      <c r="AX4" s="5">
        <f t="shared" si="15"/>
        <v>0.83798882681564246</v>
      </c>
      <c r="AY4" s="5">
        <f t="shared" ref="AY4:AY68" si="20">AH4/L4</f>
        <v>0</v>
      </c>
      <c r="AZ4" s="5">
        <f t="shared" si="16"/>
        <v>1.6759776536312849</v>
      </c>
      <c r="BA4" s="5">
        <f t="shared" si="17"/>
        <v>0.27932960893854747</v>
      </c>
      <c r="BB4" s="5">
        <f t="shared" si="18"/>
        <v>0.27932960893854747</v>
      </c>
      <c r="BC4" s="5">
        <f t="shared" si="19"/>
        <v>1.1173184357541899</v>
      </c>
      <c r="BD4" s="6"/>
      <c r="BE4" s="6"/>
      <c r="BF4" s="59"/>
      <c r="BG4" s="6"/>
      <c r="BH4" s="5"/>
      <c r="BI4" s="5"/>
      <c r="BJ4" s="5" t="s">
        <v>558</v>
      </c>
    </row>
    <row r="5" spans="1:62">
      <c r="A5" s="2" t="s">
        <v>41</v>
      </c>
      <c r="B5" s="3" t="s">
        <v>32</v>
      </c>
      <c r="C5" s="3" t="s">
        <v>32</v>
      </c>
      <c r="D5" s="4">
        <v>59</v>
      </c>
      <c r="E5" s="4">
        <v>74</v>
      </c>
      <c r="F5" s="4">
        <v>2015</v>
      </c>
      <c r="G5" s="39">
        <v>24</v>
      </c>
      <c r="H5" s="28">
        <v>0</v>
      </c>
      <c r="I5" s="28">
        <v>1</v>
      </c>
      <c r="J5" s="5">
        <v>2022</v>
      </c>
      <c r="K5" s="5">
        <v>2024</v>
      </c>
      <c r="L5" s="5">
        <f t="shared" si="0"/>
        <v>1.58</v>
      </c>
      <c r="M5" s="5">
        <v>0</v>
      </c>
      <c r="N5" s="5" t="s">
        <v>42</v>
      </c>
      <c r="O5" s="5" t="s">
        <v>43</v>
      </c>
      <c r="P5" s="5">
        <v>1</v>
      </c>
      <c r="Q5" s="5" t="s">
        <v>44</v>
      </c>
      <c r="R5" s="5" t="s">
        <v>30</v>
      </c>
      <c r="S5" s="5" t="s">
        <v>45</v>
      </c>
      <c r="T5" s="6"/>
      <c r="U5" s="6">
        <v>0</v>
      </c>
      <c r="V5" s="25"/>
      <c r="W5" s="5">
        <v>16</v>
      </c>
      <c r="X5" s="7">
        <f t="shared" si="1"/>
        <v>27</v>
      </c>
      <c r="Y5" s="22">
        <f t="shared" si="2"/>
        <v>2</v>
      </c>
      <c r="Z5" s="15">
        <f t="shared" si="3"/>
        <v>25</v>
      </c>
      <c r="AA5" s="19">
        <v>7</v>
      </c>
      <c r="AB5" s="19">
        <v>24</v>
      </c>
      <c r="AC5" s="19">
        <v>0</v>
      </c>
      <c r="AD5" s="19">
        <v>0</v>
      </c>
      <c r="AE5" s="19">
        <v>0</v>
      </c>
      <c r="AF5" s="19">
        <v>1</v>
      </c>
      <c r="AG5" s="36">
        <f t="shared" si="4"/>
        <v>0</v>
      </c>
      <c r="AH5" s="36">
        <f t="shared" si="5"/>
        <v>2</v>
      </c>
      <c r="AI5" s="36">
        <f t="shared" si="6"/>
        <v>0</v>
      </c>
      <c r="AJ5" s="36">
        <f t="shared" si="7"/>
        <v>0</v>
      </c>
      <c r="AK5" s="36">
        <f t="shared" si="8"/>
        <v>0</v>
      </c>
      <c r="AL5" s="36">
        <f t="shared" si="9"/>
        <v>0</v>
      </c>
      <c r="AM5" s="7">
        <v>7</v>
      </c>
      <c r="AN5" s="7">
        <v>26</v>
      </c>
      <c r="AO5" s="7">
        <v>0</v>
      </c>
      <c r="AP5" s="7">
        <v>0</v>
      </c>
      <c r="AQ5" s="7">
        <v>0</v>
      </c>
      <c r="AR5" s="7">
        <v>1</v>
      </c>
      <c r="AS5" s="22">
        <f t="shared" si="10"/>
        <v>27</v>
      </c>
      <c r="AT5" s="22">
        <f t="shared" si="11"/>
        <v>1.2658227848101264</v>
      </c>
      <c r="AU5" s="5">
        <f t="shared" si="12"/>
        <v>2</v>
      </c>
      <c r="AV5" s="5">
        <f t="shared" si="13"/>
        <v>1.2658227848101264</v>
      </c>
      <c r="AW5" s="5">
        <f t="shared" si="14"/>
        <v>24</v>
      </c>
      <c r="AX5" s="5">
        <f t="shared" si="15"/>
        <v>0</v>
      </c>
      <c r="AY5" s="5">
        <f t="shared" si="20"/>
        <v>1.2658227848101264</v>
      </c>
      <c r="AZ5" s="5">
        <f t="shared" si="16"/>
        <v>0</v>
      </c>
      <c r="BA5" s="5">
        <f t="shared" si="17"/>
        <v>0</v>
      </c>
      <c r="BB5" s="5">
        <f t="shared" si="18"/>
        <v>0</v>
      </c>
      <c r="BC5" s="5">
        <f t="shared" si="19"/>
        <v>0</v>
      </c>
      <c r="BD5" s="6"/>
      <c r="BE5" s="6"/>
      <c r="BF5" s="59"/>
      <c r="BG5" s="6"/>
      <c r="BH5" s="5"/>
      <c r="BI5" s="5"/>
      <c r="BJ5" s="5" t="s">
        <v>42</v>
      </c>
    </row>
    <row r="6" spans="1:62">
      <c r="A6" s="2" t="s">
        <v>41</v>
      </c>
      <c r="B6" s="3" t="s">
        <v>32</v>
      </c>
      <c r="C6" s="3" t="s">
        <v>32</v>
      </c>
      <c r="D6" s="4">
        <v>59</v>
      </c>
      <c r="E6" s="4">
        <v>74</v>
      </c>
      <c r="F6" s="4">
        <v>2015</v>
      </c>
      <c r="G6" s="39">
        <v>24</v>
      </c>
      <c r="H6" s="28">
        <v>0</v>
      </c>
      <c r="I6" s="28">
        <v>1</v>
      </c>
      <c r="J6" s="5">
        <v>2022</v>
      </c>
      <c r="K6" s="5">
        <v>2024</v>
      </c>
      <c r="L6" s="5">
        <f t="shared" si="0"/>
        <v>1.58</v>
      </c>
      <c r="M6" s="5">
        <v>0</v>
      </c>
      <c r="N6" s="5" t="s">
        <v>46</v>
      </c>
      <c r="O6" s="5" t="s">
        <v>28</v>
      </c>
      <c r="P6" s="5">
        <v>0</v>
      </c>
      <c r="Q6" s="5"/>
      <c r="R6" s="5" t="s">
        <v>30</v>
      </c>
      <c r="S6" s="5" t="s">
        <v>288</v>
      </c>
      <c r="T6" s="6" t="s">
        <v>47</v>
      </c>
      <c r="U6" s="6" t="s">
        <v>559</v>
      </c>
      <c r="V6" s="25">
        <v>3</v>
      </c>
      <c r="W6" s="5">
        <v>5</v>
      </c>
      <c r="X6" s="7">
        <f t="shared" si="1"/>
        <v>10</v>
      </c>
      <c r="Y6" s="22">
        <f t="shared" si="2"/>
        <v>0</v>
      </c>
      <c r="Z6" s="15">
        <f t="shared" si="3"/>
        <v>10</v>
      </c>
      <c r="AA6" s="19">
        <v>2</v>
      </c>
      <c r="AB6" s="19">
        <v>5</v>
      </c>
      <c r="AC6" s="19">
        <v>4</v>
      </c>
      <c r="AD6" s="19">
        <v>0</v>
      </c>
      <c r="AE6" s="19">
        <v>1</v>
      </c>
      <c r="AF6" s="19">
        <v>0</v>
      </c>
      <c r="AG6" s="36">
        <f t="shared" si="4"/>
        <v>0</v>
      </c>
      <c r="AH6" s="36">
        <f t="shared" si="5"/>
        <v>0</v>
      </c>
      <c r="AI6" s="36">
        <f t="shared" si="6"/>
        <v>0</v>
      </c>
      <c r="AJ6" s="36">
        <f t="shared" si="7"/>
        <v>0</v>
      </c>
      <c r="AK6" s="36">
        <f t="shared" si="8"/>
        <v>0</v>
      </c>
      <c r="AL6" s="36">
        <f t="shared" si="9"/>
        <v>0</v>
      </c>
      <c r="AM6" s="7">
        <v>2</v>
      </c>
      <c r="AN6" s="7">
        <v>5</v>
      </c>
      <c r="AO6" s="7">
        <v>4</v>
      </c>
      <c r="AP6" s="7">
        <v>0</v>
      </c>
      <c r="AQ6" s="7">
        <v>1</v>
      </c>
      <c r="AR6" s="7">
        <v>0</v>
      </c>
      <c r="AS6" s="22">
        <f t="shared" si="10"/>
        <v>10</v>
      </c>
      <c r="AT6" s="22">
        <f t="shared" si="11"/>
        <v>0</v>
      </c>
      <c r="AU6" s="5">
        <f t="shared" si="12"/>
        <v>0</v>
      </c>
      <c r="AV6" s="5">
        <f t="shared" si="13"/>
        <v>0</v>
      </c>
      <c r="AW6" s="5">
        <f t="shared" si="14"/>
        <v>10</v>
      </c>
      <c r="AX6" s="5">
        <f t="shared" si="15"/>
        <v>0</v>
      </c>
      <c r="AY6" s="5">
        <f t="shared" si="20"/>
        <v>0</v>
      </c>
      <c r="AZ6" s="5">
        <f t="shared" si="16"/>
        <v>0</v>
      </c>
      <c r="BA6" s="5">
        <f t="shared" si="17"/>
        <v>0</v>
      </c>
      <c r="BB6" s="5">
        <f t="shared" si="18"/>
        <v>0</v>
      </c>
      <c r="BC6" s="5">
        <f t="shared" si="19"/>
        <v>0</v>
      </c>
      <c r="BD6" s="6"/>
      <c r="BE6" s="6"/>
      <c r="BF6" s="59"/>
      <c r="BG6" s="6"/>
      <c r="BH6" s="5"/>
      <c r="BI6" s="5"/>
      <c r="BJ6" s="5" t="s">
        <v>46</v>
      </c>
    </row>
    <row r="7" spans="1:62">
      <c r="A7" s="2" t="s">
        <v>41</v>
      </c>
      <c r="B7" s="3" t="s">
        <v>32</v>
      </c>
      <c r="C7" s="3" t="s">
        <v>32</v>
      </c>
      <c r="D7" s="4">
        <v>59</v>
      </c>
      <c r="E7" s="4">
        <v>74</v>
      </c>
      <c r="F7" s="4">
        <v>2015</v>
      </c>
      <c r="G7" s="39">
        <v>24</v>
      </c>
      <c r="H7" s="28">
        <v>0</v>
      </c>
      <c r="I7" s="28">
        <v>1</v>
      </c>
      <c r="J7" s="6">
        <v>2016</v>
      </c>
      <c r="K7" s="5">
        <v>2024</v>
      </c>
      <c r="L7" s="5">
        <f t="shared" si="0"/>
        <v>7.58</v>
      </c>
      <c r="M7" s="5">
        <v>0</v>
      </c>
      <c r="N7" s="6" t="s">
        <v>560</v>
      </c>
      <c r="O7" s="6" t="s">
        <v>28</v>
      </c>
      <c r="P7" s="6">
        <v>0</v>
      </c>
      <c r="Q7" s="6"/>
      <c r="R7" s="6" t="s">
        <v>30</v>
      </c>
      <c r="S7" s="6" t="s">
        <v>51</v>
      </c>
      <c r="T7" s="6" t="s">
        <v>47</v>
      </c>
      <c r="U7" s="6" t="s">
        <v>559</v>
      </c>
      <c r="V7" s="25">
        <v>5</v>
      </c>
      <c r="W7" s="6">
        <v>2</v>
      </c>
      <c r="X7" s="7">
        <f t="shared" si="1"/>
        <v>5</v>
      </c>
      <c r="Y7" s="22">
        <f t="shared" si="2"/>
        <v>4</v>
      </c>
      <c r="Z7" s="15">
        <f t="shared" si="3"/>
        <v>1</v>
      </c>
      <c r="AA7" s="19">
        <v>0</v>
      </c>
      <c r="AB7" s="19">
        <v>1</v>
      </c>
      <c r="AC7" s="19">
        <v>0</v>
      </c>
      <c r="AD7" s="19">
        <v>0</v>
      </c>
      <c r="AE7" s="19">
        <v>0</v>
      </c>
      <c r="AF7" s="19">
        <v>0</v>
      </c>
      <c r="AG7" s="36">
        <f t="shared" si="4"/>
        <v>0</v>
      </c>
      <c r="AH7" s="36">
        <f t="shared" si="5"/>
        <v>2</v>
      </c>
      <c r="AI7" s="36">
        <f t="shared" si="6"/>
        <v>0</v>
      </c>
      <c r="AJ7" s="36">
        <f t="shared" si="7"/>
        <v>0</v>
      </c>
      <c r="AK7" s="36">
        <f t="shared" si="8"/>
        <v>2</v>
      </c>
      <c r="AL7" s="36">
        <f t="shared" si="9"/>
        <v>0</v>
      </c>
      <c r="AM7" s="7">
        <v>0</v>
      </c>
      <c r="AN7" s="7">
        <v>3</v>
      </c>
      <c r="AO7" s="7">
        <v>0</v>
      </c>
      <c r="AP7" s="7">
        <v>0</v>
      </c>
      <c r="AQ7" s="7">
        <v>2</v>
      </c>
      <c r="AR7" s="7">
        <v>0</v>
      </c>
      <c r="AS7" s="22">
        <f t="shared" si="10"/>
        <v>5</v>
      </c>
      <c r="AT7" s="22">
        <f t="shared" si="11"/>
        <v>0.52770448548812665</v>
      </c>
      <c r="AU7" s="5">
        <f t="shared" si="12"/>
        <v>4</v>
      </c>
      <c r="AV7" s="5">
        <f t="shared" si="13"/>
        <v>0.52770448548812665</v>
      </c>
      <c r="AW7" s="5">
        <f t="shared" si="14"/>
        <v>1</v>
      </c>
      <c r="AX7" s="5">
        <f t="shared" si="15"/>
        <v>0</v>
      </c>
      <c r="AY7" s="5">
        <f t="shared" si="20"/>
        <v>0.26385224274406333</v>
      </c>
      <c r="AZ7" s="5">
        <f t="shared" si="16"/>
        <v>0</v>
      </c>
      <c r="BA7" s="5">
        <f t="shared" si="17"/>
        <v>0</v>
      </c>
      <c r="BB7" s="5">
        <f t="shared" si="18"/>
        <v>0.26385224274406333</v>
      </c>
      <c r="BC7" s="5">
        <f t="shared" si="19"/>
        <v>0</v>
      </c>
      <c r="BD7" s="6"/>
      <c r="BE7" s="6"/>
      <c r="BF7" s="59"/>
      <c r="BG7" s="6"/>
      <c r="BH7" s="5"/>
      <c r="BI7" s="5"/>
      <c r="BJ7" s="6" t="s">
        <v>560</v>
      </c>
    </row>
    <row r="8" spans="1:62">
      <c r="A8" s="2" t="s">
        <v>41</v>
      </c>
      <c r="B8" s="3" t="s">
        <v>32</v>
      </c>
      <c r="C8" s="3" t="s">
        <v>32</v>
      </c>
      <c r="D8" s="4">
        <v>59</v>
      </c>
      <c r="E8" s="4">
        <v>74</v>
      </c>
      <c r="F8" s="4">
        <v>2015</v>
      </c>
      <c r="G8" s="39">
        <v>24</v>
      </c>
      <c r="H8" s="28">
        <v>0</v>
      </c>
      <c r="I8" s="28">
        <v>1</v>
      </c>
      <c r="J8" s="6">
        <v>2018</v>
      </c>
      <c r="K8" s="5">
        <v>2024</v>
      </c>
      <c r="L8" s="5">
        <f t="shared" si="0"/>
        <v>5.58</v>
      </c>
      <c r="M8" s="5">
        <v>0</v>
      </c>
      <c r="N8" s="6" t="s">
        <v>52</v>
      </c>
      <c r="O8" s="6" t="s">
        <v>28</v>
      </c>
      <c r="P8" s="6">
        <v>0</v>
      </c>
      <c r="Q8" s="6"/>
      <c r="R8" s="6" t="s">
        <v>30</v>
      </c>
      <c r="S8" s="6" t="s">
        <v>51</v>
      </c>
      <c r="T8" s="6" t="s">
        <v>47</v>
      </c>
      <c r="U8" s="6" t="s">
        <v>559</v>
      </c>
      <c r="V8" s="25">
        <v>5</v>
      </c>
      <c r="W8" s="6">
        <v>1</v>
      </c>
      <c r="X8" s="7">
        <f t="shared" si="1"/>
        <v>9</v>
      </c>
      <c r="Y8" s="22">
        <f t="shared" si="2"/>
        <v>9</v>
      </c>
      <c r="Z8" s="15">
        <f t="shared" si="3"/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36">
        <f t="shared" si="4"/>
        <v>4</v>
      </c>
      <c r="AH8" s="36">
        <f t="shared" si="5"/>
        <v>0</v>
      </c>
      <c r="AI8" s="36">
        <f t="shared" si="6"/>
        <v>2</v>
      </c>
      <c r="AJ8" s="36">
        <f t="shared" si="7"/>
        <v>0</v>
      </c>
      <c r="AK8" s="36">
        <f t="shared" si="8"/>
        <v>1</v>
      </c>
      <c r="AL8" s="36">
        <f t="shared" si="9"/>
        <v>6</v>
      </c>
      <c r="AM8" s="7">
        <v>4</v>
      </c>
      <c r="AN8" s="7">
        <v>0</v>
      </c>
      <c r="AO8" s="7">
        <v>2</v>
      </c>
      <c r="AP8" s="7">
        <v>0</v>
      </c>
      <c r="AQ8" s="7">
        <v>1</v>
      </c>
      <c r="AR8" s="7">
        <v>6</v>
      </c>
      <c r="AS8" s="22">
        <f t="shared" si="10"/>
        <v>9</v>
      </c>
      <c r="AT8" s="22">
        <f t="shared" si="11"/>
        <v>1.6129032258064515</v>
      </c>
      <c r="AU8" s="5">
        <f t="shared" si="12"/>
        <v>3</v>
      </c>
      <c r="AV8" s="5">
        <f t="shared" si="13"/>
        <v>0.5376344086021505</v>
      </c>
      <c r="AW8" s="5">
        <f t="shared" si="14"/>
        <v>0</v>
      </c>
      <c r="AX8" s="5">
        <f t="shared" si="15"/>
        <v>0.71684587813620071</v>
      </c>
      <c r="AY8" s="5">
        <f t="shared" si="20"/>
        <v>0</v>
      </c>
      <c r="AZ8" s="5">
        <f t="shared" si="16"/>
        <v>0.35842293906810035</v>
      </c>
      <c r="BA8" s="5">
        <f t="shared" si="17"/>
        <v>0</v>
      </c>
      <c r="BB8" s="5">
        <f t="shared" si="18"/>
        <v>0.17921146953405018</v>
      </c>
      <c r="BC8" s="5">
        <f t="shared" si="19"/>
        <v>1.075268817204301</v>
      </c>
      <c r="BD8" s="6"/>
      <c r="BE8" s="6"/>
      <c r="BF8" s="59"/>
      <c r="BG8" s="6"/>
      <c r="BH8" s="5"/>
      <c r="BI8" s="5"/>
      <c r="BJ8" s="6" t="s">
        <v>52</v>
      </c>
    </row>
    <row r="9" spans="1:62">
      <c r="A9" s="2" t="s">
        <v>41</v>
      </c>
      <c r="B9" s="3" t="s">
        <v>32</v>
      </c>
      <c r="C9" s="3" t="s">
        <v>32</v>
      </c>
      <c r="D9" s="4">
        <v>59</v>
      </c>
      <c r="E9" s="4">
        <v>74</v>
      </c>
      <c r="F9" s="4">
        <v>2015</v>
      </c>
      <c r="G9" s="39">
        <v>24</v>
      </c>
      <c r="H9" s="28">
        <v>0</v>
      </c>
      <c r="I9" s="28">
        <v>1</v>
      </c>
      <c r="J9" s="6">
        <v>2019</v>
      </c>
      <c r="K9" s="5">
        <v>2024</v>
      </c>
      <c r="L9" s="5">
        <f t="shared" si="0"/>
        <v>4.58</v>
      </c>
      <c r="M9" s="5">
        <v>0</v>
      </c>
      <c r="N9" s="6" t="s">
        <v>53</v>
      </c>
      <c r="O9" s="6" t="s">
        <v>43</v>
      </c>
      <c r="P9" s="6">
        <v>0</v>
      </c>
      <c r="Q9" s="6"/>
      <c r="R9" s="5" t="s">
        <v>54</v>
      </c>
      <c r="S9" s="6" t="s">
        <v>55</v>
      </c>
      <c r="T9" s="6" t="s">
        <v>47</v>
      </c>
      <c r="U9" s="6" t="s">
        <v>559</v>
      </c>
      <c r="V9" s="25">
        <v>5</v>
      </c>
      <c r="W9" s="6">
        <v>15</v>
      </c>
      <c r="X9" s="7">
        <f t="shared" si="1"/>
        <v>35</v>
      </c>
      <c r="Y9" s="22">
        <f t="shared" si="2"/>
        <v>8</v>
      </c>
      <c r="Z9" s="15">
        <f t="shared" si="3"/>
        <v>27</v>
      </c>
      <c r="AA9" s="19">
        <v>8</v>
      </c>
      <c r="AB9" s="20">
        <v>26</v>
      </c>
      <c r="AC9" s="19">
        <v>0</v>
      </c>
      <c r="AD9" s="19">
        <v>0</v>
      </c>
      <c r="AE9" s="19">
        <v>0</v>
      </c>
      <c r="AF9" s="19">
        <v>1</v>
      </c>
      <c r="AG9" s="36">
        <f t="shared" si="4"/>
        <v>2</v>
      </c>
      <c r="AH9" s="36">
        <f t="shared" si="5"/>
        <v>3</v>
      </c>
      <c r="AI9" s="36">
        <f t="shared" si="6"/>
        <v>1</v>
      </c>
      <c r="AJ9" s="36">
        <f t="shared" si="7"/>
        <v>0</v>
      </c>
      <c r="AK9" s="36">
        <f t="shared" si="8"/>
        <v>2</v>
      </c>
      <c r="AL9" s="36">
        <f t="shared" si="9"/>
        <v>2</v>
      </c>
      <c r="AM9" s="7">
        <v>10</v>
      </c>
      <c r="AN9" s="7">
        <v>29</v>
      </c>
      <c r="AO9" s="7">
        <v>1</v>
      </c>
      <c r="AP9" s="7">
        <v>0</v>
      </c>
      <c r="AQ9" s="7">
        <v>2</v>
      </c>
      <c r="AR9" s="7">
        <v>3</v>
      </c>
      <c r="AS9" s="22">
        <f t="shared" si="10"/>
        <v>35</v>
      </c>
      <c r="AT9" s="22">
        <f t="shared" si="11"/>
        <v>1.7467248908296944</v>
      </c>
      <c r="AU9" s="5">
        <f t="shared" si="12"/>
        <v>6</v>
      </c>
      <c r="AV9" s="5">
        <f t="shared" si="13"/>
        <v>1.3100436681222707</v>
      </c>
      <c r="AW9" s="5">
        <f t="shared" si="14"/>
        <v>26</v>
      </c>
      <c r="AX9" s="5">
        <f t="shared" si="15"/>
        <v>0.4366812227074236</v>
      </c>
      <c r="AY9" s="5">
        <f t="shared" si="20"/>
        <v>0.65502183406113534</v>
      </c>
      <c r="AZ9" s="5">
        <f t="shared" si="16"/>
        <v>0.2183406113537118</v>
      </c>
      <c r="BA9" s="5">
        <f t="shared" si="17"/>
        <v>0</v>
      </c>
      <c r="BB9" s="5">
        <f t="shared" si="18"/>
        <v>0.4366812227074236</v>
      </c>
      <c r="BC9" s="5">
        <f t="shared" si="19"/>
        <v>0.4366812227074236</v>
      </c>
      <c r="BD9" s="6"/>
      <c r="BE9" s="6"/>
      <c r="BF9" s="59"/>
      <c r="BG9" s="6"/>
      <c r="BH9" s="5"/>
      <c r="BI9" s="5"/>
      <c r="BJ9" s="6" t="s">
        <v>53</v>
      </c>
    </row>
    <row r="10" spans="1:62">
      <c r="A10" s="2" t="s">
        <v>41</v>
      </c>
      <c r="B10" s="3" t="s">
        <v>32</v>
      </c>
      <c r="C10" s="3" t="s">
        <v>32</v>
      </c>
      <c r="D10" s="4">
        <v>59</v>
      </c>
      <c r="E10" s="4">
        <v>74</v>
      </c>
      <c r="F10" s="4">
        <v>2015</v>
      </c>
      <c r="G10" s="39">
        <v>24</v>
      </c>
      <c r="H10" s="28">
        <v>0</v>
      </c>
      <c r="I10" s="28">
        <v>1</v>
      </c>
      <c r="J10" s="6">
        <v>2018</v>
      </c>
      <c r="K10" s="5">
        <v>2024</v>
      </c>
      <c r="L10" s="5">
        <f t="shared" si="0"/>
        <v>5.58</v>
      </c>
      <c r="M10" s="5">
        <v>0</v>
      </c>
      <c r="N10" s="6" t="s">
        <v>56</v>
      </c>
      <c r="O10" s="6" t="s">
        <v>35</v>
      </c>
      <c r="P10" s="6">
        <v>1</v>
      </c>
      <c r="Q10" s="6" t="s">
        <v>49</v>
      </c>
      <c r="R10" s="6" t="s">
        <v>30</v>
      </c>
      <c r="S10" s="6" t="s">
        <v>57</v>
      </c>
      <c r="T10" s="6"/>
      <c r="U10" s="6">
        <v>0</v>
      </c>
      <c r="V10" s="25"/>
      <c r="W10" s="6">
        <v>15</v>
      </c>
      <c r="X10" s="7">
        <f t="shared" si="1"/>
        <v>52</v>
      </c>
      <c r="Y10" s="22">
        <f t="shared" si="2"/>
        <v>9</v>
      </c>
      <c r="Z10" s="15">
        <f t="shared" si="3"/>
        <v>43</v>
      </c>
      <c r="AA10" s="19">
        <v>13</v>
      </c>
      <c r="AB10" s="19">
        <v>0</v>
      </c>
      <c r="AC10" s="19">
        <v>21</v>
      </c>
      <c r="AD10" s="19">
        <v>1</v>
      </c>
      <c r="AE10" s="19">
        <v>6</v>
      </c>
      <c r="AF10" s="19">
        <v>15</v>
      </c>
      <c r="AG10" s="36">
        <f t="shared" si="4"/>
        <v>8</v>
      </c>
      <c r="AH10" s="36">
        <f t="shared" si="5"/>
        <v>0</v>
      </c>
      <c r="AI10" s="36">
        <f t="shared" si="6"/>
        <v>8</v>
      </c>
      <c r="AJ10" s="36">
        <f t="shared" si="7"/>
        <v>0</v>
      </c>
      <c r="AK10" s="36">
        <f t="shared" si="8"/>
        <v>0</v>
      </c>
      <c r="AL10" s="36">
        <f t="shared" si="9"/>
        <v>1</v>
      </c>
      <c r="AM10" s="7">
        <v>21</v>
      </c>
      <c r="AN10" s="7">
        <v>0</v>
      </c>
      <c r="AO10" s="7">
        <v>29</v>
      </c>
      <c r="AP10" s="7">
        <v>1</v>
      </c>
      <c r="AQ10" s="7">
        <v>6</v>
      </c>
      <c r="AR10" s="7">
        <v>16</v>
      </c>
      <c r="AS10" s="22">
        <f t="shared" si="10"/>
        <v>52</v>
      </c>
      <c r="AT10" s="22">
        <f t="shared" si="11"/>
        <v>1.6129032258064515</v>
      </c>
      <c r="AU10" s="5">
        <f t="shared" si="12"/>
        <v>8</v>
      </c>
      <c r="AV10" s="5">
        <f t="shared" si="13"/>
        <v>1.4336917562724014</v>
      </c>
      <c r="AW10" s="5">
        <f t="shared" si="14"/>
        <v>28</v>
      </c>
      <c r="AX10" s="5">
        <f t="shared" si="15"/>
        <v>1.4336917562724014</v>
      </c>
      <c r="AY10" s="5">
        <f t="shared" si="20"/>
        <v>0</v>
      </c>
      <c r="AZ10" s="5">
        <f t="shared" si="16"/>
        <v>1.4336917562724014</v>
      </c>
      <c r="BA10" s="5">
        <f t="shared" si="17"/>
        <v>0</v>
      </c>
      <c r="BB10" s="5">
        <f t="shared" si="18"/>
        <v>0</v>
      </c>
      <c r="BC10" s="5">
        <f t="shared" si="19"/>
        <v>0.17921146953405018</v>
      </c>
      <c r="BD10" s="6"/>
      <c r="BE10" s="6"/>
      <c r="BF10" s="59"/>
      <c r="BG10" s="6"/>
      <c r="BH10" s="5"/>
      <c r="BI10" s="5"/>
      <c r="BJ10" s="6" t="s">
        <v>56</v>
      </c>
    </row>
    <row r="11" spans="1:62">
      <c r="A11" s="2" t="s">
        <v>41</v>
      </c>
      <c r="B11" s="3" t="s">
        <v>32</v>
      </c>
      <c r="C11" s="3" t="s">
        <v>32</v>
      </c>
      <c r="D11" s="4">
        <v>59</v>
      </c>
      <c r="E11" s="4">
        <v>74</v>
      </c>
      <c r="F11" s="4">
        <v>2015</v>
      </c>
      <c r="G11" s="39">
        <v>24</v>
      </c>
      <c r="H11" s="28">
        <v>0</v>
      </c>
      <c r="I11" s="28">
        <v>1</v>
      </c>
      <c r="J11" s="5">
        <v>2020</v>
      </c>
      <c r="K11" s="5">
        <v>2024</v>
      </c>
      <c r="L11" s="5">
        <f t="shared" si="0"/>
        <v>3.58</v>
      </c>
      <c r="M11" s="5">
        <v>0</v>
      </c>
      <c r="N11" s="5" t="s">
        <v>58</v>
      </c>
      <c r="O11" s="5" t="s">
        <v>35</v>
      </c>
      <c r="P11" s="5">
        <v>0</v>
      </c>
      <c r="Q11" s="6"/>
      <c r="R11" s="5" t="s">
        <v>54</v>
      </c>
      <c r="S11" s="5" t="s">
        <v>59</v>
      </c>
      <c r="T11" s="6" t="s">
        <v>47</v>
      </c>
      <c r="U11" s="6">
        <v>0</v>
      </c>
      <c r="V11" s="25">
        <v>18</v>
      </c>
      <c r="W11" s="5">
        <v>9</v>
      </c>
      <c r="X11" s="7">
        <f t="shared" si="1"/>
        <v>20</v>
      </c>
      <c r="Y11" s="22">
        <f t="shared" si="2"/>
        <v>6</v>
      </c>
      <c r="Z11" s="15">
        <f t="shared" si="3"/>
        <v>14</v>
      </c>
      <c r="AA11" s="19">
        <v>2</v>
      </c>
      <c r="AB11" s="19">
        <v>6</v>
      </c>
      <c r="AC11" s="19">
        <v>0</v>
      </c>
      <c r="AD11" s="19">
        <v>0</v>
      </c>
      <c r="AE11" s="19">
        <v>2</v>
      </c>
      <c r="AF11" s="19">
        <v>6</v>
      </c>
      <c r="AG11" s="36">
        <f t="shared" si="4"/>
        <v>1</v>
      </c>
      <c r="AH11" s="36">
        <f t="shared" si="5"/>
        <v>6</v>
      </c>
      <c r="AI11" s="36">
        <f t="shared" si="6"/>
        <v>0</v>
      </c>
      <c r="AJ11" s="36">
        <f t="shared" si="7"/>
        <v>0</v>
      </c>
      <c r="AK11" s="36">
        <f t="shared" si="8"/>
        <v>0</v>
      </c>
      <c r="AL11" s="36">
        <f t="shared" si="9"/>
        <v>0</v>
      </c>
      <c r="AM11" s="7">
        <v>3</v>
      </c>
      <c r="AN11" s="7">
        <v>12</v>
      </c>
      <c r="AO11" s="7">
        <v>0</v>
      </c>
      <c r="AP11" s="7">
        <v>0</v>
      </c>
      <c r="AQ11" s="7">
        <v>2</v>
      </c>
      <c r="AR11" s="7">
        <v>6</v>
      </c>
      <c r="AS11" s="22">
        <f t="shared" si="10"/>
        <v>20</v>
      </c>
      <c r="AT11" s="22">
        <f t="shared" si="11"/>
        <v>1.6759776536312849</v>
      </c>
      <c r="AU11" s="5">
        <f t="shared" si="12"/>
        <v>6</v>
      </c>
      <c r="AV11" s="5">
        <f t="shared" si="13"/>
        <v>1.6759776536312849</v>
      </c>
      <c r="AW11" s="5">
        <f t="shared" si="14"/>
        <v>8</v>
      </c>
      <c r="AX11" s="5">
        <f t="shared" si="15"/>
        <v>0.27932960893854747</v>
      </c>
      <c r="AY11" s="5">
        <f t="shared" si="20"/>
        <v>1.6759776536312849</v>
      </c>
      <c r="AZ11" s="5">
        <f t="shared" si="16"/>
        <v>0</v>
      </c>
      <c r="BA11" s="5">
        <f t="shared" si="17"/>
        <v>0</v>
      </c>
      <c r="BB11" s="5">
        <f t="shared" si="18"/>
        <v>0</v>
      </c>
      <c r="BC11" s="5">
        <f t="shared" si="19"/>
        <v>0</v>
      </c>
      <c r="BD11" s="6"/>
      <c r="BE11" s="6"/>
      <c r="BF11" s="59"/>
      <c r="BG11" s="6"/>
      <c r="BH11" s="5"/>
      <c r="BI11" s="5"/>
      <c r="BJ11" s="5" t="s">
        <v>58</v>
      </c>
    </row>
    <row r="12" spans="1:62">
      <c r="A12" s="2" t="s">
        <v>41</v>
      </c>
      <c r="B12" s="3" t="s">
        <v>32</v>
      </c>
      <c r="C12" s="3" t="s">
        <v>32</v>
      </c>
      <c r="D12" s="4">
        <v>59</v>
      </c>
      <c r="E12" s="4">
        <v>74</v>
      </c>
      <c r="F12" s="4">
        <v>2015</v>
      </c>
      <c r="G12" s="39">
        <v>24</v>
      </c>
      <c r="H12" s="28">
        <v>0</v>
      </c>
      <c r="I12" s="28">
        <v>1</v>
      </c>
      <c r="J12" s="5">
        <v>2016</v>
      </c>
      <c r="K12" s="5">
        <v>2024</v>
      </c>
      <c r="L12" s="5">
        <f t="shared" si="0"/>
        <v>7.58</v>
      </c>
      <c r="M12" s="5">
        <v>0</v>
      </c>
      <c r="N12" s="5" t="s">
        <v>60</v>
      </c>
      <c r="O12" s="5" t="s">
        <v>35</v>
      </c>
      <c r="P12" s="5">
        <v>1</v>
      </c>
      <c r="Q12" s="5" t="s">
        <v>61</v>
      </c>
      <c r="R12" s="5" t="s">
        <v>30</v>
      </c>
      <c r="S12" s="8" t="s">
        <v>62</v>
      </c>
      <c r="T12" s="6"/>
      <c r="U12" s="6">
        <v>0</v>
      </c>
      <c r="V12" s="25"/>
      <c r="W12" s="5">
        <v>9</v>
      </c>
      <c r="X12" s="7">
        <f t="shared" si="1"/>
        <v>55</v>
      </c>
      <c r="Y12" s="22">
        <f t="shared" si="2"/>
        <v>53</v>
      </c>
      <c r="Z12" s="15">
        <f t="shared" si="3"/>
        <v>2</v>
      </c>
      <c r="AA12" s="19">
        <v>0</v>
      </c>
      <c r="AB12" s="19">
        <v>1</v>
      </c>
      <c r="AC12" s="19">
        <v>1</v>
      </c>
      <c r="AD12" s="19">
        <v>0</v>
      </c>
      <c r="AE12" s="19">
        <v>0</v>
      </c>
      <c r="AF12" s="19">
        <v>0</v>
      </c>
      <c r="AG12" s="36">
        <f t="shared" si="4"/>
        <v>10</v>
      </c>
      <c r="AH12" s="36">
        <f t="shared" si="5"/>
        <v>0</v>
      </c>
      <c r="AI12" s="36">
        <f t="shared" si="6"/>
        <v>40</v>
      </c>
      <c r="AJ12" s="36">
        <f t="shared" si="7"/>
        <v>2</v>
      </c>
      <c r="AK12" s="36">
        <f t="shared" si="8"/>
        <v>1</v>
      </c>
      <c r="AL12" s="36">
        <f t="shared" si="9"/>
        <v>10</v>
      </c>
      <c r="AM12" s="7">
        <v>10</v>
      </c>
      <c r="AN12" s="7">
        <v>1</v>
      </c>
      <c r="AO12" s="7">
        <v>41</v>
      </c>
      <c r="AP12" s="7">
        <v>2</v>
      </c>
      <c r="AQ12" s="7">
        <v>1</v>
      </c>
      <c r="AR12" s="7">
        <v>10</v>
      </c>
      <c r="AS12" s="22">
        <f t="shared" si="10"/>
        <v>55</v>
      </c>
      <c r="AT12" s="22">
        <f t="shared" si="11"/>
        <v>6.9920844327176779</v>
      </c>
      <c r="AU12" s="5">
        <f t="shared" si="12"/>
        <v>43</v>
      </c>
      <c r="AV12" s="5">
        <f t="shared" si="13"/>
        <v>5.6728232189973617</v>
      </c>
      <c r="AW12" s="5">
        <f t="shared" si="14"/>
        <v>2</v>
      </c>
      <c r="AX12" s="5">
        <f t="shared" si="15"/>
        <v>1.3192612137203166</v>
      </c>
      <c r="AY12" s="5">
        <f t="shared" si="20"/>
        <v>0</v>
      </c>
      <c r="AZ12" s="5">
        <f t="shared" si="16"/>
        <v>5.2770448548812663</v>
      </c>
      <c r="BA12" s="5">
        <f t="shared" si="17"/>
        <v>0.26385224274406333</v>
      </c>
      <c r="BB12" s="5">
        <f t="shared" si="18"/>
        <v>0.13192612137203166</v>
      </c>
      <c r="BC12" s="5">
        <f t="shared" si="19"/>
        <v>1.3192612137203166</v>
      </c>
      <c r="BD12" s="6"/>
      <c r="BE12" s="6"/>
      <c r="BF12" s="59"/>
      <c r="BG12" s="6"/>
      <c r="BH12" s="5"/>
      <c r="BI12" s="5"/>
      <c r="BJ12" s="5" t="s">
        <v>60</v>
      </c>
    </row>
    <row r="13" spans="1:62">
      <c r="A13" s="2" t="s">
        <v>41</v>
      </c>
      <c r="B13" s="3" t="s">
        <v>32</v>
      </c>
      <c r="C13" s="3" t="s">
        <v>32</v>
      </c>
      <c r="D13" s="4">
        <v>59</v>
      </c>
      <c r="E13" s="4">
        <v>74</v>
      </c>
      <c r="F13" s="4">
        <v>2015</v>
      </c>
      <c r="G13" s="39">
        <v>24</v>
      </c>
      <c r="H13" s="28">
        <v>0</v>
      </c>
      <c r="I13" s="28">
        <v>1</v>
      </c>
      <c r="J13" s="5">
        <v>2021</v>
      </c>
      <c r="K13" s="5">
        <v>2024</v>
      </c>
      <c r="L13" s="5">
        <f t="shared" si="0"/>
        <v>2.58</v>
      </c>
      <c r="M13" s="5">
        <v>0</v>
      </c>
      <c r="N13" s="5" t="s">
        <v>63</v>
      </c>
      <c r="O13" s="5" t="s">
        <v>35</v>
      </c>
      <c r="P13" s="5">
        <v>0</v>
      </c>
      <c r="Q13" s="6"/>
      <c r="R13" s="5" t="s">
        <v>30</v>
      </c>
      <c r="S13" s="9" t="s">
        <v>64</v>
      </c>
      <c r="T13" s="6" t="s">
        <v>47</v>
      </c>
      <c r="U13" s="6" t="s">
        <v>559</v>
      </c>
      <c r="V13" s="25">
        <v>4</v>
      </c>
      <c r="W13" s="5">
        <v>4</v>
      </c>
      <c r="X13" s="7">
        <f t="shared" si="1"/>
        <v>7</v>
      </c>
      <c r="Y13" s="22">
        <f t="shared" si="2"/>
        <v>2</v>
      </c>
      <c r="Z13" s="15">
        <f t="shared" si="3"/>
        <v>5</v>
      </c>
      <c r="AA13" s="19">
        <v>1</v>
      </c>
      <c r="AB13" s="19">
        <v>1</v>
      </c>
      <c r="AC13" s="19">
        <v>4</v>
      </c>
      <c r="AD13" s="19">
        <v>0</v>
      </c>
      <c r="AE13" s="19">
        <v>0</v>
      </c>
      <c r="AF13" s="19">
        <v>0</v>
      </c>
      <c r="AG13" s="36">
        <f t="shared" si="4"/>
        <v>1</v>
      </c>
      <c r="AH13" s="36">
        <f t="shared" si="5"/>
        <v>0</v>
      </c>
      <c r="AI13" s="36">
        <f t="shared" si="6"/>
        <v>2</v>
      </c>
      <c r="AJ13" s="36">
        <f t="shared" si="7"/>
        <v>0</v>
      </c>
      <c r="AK13" s="36">
        <f t="shared" si="8"/>
        <v>0</v>
      </c>
      <c r="AL13" s="36">
        <f t="shared" si="9"/>
        <v>0</v>
      </c>
      <c r="AM13" s="7">
        <v>2</v>
      </c>
      <c r="AN13" s="7">
        <v>1</v>
      </c>
      <c r="AO13" s="7">
        <v>6</v>
      </c>
      <c r="AP13" s="7">
        <v>0</v>
      </c>
      <c r="AQ13" s="7">
        <v>0</v>
      </c>
      <c r="AR13" s="7">
        <v>0</v>
      </c>
      <c r="AS13" s="22">
        <f t="shared" si="10"/>
        <v>7</v>
      </c>
      <c r="AT13" s="22">
        <f t="shared" si="11"/>
        <v>0.77519379844961234</v>
      </c>
      <c r="AU13" s="5">
        <f t="shared" si="12"/>
        <v>2</v>
      </c>
      <c r="AV13" s="5">
        <f t="shared" si="13"/>
        <v>0.77519379844961234</v>
      </c>
      <c r="AW13" s="5">
        <f t="shared" si="14"/>
        <v>5</v>
      </c>
      <c r="AX13" s="5">
        <f t="shared" si="15"/>
        <v>0.38759689922480617</v>
      </c>
      <c r="AY13" s="5">
        <f t="shared" si="20"/>
        <v>0</v>
      </c>
      <c r="AZ13" s="5">
        <f t="shared" si="16"/>
        <v>0.77519379844961234</v>
      </c>
      <c r="BA13" s="5">
        <f t="shared" si="17"/>
        <v>0</v>
      </c>
      <c r="BB13" s="5">
        <f t="shared" si="18"/>
        <v>0</v>
      </c>
      <c r="BC13" s="5">
        <f t="shared" si="19"/>
        <v>0</v>
      </c>
      <c r="BD13" s="6"/>
      <c r="BE13" s="6"/>
      <c r="BF13" s="59"/>
      <c r="BG13" s="6"/>
      <c r="BH13" s="5"/>
      <c r="BI13" s="5"/>
      <c r="BJ13" s="5" t="s">
        <v>63</v>
      </c>
    </row>
    <row r="14" spans="1:62">
      <c r="A14" s="2" t="s">
        <v>41</v>
      </c>
      <c r="B14" s="3" t="s">
        <v>32</v>
      </c>
      <c r="C14" s="3" t="s">
        <v>32</v>
      </c>
      <c r="D14" s="4">
        <v>59</v>
      </c>
      <c r="E14" s="4">
        <v>74</v>
      </c>
      <c r="F14" s="4">
        <v>2015</v>
      </c>
      <c r="G14" s="39">
        <v>24</v>
      </c>
      <c r="H14" s="28">
        <v>0</v>
      </c>
      <c r="I14" s="28">
        <v>1</v>
      </c>
      <c r="J14" s="5">
        <v>2021</v>
      </c>
      <c r="K14" s="5">
        <v>2024</v>
      </c>
      <c r="L14" s="5">
        <f t="shared" si="0"/>
        <v>2.58</v>
      </c>
      <c r="M14" s="5">
        <v>0</v>
      </c>
      <c r="N14" s="5" t="s">
        <v>65</v>
      </c>
      <c r="O14" s="5" t="s">
        <v>28</v>
      </c>
      <c r="P14" s="5">
        <v>0</v>
      </c>
      <c r="Q14" s="6"/>
      <c r="R14" s="5" t="s">
        <v>30</v>
      </c>
      <c r="S14" s="10" t="s">
        <v>66</v>
      </c>
      <c r="T14" s="6" t="s">
        <v>37</v>
      </c>
      <c r="U14" s="6">
        <v>0</v>
      </c>
      <c r="V14" s="25">
        <v>32</v>
      </c>
      <c r="W14" s="5">
        <v>5</v>
      </c>
      <c r="X14" s="7">
        <f t="shared" si="1"/>
        <v>12</v>
      </c>
      <c r="Y14" s="22">
        <f t="shared" si="2"/>
        <v>7</v>
      </c>
      <c r="Z14" s="15">
        <f t="shared" si="3"/>
        <v>5</v>
      </c>
      <c r="AA14" s="19">
        <v>3</v>
      </c>
      <c r="AB14" s="19">
        <v>0</v>
      </c>
      <c r="AC14" s="19">
        <v>5</v>
      </c>
      <c r="AD14" s="19">
        <v>0</v>
      </c>
      <c r="AE14" s="19">
        <v>0</v>
      </c>
      <c r="AF14" s="19">
        <v>0</v>
      </c>
      <c r="AG14" s="36">
        <f t="shared" si="4"/>
        <v>2</v>
      </c>
      <c r="AH14" s="36">
        <f t="shared" si="5"/>
        <v>0</v>
      </c>
      <c r="AI14" s="36">
        <f t="shared" si="6"/>
        <v>4</v>
      </c>
      <c r="AJ14" s="36">
        <f t="shared" si="7"/>
        <v>0</v>
      </c>
      <c r="AK14" s="36">
        <f t="shared" si="8"/>
        <v>1</v>
      </c>
      <c r="AL14" s="36">
        <f t="shared" si="9"/>
        <v>2</v>
      </c>
      <c r="AM14" s="7">
        <v>5</v>
      </c>
      <c r="AN14" s="7">
        <v>0</v>
      </c>
      <c r="AO14" s="7">
        <v>9</v>
      </c>
      <c r="AP14" s="7">
        <v>0</v>
      </c>
      <c r="AQ14" s="7">
        <v>1</v>
      </c>
      <c r="AR14" s="7">
        <v>2</v>
      </c>
      <c r="AS14" s="22">
        <f t="shared" si="10"/>
        <v>12</v>
      </c>
      <c r="AT14" s="22">
        <f t="shared" si="11"/>
        <v>2.7131782945736433</v>
      </c>
      <c r="AU14" s="5">
        <f t="shared" si="12"/>
        <v>5</v>
      </c>
      <c r="AV14" s="5">
        <f t="shared" si="13"/>
        <v>1.9379844961240309</v>
      </c>
      <c r="AW14" s="5">
        <f t="shared" si="14"/>
        <v>5</v>
      </c>
      <c r="AX14" s="5">
        <f t="shared" si="15"/>
        <v>0.77519379844961234</v>
      </c>
      <c r="AY14" s="5">
        <f t="shared" si="20"/>
        <v>0</v>
      </c>
      <c r="AZ14" s="5">
        <f t="shared" si="16"/>
        <v>1.5503875968992247</v>
      </c>
      <c r="BA14" s="5">
        <f t="shared" si="17"/>
        <v>0</v>
      </c>
      <c r="BB14" s="5">
        <f t="shared" si="18"/>
        <v>0.38759689922480617</v>
      </c>
      <c r="BC14" s="5">
        <f t="shared" si="19"/>
        <v>0.77519379844961234</v>
      </c>
      <c r="BD14" s="6"/>
      <c r="BE14" s="6"/>
      <c r="BF14" s="59"/>
      <c r="BG14" s="6"/>
      <c r="BH14" s="5"/>
      <c r="BI14" s="5"/>
      <c r="BJ14" s="5" t="s">
        <v>65</v>
      </c>
    </row>
    <row r="15" spans="1:62">
      <c r="A15" s="2" t="s">
        <v>41</v>
      </c>
      <c r="B15" s="3" t="s">
        <v>32</v>
      </c>
      <c r="C15" s="3" t="s">
        <v>32</v>
      </c>
      <c r="D15" s="4">
        <v>59</v>
      </c>
      <c r="E15" s="4">
        <v>74</v>
      </c>
      <c r="F15" s="4">
        <v>2015</v>
      </c>
      <c r="G15" s="39">
        <v>24</v>
      </c>
      <c r="H15" s="28">
        <v>0</v>
      </c>
      <c r="I15" s="28">
        <v>1</v>
      </c>
      <c r="J15" s="5">
        <v>2020</v>
      </c>
      <c r="K15" s="5">
        <v>2024</v>
      </c>
      <c r="L15" s="5">
        <f t="shared" si="0"/>
        <v>3.58</v>
      </c>
      <c r="M15" s="5">
        <v>0</v>
      </c>
      <c r="N15" s="5" t="s">
        <v>561</v>
      </c>
      <c r="O15" s="5" t="s">
        <v>35</v>
      </c>
      <c r="P15" s="5">
        <v>1</v>
      </c>
      <c r="Q15" s="5" t="s">
        <v>562</v>
      </c>
      <c r="R15" s="5" t="s">
        <v>54</v>
      </c>
      <c r="S15" s="5" t="s">
        <v>563</v>
      </c>
      <c r="T15" s="6"/>
      <c r="U15" s="6">
        <v>0</v>
      </c>
      <c r="V15" s="25"/>
      <c r="W15" s="5">
        <v>20</v>
      </c>
      <c r="X15" s="7">
        <f t="shared" si="1"/>
        <v>89</v>
      </c>
      <c r="Y15" s="22">
        <f t="shared" si="2"/>
        <v>28</v>
      </c>
      <c r="Z15" s="15">
        <f t="shared" si="3"/>
        <v>61</v>
      </c>
      <c r="AA15" s="19">
        <v>17</v>
      </c>
      <c r="AB15" s="19">
        <v>17</v>
      </c>
      <c r="AC15" s="19">
        <v>28</v>
      </c>
      <c r="AD15" s="19">
        <v>12</v>
      </c>
      <c r="AE15" s="19">
        <v>1</v>
      </c>
      <c r="AF15" s="19">
        <v>3</v>
      </c>
      <c r="AG15" s="36">
        <f t="shared" si="4"/>
        <v>10</v>
      </c>
      <c r="AH15" s="36">
        <f t="shared" si="5"/>
        <v>0</v>
      </c>
      <c r="AI15" s="36">
        <f t="shared" si="6"/>
        <v>21</v>
      </c>
      <c r="AJ15" s="36">
        <f t="shared" si="7"/>
        <v>0</v>
      </c>
      <c r="AK15" s="36">
        <f t="shared" si="8"/>
        <v>0</v>
      </c>
      <c r="AL15" s="36">
        <f t="shared" si="9"/>
        <v>7</v>
      </c>
      <c r="AM15" s="7">
        <v>27</v>
      </c>
      <c r="AN15" s="7">
        <v>17</v>
      </c>
      <c r="AO15" s="7">
        <v>49</v>
      </c>
      <c r="AP15" s="7">
        <v>12</v>
      </c>
      <c r="AQ15" s="7">
        <v>1</v>
      </c>
      <c r="AR15" s="7">
        <v>10</v>
      </c>
      <c r="AS15" s="22">
        <f t="shared" si="10"/>
        <v>89</v>
      </c>
      <c r="AT15" s="22">
        <f t="shared" si="11"/>
        <v>7.8212290502793298</v>
      </c>
      <c r="AU15" s="5">
        <f t="shared" si="12"/>
        <v>21</v>
      </c>
      <c r="AV15" s="5">
        <f t="shared" si="13"/>
        <v>5.8659217877094969</v>
      </c>
      <c r="AW15" s="5">
        <f t="shared" si="14"/>
        <v>58</v>
      </c>
      <c r="AX15" s="5">
        <f t="shared" si="15"/>
        <v>2.7932960893854748</v>
      </c>
      <c r="AY15" s="5">
        <f t="shared" si="20"/>
        <v>0</v>
      </c>
      <c r="AZ15" s="5">
        <f t="shared" si="16"/>
        <v>5.8659217877094969</v>
      </c>
      <c r="BA15" s="5">
        <f t="shared" si="17"/>
        <v>0</v>
      </c>
      <c r="BB15" s="5">
        <f t="shared" si="18"/>
        <v>0</v>
      </c>
      <c r="BC15" s="5">
        <f t="shared" si="19"/>
        <v>1.9553072625698324</v>
      </c>
      <c r="BD15" s="6"/>
      <c r="BE15" s="6"/>
      <c r="BF15" s="59"/>
      <c r="BG15" s="6"/>
      <c r="BH15" s="5"/>
      <c r="BI15" s="5"/>
      <c r="BJ15" s="5" t="s">
        <v>561</v>
      </c>
    </row>
    <row r="16" spans="1:62">
      <c r="A16" s="23" t="s">
        <v>67</v>
      </c>
      <c r="B16" s="3" t="s">
        <v>32</v>
      </c>
      <c r="C16" s="3" t="s">
        <v>32</v>
      </c>
      <c r="D16" s="4">
        <v>9</v>
      </c>
      <c r="E16" s="4">
        <v>74</v>
      </c>
      <c r="F16" s="4">
        <v>2020</v>
      </c>
      <c r="G16" s="39">
        <v>86</v>
      </c>
      <c r="H16" s="28">
        <v>0</v>
      </c>
      <c r="I16" s="28">
        <v>2</v>
      </c>
      <c r="J16" s="5">
        <v>2022</v>
      </c>
      <c r="K16" s="5">
        <v>2024</v>
      </c>
      <c r="L16" s="5">
        <f t="shared" si="0"/>
        <v>1.58</v>
      </c>
      <c r="M16" s="5">
        <v>0</v>
      </c>
      <c r="N16" s="5" t="s">
        <v>68</v>
      </c>
      <c r="O16" s="5" t="s">
        <v>35</v>
      </c>
      <c r="P16" s="5">
        <v>0</v>
      </c>
      <c r="Q16" s="6"/>
      <c r="R16" s="5" t="s">
        <v>30</v>
      </c>
      <c r="S16" s="5" t="s">
        <v>69</v>
      </c>
      <c r="T16" s="6" t="s">
        <v>37</v>
      </c>
      <c r="U16" s="6">
        <v>0</v>
      </c>
      <c r="V16" s="25">
        <v>22</v>
      </c>
      <c r="W16" s="5">
        <v>5</v>
      </c>
      <c r="X16" s="7">
        <f t="shared" si="1"/>
        <v>12</v>
      </c>
      <c r="Y16" s="22">
        <f t="shared" si="2"/>
        <v>0</v>
      </c>
      <c r="Z16" s="15">
        <f t="shared" si="3"/>
        <v>12</v>
      </c>
      <c r="AA16" s="19">
        <v>3</v>
      </c>
      <c r="AB16" s="19">
        <v>0</v>
      </c>
      <c r="AC16" s="19">
        <v>9</v>
      </c>
      <c r="AD16" s="19">
        <v>1</v>
      </c>
      <c r="AE16" s="19">
        <v>1</v>
      </c>
      <c r="AF16" s="19">
        <v>1</v>
      </c>
      <c r="AG16" s="36">
        <f t="shared" si="4"/>
        <v>0</v>
      </c>
      <c r="AH16" s="36">
        <f t="shared" si="5"/>
        <v>0</v>
      </c>
      <c r="AI16" s="36">
        <f t="shared" si="6"/>
        <v>0</v>
      </c>
      <c r="AJ16" s="36">
        <f t="shared" si="7"/>
        <v>0</v>
      </c>
      <c r="AK16" s="36">
        <f t="shared" si="8"/>
        <v>0</v>
      </c>
      <c r="AL16" s="36">
        <f t="shared" si="9"/>
        <v>0</v>
      </c>
      <c r="AM16" s="7">
        <v>3</v>
      </c>
      <c r="AN16" s="7">
        <v>0</v>
      </c>
      <c r="AO16" s="7">
        <v>9</v>
      </c>
      <c r="AP16" s="7">
        <v>1</v>
      </c>
      <c r="AQ16" s="7">
        <v>1</v>
      </c>
      <c r="AR16" s="7">
        <v>1</v>
      </c>
      <c r="AS16" s="22">
        <f t="shared" si="10"/>
        <v>12</v>
      </c>
      <c r="AT16" s="22">
        <f t="shared" si="11"/>
        <v>0</v>
      </c>
      <c r="AU16" s="5">
        <f t="shared" si="12"/>
        <v>0</v>
      </c>
      <c r="AV16" s="5">
        <f t="shared" si="13"/>
        <v>0</v>
      </c>
      <c r="AW16" s="5">
        <f t="shared" si="14"/>
        <v>11</v>
      </c>
      <c r="AX16" s="5">
        <f t="shared" si="15"/>
        <v>0</v>
      </c>
      <c r="AY16" s="5">
        <f t="shared" si="20"/>
        <v>0</v>
      </c>
      <c r="AZ16" s="5">
        <f t="shared" si="16"/>
        <v>0</v>
      </c>
      <c r="BA16" s="5">
        <f t="shared" si="17"/>
        <v>0</v>
      </c>
      <c r="BB16" s="5">
        <f t="shared" si="18"/>
        <v>0</v>
      </c>
      <c r="BC16" s="5">
        <f t="shared" si="19"/>
        <v>0</v>
      </c>
      <c r="BD16" s="6"/>
      <c r="BE16" s="6"/>
      <c r="BF16" s="59"/>
      <c r="BG16" s="6"/>
      <c r="BH16" s="5"/>
      <c r="BI16" s="5"/>
      <c r="BJ16" s="5" t="s">
        <v>68</v>
      </c>
    </row>
    <row r="17" spans="1:62">
      <c r="A17" s="2" t="s">
        <v>67</v>
      </c>
      <c r="B17" s="3" t="s">
        <v>32</v>
      </c>
      <c r="C17" s="3" t="s">
        <v>32</v>
      </c>
      <c r="D17" s="4">
        <v>9</v>
      </c>
      <c r="E17" s="4">
        <v>74</v>
      </c>
      <c r="F17" s="4">
        <v>2020</v>
      </c>
      <c r="G17" s="39">
        <v>86</v>
      </c>
      <c r="H17" s="28">
        <v>0</v>
      </c>
      <c r="I17" s="28">
        <v>2</v>
      </c>
      <c r="J17" s="5">
        <v>2022</v>
      </c>
      <c r="K17" s="5">
        <v>2024</v>
      </c>
      <c r="L17" s="5">
        <f t="shared" si="0"/>
        <v>1.58</v>
      </c>
      <c r="M17" s="5">
        <v>0</v>
      </c>
      <c r="N17" s="5" t="s">
        <v>70</v>
      </c>
      <c r="O17" s="5" t="s">
        <v>35</v>
      </c>
      <c r="P17" s="5">
        <v>0</v>
      </c>
      <c r="Q17" s="6"/>
      <c r="R17" s="5" t="s">
        <v>30</v>
      </c>
      <c r="S17" s="5" t="s">
        <v>71</v>
      </c>
      <c r="T17" s="6" t="s">
        <v>37</v>
      </c>
      <c r="U17" s="6">
        <v>0</v>
      </c>
      <c r="V17" s="25">
        <v>37</v>
      </c>
      <c r="W17" s="5">
        <v>4</v>
      </c>
      <c r="X17" s="7">
        <f t="shared" si="1"/>
        <v>6</v>
      </c>
      <c r="Y17" s="22">
        <f t="shared" si="2"/>
        <v>0</v>
      </c>
      <c r="Z17" s="15">
        <f t="shared" si="3"/>
        <v>6</v>
      </c>
      <c r="AA17" s="19">
        <v>2</v>
      </c>
      <c r="AB17" s="19">
        <v>1</v>
      </c>
      <c r="AC17" s="19">
        <v>4</v>
      </c>
      <c r="AD17" s="19">
        <v>1</v>
      </c>
      <c r="AE17" s="19">
        <v>0</v>
      </c>
      <c r="AF17" s="19">
        <v>0</v>
      </c>
      <c r="AG17" s="36">
        <f t="shared" si="4"/>
        <v>0</v>
      </c>
      <c r="AH17" s="36">
        <f t="shared" si="5"/>
        <v>0</v>
      </c>
      <c r="AI17" s="36">
        <f t="shared" si="6"/>
        <v>0</v>
      </c>
      <c r="AJ17" s="36">
        <f t="shared" si="7"/>
        <v>0</v>
      </c>
      <c r="AK17" s="36">
        <f t="shared" si="8"/>
        <v>0</v>
      </c>
      <c r="AL17" s="36">
        <f t="shared" si="9"/>
        <v>0</v>
      </c>
      <c r="AM17" s="7">
        <v>2</v>
      </c>
      <c r="AN17" s="7">
        <v>1</v>
      </c>
      <c r="AO17" s="7">
        <v>4</v>
      </c>
      <c r="AP17" s="7">
        <v>1</v>
      </c>
      <c r="AQ17" s="7">
        <v>0</v>
      </c>
      <c r="AR17" s="7">
        <v>0</v>
      </c>
      <c r="AS17" s="22">
        <f t="shared" si="10"/>
        <v>6</v>
      </c>
      <c r="AT17" s="22">
        <f t="shared" si="11"/>
        <v>0</v>
      </c>
      <c r="AU17" s="5">
        <f t="shared" si="12"/>
        <v>0</v>
      </c>
      <c r="AV17" s="5">
        <f t="shared" si="13"/>
        <v>0</v>
      </c>
      <c r="AW17" s="5">
        <f t="shared" si="14"/>
        <v>6</v>
      </c>
      <c r="AX17" s="5">
        <f t="shared" si="15"/>
        <v>0</v>
      </c>
      <c r="AY17" s="5">
        <f t="shared" si="20"/>
        <v>0</v>
      </c>
      <c r="AZ17" s="5">
        <f t="shared" si="16"/>
        <v>0</v>
      </c>
      <c r="BA17" s="5">
        <f t="shared" si="17"/>
        <v>0</v>
      </c>
      <c r="BB17" s="5">
        <f t="shared" si="18"/>
        <v>0</v>
      </c>
      <c r="BC17" s="5">
        <f t="shared" si="19"/>
        <v>0</v>
      </c>
      <c r="BD17" s="6"/>
      <c r="BE17" s="6"/>
      <c r="BF17" s="59"/>
      <c r="BG17" s="6"/>
      <c r="BH17" s="5"/>
      <c r="BI17" s="5"/>
      <c r="BJ17" s="5" t="s">
        <v>70</v>
      </c>
    </row>
    <row r="18" spans="1:62">
      <c r="A18" s="2" t="s">
        <v>67</v>
      </c>
      <c r="B18" s="3" t="s">
        <v>32</v>
      </c>
      <c r="C18" s="3" t="s">
        <v>32</v>
      </c>
      <c r="D18" s="4">
        <v>9</v>
      </c>
      <c r="E18" s="4">
        <v>74</v>
      </c>
      <c r="F18" s="4">
        <v>2020</v>
      </c>
      <c r="G18" s="39">
        <v>86</v>
      </c>
      <c r="H18" s="28">
        <v>0</v>
      </c>
      <c r="I18" s="28">
        <v>2</v>
      </c>
      <c r="J18" s="5">
        <v>2021</v>
      </c>
      <c r="K18" s="5">
        <v>2024</v>
      </c>
      <c r="L18" s="5">
        <f t="shared" si="0"/>
        <v>2.58</v>
      </c>
      <c r="M18" s="5">
        <v>0</v>
      </c>
      <c r="N18" s="5" t="s">
        <v>72</v>
      </c>
      <c r="O18" s="5" t="s">
        <v>35</v>
      </c>
      <c r="P18" s="5">
        <v>0</v>
      </c>
      <c r="Q18" s="6"/>
      <c r="R18" s="5" t="s">
        <v>30</v>
      </c>
      <c r="S18" s="5" t="s">
        <v>73</v>
      </c>
      <c r="T18" s="6" t="s">
        <v>47</v>
      </c>
      <c r="U18" s="6">
        <v>0</v>
      </c>
      <c r="V18" s="25">
        <v>14</v>
      </c>
      <c r="W18" s="5">
        <v>5</v>
      </c>
      <c r="X18" s="7">
        <f t="shared" si="1"/>
        <v>13</v>
      </c>
      <c r="Y18" s="22">
        <f t="shared" si="2"/>
        <v>1</v>
      </c>
      <c r="Z18" s="15">
        <f t="shared" si="3"/>
        <v>12</v>
      </c>
      <c r="AA18" s="19">
        <v>1</v>
      </c>
      <c r="AB18" s="19">
        <v>3</v>
      </c>
      <c r="AC18" s="19">
        <v>8</v>
      </c>
      <c r="AD18" s="19">
        <v>0</v>
      </c>
      <c r="AE18" s="19">
        <v>0</v>
      </c>
      <c r="AF18" s="19">
        <v>1</v>
      </c>
      <c r="AG18" s="36">
        <f t="shared" si="4"/>
        <v>0</v>
      </c>
      <c r="AH18" s="36">
        <f t="shared" si="5"/>
        <v>0</v>
      </c>
      <c r="AI18" s="36">
        <f t="shared" si="6"/>
        <v>0</v>
      </c>
      <c r="AJ18" s="36">
        <f t="shared" si="7"/>
        <v>1</v>
      </c>
      <c r="AK18" s="36">
        <f t="shared" si="8"/>
        <v>0</v>
      </c>
      <c r="AL18" s="36">
        <f t="shared" si="9"/>
        <v>0</v>
      </c>
      <c r="AM18" s="7">
        <v>1</v>
      </c>
      <c r="AN18" s="7">
        <v>3</v>
      </c>
      <c r="AO18" s="7">
        <v>8</v>
      </c>
      <c r="AP18" s="7">
        <v>1</v>
      </c>
      <c r="AQ18" s="7">
        <v>0</v>
      </c>
      <c r="AR18" s="7">
        <v>1</v>
      </c>
      <c r="AS18" s="22">
        <f t="shared" si="10"/>
        <v>13</v>
      </c>
      <c r="AT18" s="22">
        <f t="shared" si="11"/>
        <v>0.38759689922480617</v>
      </c>
      <c r="AU18" s="5">
        <f t="shared" si="12"/>
        <v>1</v>
      </c>
      <c r="AV18" s="5">
        <f t="shared" si="13"/>
        <v>0.38759689922480617</v>
      </c>
      <c r="AW18" s="5">
        <f t="shared" si="14"/>
        <v>11</v>
      </c>
      <c r="AX18" s="5">
        <f t="shared" si="15"/>
        <v>0</v>
      </c>
      <c r="AY18" s="5">
        <f t="shared" si="20"/>
        <v>0</v>
      </c>
      <c r="AZ18" s="5">
        <f t="shared" si="16"/>
        <v>0</v>
      </c>
      <c r="BA18" s="5">
        <f t="shared" si="17"/>
        <v>0.38759689922480617</v>
      </c>
      <c r="BB18" s="5">
        <f t="shared" si="18"/>
        <v>0</v>
      </c>
      <c r="BC18" s="5">
        <f t="shared" si="19"/>
        <v>0</v>
      </c>
      <c r="BD18" s="6"/>
      <c r="BE18" s="6"/>
      <c r="BF18" s="59"/>
      <c r="BG18" s="6"/>
      <c r="BH18" s="5"/>
      <c r="BI18" s="5"/>
      <c r="BJ18" s="5" t="s">
        <v>72</v>
      </c>
    </row>
    <row r="19" spans="1:62">
      <c r="A19" s="2" t="s">
        <v>67</v>
      </c>
      <c r="B19" s="3" t="s">
        <v>32</v>
      </c>
      <c r="C19" s="3" t="s">
        <v>32</v>
      </c>
      <c r="D19" s="4">
        <v>9</v>
      </c>
      <c r="E19" s="4">
        <v>74</v>
      </c>
      <c r="F19" s="4">
        <v>2020</v>
      </c>
      <c r="G19" s="39">
        <v>86</v>
      </c>
      <c r="H19" s="28">
        <v>0</v>
      </c>
      <c r="I19" s="28">
        <v>2</v>
      </c>
      <c r="J19" s="24">
        <v>2022</v>
      </c>
      <c r="K19" s="5">
        <v>2024</v>
      </c>
      <c r="L19" s="5">
        <f t="shared" si="0"/>
        <v>1.58</v>
      </c>
      <c r="M19" s="5">
        <v>0</v>
      </c>
      <c r="N19" s="5" t="s">
        <v>74</v>
      </c>
      <c r="O19" s="5" t="s">
        <v>35</v>
      </c>
      <c r="P19" s="5">
        <v>0</v>
      </c>
      <c r="Q19" s="6"/>
      <c r="R19" s="5" t="s">
        <v>30</v>
      </c>
      <c r="S19" s="5" t="s">
        <v>75</v>
      </c>
      <c r="T19" s="6" t="s">
        <v>47</v>
      </c>
      <c r="U19" s="6" t="s">
        <v>559</v>
      </c>
      <c r="V19" s="25">
        <v>2</v>
      </c>
      <c r="W19" s="5">
        <v>5</v>
      </c>
      <c r="X19" s="7">
        <f t="shared" si="1"/>
        <v>24</v>
      </c>
      <c r="Y19" s="22">
        <f t="shared" si="2"/>
        <v>18</v>
      </c>
      <c r="Z19" s="15">
        <f t="shared" si="3"/>
        <v>6</v>
      </c>
      <c r="AA19" s="19">
        <v>1</v>
      </c>
      <c r="AB19" s="19">
        <v>0</v>
      </c>
      <c r="AC19" s="19">
        <v>6</v>
      </c>
      <c r="AD19" s="19">
        <v>0</v>
      </c>
      <c r="AE19" s="19">
        <v>0</v>
      </c>
      <c r="AF19" s="19">
        <v>0</v>
      </c>
      <c r="AG19" s="36">
        <f t="shared" si="4"/>
        <v>8</v>
      </c>
      <c r="AH19" s="36">
        <f t="shared" si="5"/>
        <v>0</v>
      </c>
      <c r="AI19" s="36">
        <f t="shared" si="6"/>
        <v>16</v>
      </c>
      <c r="AJ19" s="36">
        <f t="shared" si="7"/>
        <v>1</v>
      </c>
      <c r="AK19" s="36">
        <f t="shared" si="8"/>
        <v>0</v>
      </c>
      <c r="AL19" s="36">
        <f t="shared" si="9"/>
        <v>1</v>
      </c>
      <c r="AM19" s="7">
        <v>9</v>
      </c>
      <c r="AN19" s="7">
        <v>0</v>
      </c>
      <c r="AO19" s="7">
        <v>22</v>
      </c>
      <c r="AP19" s="7">
        <v>1</v>
      </c>
      <c r="AQ19" s="7">
        <v>0</v>
      </c>
      <c r="AR19" s="7">
        <v>1</v>
      </c>
      <c r="AS19" s="22">
        <f t="shared" si="10"/>
        <v>24</v>
      </c>
      <c r="AT19" s="22">
        <f t="shared" si="11"/>
        <v>11.39240506329114</v>
      </c>
      <c r="AU19" s="5">
        <f t="shared" si="12"/>
        <v>17</v>
      </c>
      <c r="AV19" s="5">
        <f t="shared" si="13"/>
        <v>10.759493670886075</v>
      </c>
      <c r="AW19" s="5">
        <f t="shared" si="14"/>
        <v>6</v>
      </c>
      <c r="AX19" s="5">
        <f t="shared" si="15"/>
        <v>5.0632911392405058</v>
      </c>
      <c r="AY19" s="5">
        <f t="shared" si="20"/>
        <v>0</v>
      </c>
      <c r="AZ19" s="5">
        <f t="shared" si="16"/>
        <v>10.126582278481012</v>
      </c>
      <c r="BA19" s="5">
        <f t="shared" si="17"/>
        <v>0.63291139240506322</v>
      </c>
      <c r="BB19" s="5">
        <f t="shared" si="18"/>
        <v>0</v>
      </c>
      <c r="BC19" s="5">
        <f t="shared" si="19"/>
        <v>0.63291139240506322</v>
      </c>
      <c r="BD19" s="6"/>
      <c r="BE19" s="6"/>
      <c r="BF19" s="59"/>
      <c r="BG19" s="6"/>
      <c r="BH19" s="5"/>
      <c r="BI19" s="5"/>
      <c r="BJ19" s="5" t="s">
        <v>74</v>
      </c>
    </row>
    <row r="20" spans="1:62">
      <c r="A20" s="2" t="s">
        <v>67</v>
      </c>
      <c r="B20" s="3" t="s">
        <v>32</v>
      </c>
      <c r="C20" s="3" t="s">
        <v>32</v>
      </c>
      <c r="D20" s="4">
        <v>9</v>
      </c>
      <c r="E20" s="4">
        <v>74</v>
      </c>
      <c r="F20" s="4">
        <v>2020</v>
      </c>
      <c r="G20" s="39">
        <v>86</v>
      </c>
      <c r="H20" s="28">
        <v>0</v>
      </c>
      <c r="I20" s="28">
        <v>2</v>
      </c>
      <c r="J20" s="5">
        <v>2020</v>
      </c>
      <c r="K20" s="5">
        <v>2024</v>
      </c>
      <c r="L20" s="5">
        <f t="shared" si="0"/>
        <v>3.58</v>
      </c>
      <c r="M20" s="5">
        <v>0</v>
      </c>
      <c r="N20" s="5" t="s">
        <v>76</v>
      </c>
      <c r="O20" s="5" t="s">
        <v>35</v>
      </c>
      <c r="P20" s="5">
        <v>1</v>
      </c>
      <c r="Q20" s="5" t="s">
        <v>77</v>
      </c>
      <c r="R20" s="5" t="s">
        <v>30</v>
      </c>
      <c r="S20" s="5" t="s">
        <v>78</v>
      </c>
      <c r="T20" s="6"/>
      <c r="U20" s="6">
        <v>0</v>
      </c>
      <c r="V20" s="25"/>
      <c r="W20" s="5">
        <v>2</v>
      </c>
      <c r="X20" s="7">
        <f t="shared" si="1"/>
        <v>6</v>
      </c>
      <c r="Y20" s="22">
        <f t="shared" si="2"/>
        <v>0</v>
      </c>
      <c r="Z20" s="15">
        <f t="shared" si="3"/>
        <v>6</v>
      </c>
      <c r="AA20" s="19">
        <v>1</v>
      </c>
      <c r="AB20" s="19">
        <v>0</v>
      </c>
      <c r="AC20" s="19">
        <v>3</v>
      </c>
      <c r="AD20" s="19">
        <v>1</v>
      </c>
      <c r="AE20" s="19">
        <v>0</v>
      </c>
      <c r="AF20" s="19">
        <v>2</v>
      </c>
      <c r="AG20" s="36">
        <f t="shared" si="4"/>
        <v>0</v>
      </c>
      <c r="AH20" s="36">
        <f t="shared" si="5"/>
        <v>0</v>
      </c>
      <c r="AI20" s="36">
        <f t="shared" si="6"/>
        <v>0</v>
      </c>
      <c r="AJ20" s="36">
        <f t="shared" si="7"/>
        <v>0</v>
      </c>
      <c r="AK20" s="36">
        <f t="shared" si="8"/>
        <v>0</v>
      </c>
      <c r="AL20" s="36">
        <f t="shared" si="9"/>
        <v>0</v>
      </c>
      <c r="AM20" s="7">
        <v>1</v>
      </c>
      <c r="AN20" s="7">
        <v>0</v>
      </c>
      <c r="AO20" s="7">
        <v>3</v>
      </c>
      <c r="AP20" s="7">
        <v>1</v>
      </c>
      <c r="AQ20" s="7">
        <v>0</v>
      </c>
      <c r="AR20" s="7">
        <v>2</v>
      </c>
      <c r="AS20" s="22">
        <f t="shared" si="10"/>
        <v>6</v>
      </c>
      <c r="AT20" s="22">
        <f t="shared" si="11"/>
        <v>0</v>
      </c>
      <c r="AU20" s="5">
        <f t="shared" si="12"/>
        <v>0</v>
      </c>
      <c r="AV20" s="5">
        <f t="shared" si="13"/>
        <v>0</v>
      </c>
      <c r="AW20" s="5">
        <f t="shared" si="14"/>
        <v>4</v>
      </c>
      <c r="AX20" s="5">
        <f t="shared" si="15"/>
        <v>0</v>
      </c>
      <c r="AY20" s="5">
        <f t="shared" si="20"/>
        <v>0</v>
      </c>
      <c r="AZ20" s="5">
        <f t="shared" si="16"/>
        <v>0</v>
      </c>
      <c r="BA20" s="5">
        <f t="shared" si="17"/>
        <v>0</v>
      </c>
      <c r="BB20" s="5">
        <f t="shared" si="18"/>
        <v>0</v>
      </c>
      <c r="BC20" s="5">
        <f t="shared" si="19"/>
        <v>0</v>
      </c>
      <c r="BD20" s="6"/>
      <c r="BE20" s="6"/>
      <c r="BF20" s="59"/>
      <c r="BG20" s="6"/>
      <c r="BH20" s="5"/>
      <c r="BI20" s="5"/>
      <c r="BJ20" s="5" t="s">
        <v>76</v>
      </c>
    </row>
    <row r="21" spans="1:62">
      <c r="A21" s="2" t="s">
        <v>67</v>
      </c>
      <c r="B21" s="3" t="s">
        <v>32</v>
      </c>
      <c r="C21" s="3" t="s">
        <v>32</v>
      </c>
      <c r="D21" s="4">
        <v>9</v>
      </c>
      <c r="E21" s="4">
        <v>74</v>
      </c>
      <c r="F21" s="4">
        <v>2020</v>
      </c>
      <c r="G21" s="39">
        <v>86</v>
      </c>
      <c r="H21" s="28">
        <v>0</v>
      </c>
      <c r="I21" s="28">
        <v>2</v>
      </c>
      <c r="J21" s="5">
        <v>2020</v>
      </c>
      <c r="K21" s="5">
        <v>2024</v>
      </c>
      <c r="L21" s="5">
        <f t="shared" si="0"/>
        <v>3.58</v>
      </c>
      <c r="M21" s="5">
        <v>0</v>
      </c>
      <c r="N21" s="5" t="s">
        <v>79</v>
      </c>
      <c r="O21" s="5" t="s">
        <v>35</v>
      </c>
      <c r="P21" s="5">
        <v>1</v>
      </c>
      <c r="Q21" s="5" t="s">
        <v>80</v>
      </c>
      <c r="R21" s="5" t="s">
        <v>30</v>
      </c>
      <c r="S21" s="11" t="s">
        <v>81</v>
      </c>
      <c r="T21" s="6"/>
      <c r="U21" s="6">
        <v>0</v>
      </c>
      <c r="V21" s="25"/>
      <c r="W21" s="5">
        <v>8</v>
      </c>
      <c r="X21" s="7">
        <f t="shared" si="1"/>
        <v>34</v>
      </c>
      <c r="Y21" s="22">
        <f t="shared" si="2"/>
        <v>9</v>
      </c>
      <c r="Z21" s="15">
        <f t="shared" si="3"/>
        <v>25</v>
      </c>
      <c r="AA21" s="19">
        <v>11</v>
      </c>
      <c r="AB21" s="19">
        <v>9</v>
      </c>
      <c r="AC21" s="19">
        <v>10</v>
      </c>
      <c r="AD21" s="19">
        <v>5</v>
      </c>
      <c r="AE21" s="19">
        <v>1</v>
      </c>
      <c r="AF21" s="19">
        <v>0</v>
      </c>
      <c r="AG21" s="36">
        <f t="shared" si="4"/>
        <v>2</v>
      </c>
      <c r="AH21" s="36">
        <f t="shared" si="5"/>
        <v>5</v>
      </c>
      <c r="AI21" s="36">
        <f t="shared" si="6"/>
        <v>3</v>
      </c>
      <c r="AJ21" s="36">
        <f t="shared" si="7"/>
        <v>0</v>
      </c>
      <c r="AK21" s="36">
        <f t="shared" si="8"/>
        <v>0</v>
      </c>
      <c r="AL21" s="36">
        <f t="shared" si="9"/>
        <v>1</v>
      </c>
      <c r="AM21" s="7">
        <v>13</v>
      </c>
      <c r="AN21" s="7">
        <v>14</v>
      </c>
      <c r="AO21" s="7">
        <v>13</v>
      </c>
      <c r="AP21" s="7">
        <v>5</v>
      </c>
      <c r="AQ21" s="7">
        <v>1</v>
      </c>
      <c r="AR21" s="7">
        <v>1</v>
      </c>
      <c r="AS21" s="22">
        <f t="shared" si="10"/>
        <v>34</v>
      </c>
      <c r="AT21" s="22">
        <f t="shared" si="11"/>
        <v>2.5139664804469275</v>
      </c>
      <c r="AU21" s="5">
        <f t="shared" si="12"/>
        <v>8</v>
      </c>
      <c r="AV21" s="5">
        <f t="shared" si="13"/>
        <v>2.2346368715083798</v>
      </c>
      <c r="AW21" s="5">
        <f t="shared" si="14"/>
        <v>25</v>
      </c>
      <c r="AX21" s="5">
        <f t="shared" si="15"/>
        <v>0.55865921787709494</v>
      </c>
      <c r="AY21" s="5">
        <f t="shared" si="20"/>
        <v>1.3966480446927374</v>
      </c>
      <c r="AZ21" s="5">
        <f t="shared" si="16"/>
        <v>0.83798882681564246</v>
      </c>
      <c r="BA21" s="5">
        <f t="shared" si="17"/>
        <v>0</v>
      </c>
      <c r="BB21" s="5">
        <f t="shared" si="18"/>
        <v>0</v>
      </c>
      <c r="BC21" s="5">
        <f t="shared" si="19"/>
        <v>0.27932960893854747</v>
      </c>
      <c r="BD21" s="6"/>
      <c r="BE21" s="6"/>
      <c r="BF21" s="59"/>
      <c r="BG21" s="6"/>
      <c r="BH21" s="5"/>
      <c r="BI21" s="5"/>
      <c r="BJ21" s="5" t="s">
        <v>79</v>
      </c>
    </row>
    <row r="22" spans="1:62">
      <c r="A22" s="23" t="s">
        <v>564</v>
      </c>
      <c r="B22" s="3" t="s">
        <v>85</v>
      </c>
      <c r="C22" s="3" t="s">
        <v>85</v>
      </c>
      <c r="D22" s="4">
        <v>35</v>
      </c>
      <c r="E22" s="4">
        <v>74</v>
      </c>
      <c r="F22" s="4">
        <v>2014</v>
      </c>
      <c r="G22" s="39">
        <v>59</v>
      </c>
      <c r="H22" s="28">
        <v>0</v>
      </c>
      <c r="I22" s="28">
        <v>2</v>
      </c>
      <c r="J22" s="6">
        <v>2022</v>
      </c>
      <c r="K22" s="5">
        <v>2024</v>
      </c>
      <c r="L22" s="5">
        <f t="shared" si="0"/>
        <v>1.58</v>
      </c>
      <c r="M22" s="5">
        <v>0</v>
      </c>
      <c r="N22" s="6" t="s">
        <v>82</v>
      </c>
      <c r="O22" s="6" t="s">
        <v>28</v>
      </c>
      <c r="P22" s="5">
        <v>0</v>
      </c>
      <c r="Q22" s="6"/>
      <c r="R22" s="6" t="s">
        <v>30</v>
      </c>
      <c r="S22" s="6" t="s">
        <v>83</v>
      </c>
      <c r="T22" s="6" t="s">
        <v>84</v>
      </c>
      <c r="U22" s="6">
        <v>0</v>
      </c>
      <c r="V22" s="25">
        <v>53</v>
      </c>
      <c r="W22" s="5">
        <v>0</v>
      </c>
      <c r="X22" s="7">
        <f t="shared" si="1"/>
        <v>1</v>
      </c>
      <c r="Y22" s="22">
        <f t="shared" si="2"/>
        <v>0</v>
      </c>
      <c r="Z22" s="15">
        <f t="shared" si="3"/>
        <v>1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</v>
      </c>
      <c r="AG22" s="36">
        <f t="shared" si="4"/>
        <v>0</v>
      </c>
      <c r="AH22" s="36">
        <f t="shared" si="5"/>
        <v>0</v>
      </c>
      <c r="AI22" s="36">
        <f t="shared" si="6"/>
        <v>0</v>
      </c>
      <c r="AJ22" s="36">
        <f t="shared" si="7"/>
        <v>0</v>
      </c>
      <c r="AK22" s="36">
        <f t="shared" si="8"/>
        <v>0</v>
      </c>
      <c r="AL22" s="36">
        <f t="shared" si="9"/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1</v>
      </c>
      <c r="AS22" s="22">
        <f t="shared" si="10"/>
        <v>1</v>
      </c>
      <c r="AT22" s="22">
        <f t="shared" si="11"/>
        <v>0</v>
      </c>
      <c r="AU22" s="5">
        <f t="shared" si="12"/>
        <v>0</v>
      </c>
      <c r="AV22" s="5">
        <f t="shared" si="13"/>
        <v>0</v>
      </c>
      <c r="AW22" s="5">
        <f t="shared" si="14"/>
        <v>0</v>
      </c>
      <c r="AX22" s="5">
        <f t="shared" si="15"/>
        <v>0</v>
      </c>
      <c r="AY22" s="5">
        <f t="shared" si="20"/>
        <v>0</v>
      </c>
      <c r="AZ22" s="5">
        <f t="shared" si="16"/>
        <v>0</v>
      </c>
      <c r="BA22" s="5">
        <f t="shared" si="17"/>
        <v>0</v>
      </c>
      <c r="BB22" s="5">
        <f t="shared" si="18"/>
        <v>0</v>
      </c>
      <c r="BC22" s="5">
        <f t="shared" si="19"/>
        <v>0</v>
      </c>
      <c r="BD22" s="6"/>
      <c r="BE22" s="6"/>
      <c r="BF22" s="59"/>
      <c r="BG22" s="6"/>
      <c r="BH22" s="6"/>
      <c r="BI22" s="6"/>
      <c r="BJ22" s="6" t="s">
        <v>82</v>
      </c>
    </row>
    <row r="23" spans="1:62">
      <c r="A23" s="2" t="s">
        <v>564</v>
      </c>
      <c r="B23" s="3" t="s">
        <v>85</v>
      </c>
      <c r="C23" s="3" t="s">
        <v>85</v>
      </c>
      <c r="D23" s="4">
        <v>35</v>
      </c>
      <c r="E23" s="4">
        <v>74</v>
      </c>
      <c r="F23" s="4">
        <v>2014</v>
      </c>
      <c r="G23" s="39">
        <v>59</v>
      </c>
      <c r="H23" s="28">
        <v>0</v>
      </c>
      <c r="I23" s="28">
        <v>2</v>
      </c>
      <c r="J23" s="6">
        <v>2021</v>
      </c>
      <c r="K23" s="5">
        <v>2024</v>
      </c>
      <c r="L23" s="5">
        <f t="shared" si="0"/>
        <v>2.58</v>
      </c>
      <c r="M23" s="5">
        <v>0</v>
      </c>
      <c r="N23" s="6" t="s">
        <v>86</v>
      </c>
      <c r="O23" s="6" t="s">
        <v>35</v>
      </c>
      <c r="P23" s="5">
        <v>0</v>
      </c>
      <c r="Q23" s="6"/>
      <c r="R23" s="6" t="s">
        <v>30</v>
      </c>
      <c r="S23" s="5" t="s">
        <v>87</v>
      </c>
      <c r="T23" s="6" t="s">
        <v>84</v>
      </c>
      <c r="U23" s="6">
        <v>0</v>
      </c>
      <c r="V23" s="25">
        <v>44</v>
      </c>
      <c r="W23" s="6">
        <v>0</v>
      </c>
      <c r="X23" s="7">
        <f t="shared" si="1"/>
        <v>6</v>
      </c>
      <c r="Y23" s="22">
        <f t="shared" si="2"/>
        <v>3</v>
      </c>
      <c r="Z23" s="15">
        <f t="shared" si="3"/>
        <v>3</v>
      </c>
      <c r="AA23" s="19">
        <v>3</v>
      </c>
      <c r="AB23" s="19">
        <v>0</v>
      </c>
      <c r="AC23" s="19">
        <v>1</v>
      </c>
      <c r="AD23" s="19">
        <v>2</v>
      </c>
      <c r="AE23" s="19">
        <v>0</v>
      </c>
      <c r="AF23" s="19">
        <v>0</v>
      </c>
      <c r="AG23" s="36">
        <f t="shared" si="4"/>
        <v>2</v>
      </c>
      <c r="AH23" s="36">
        <f t="shared" si="5"/>
        <v>0</v>
      </c>
      <c r="AI23" s="36">
        <f t="shared" si="6"/>
        <v>1</v>
      </c>
      <c r="AJ23" s="36">
        <f t="shared" si="7"/>
        <v>0</v>
      </c>
      <c r="AK23" s="36">
        <f t="shared" si="8"/>
        <v>1</v>
      </c>
      <c r="AL23" s="36">
        <f t="shared" si="9"/>
        <v>1</v>
      </c>
      <c r="AM23" s="7">
        <v>5</v>
      </c>
      <c r="AN23" s="7">
        <v>0</v>
      </c>
      <c r="AO23" s="7">
        <v>2</v>
      </c>
      <c r="AP23" s="7">
        <v>2</v>
      </c>
      <c r="AQ23" s="7">
        <v>1</v>
      </c>
      <c r="AR23" s="7">
        <v>1</v>
      </c>
      <c r="AS23" s="22">
        <f t="shared" si="10"/>
        <v>6</v>
      </c>
      <c r="AT23" s="22">
        <f t="shared" si="11"/>
        <v>1.1627906976744187</v>
      </c>
      <c r="AU23" s="5">
        <f t="shared" si="12"/>
        <v>2</v>
      </c>
      <c r="AV23" s="5">
        <f t="shared" si="13"/>
        <v>0.77519379844961234</v>
      </c>
      <c r="AW23" s="5">
        <f t="shared" si="14"/>
        <v>3</v>
      </c>
      <c r="AX23" s="5">
        <f t="shared" si="15"/>
        <v>0.77519379844961234</v>
      </c>
      <c r="AY23" s="5">
        <f t="shared" si="20"/>
        <v>0</v>
      </c>
      <c r="AZ23" s="5">
        <f t="shared" si="16"/>
        <v>0.38759689922480617</v>
      </c>
      <c r="BA23" s="5">
        <f t="shared" si="17"/>
        <v>0</v>
      </c>
      <c r="BB23" s="5">
        <f t="shared" si="18"/>
        <v>0.38759689922480617</v>
      </c>
      <c r="BC23" s="5">
        <f t="shared" si="19"/>
        <v>0.38759689922480617</v>
      </c>
      <c r="BD23" s="6"/>
      <c r="BE23" s="6"/>
      <c r="BF23" s="59"/>
      <c r="BG23" s="6"/>
      <c r="BH23" s="6"/>
      <c r="BI23" s="6"/>
      <c r="BJ23" s="6" t="s">
        <v>86</v>
      </c>
    </row>
    <row r="24" spans="1:62">
      <c r="A24" s="2" t="s">
        <v>564</v>
      </c>
      <c r="B24" s="3" t="s">
        <v>85</v>
      </c>
      <c r="C24" s="3" t="s">
        <v>85</v>
      </c>
      <c r="D24" s="4">
        <v>35</v>
      </c>
      <c r="E24" s="4">
        <v>74</v>
      </c>
      <c r="F24" s="4">
        <v>2014</v>
      </c>
      <c r="G24" s="39">
        <v>59</v>
      </c>
      <c r="H24" s="28">
        <v>0</v>
      </c>
      <c r="I24" s="28">
        <v>2</v>
      </c>
      <c r="J24" s="6">
        <v>2020</v>
      </c>
      <c r="K24" s="5">
        <v>2024</v>
      </c>
      <c r="L24" s="5">
        <f t="shared" si="0"/>
        <v>3.58</v>
      </c>
      <c r="M24" s="5">
        <v>0</v>
      </c>
      <c r="N24" s="6" t="s">
        <v>88</v>
      </c>
      <c r="O24" s="6" t="s">
        <v>35</v>
      </c>
      <c r="P24" s="5">
        <v>0</v>
      </c>
      <c r="Q24" s="6"/>
      <c r="R24" s="6" t="s">
        <v>30</v>
      </c>
      <c r="S24" s="6" t="s">
        <v>89</v>
      </c>
      <c r="T24" s="6" t="s">
        <v>84</v>
      </c>
      <c r="U24" s="6">
        <v>0</v>
      </c>
      <c r="V24" s="25">
        <v>87</v>
      </c>
      <c r="W24" s="6">
        <v>1</v>
      </c>
      <c r="X24" s="7">
        <f t="shared" si="1"/>
        <v>7</v>
      </c>
      <c r="Y24" s="22">
        <f t="shared" si="2"/>
        <v>5</v>
      </c>
      <c r="Z24" s="15">
        <f t="shared" si="3"/>
        <v>2</v>
      </c>
      <c r="AA24" s="19">
        <v>1</v>
      </c>
      <c r="AB24" s="19">
        <v>0</v>
      </c>
      <c r="AC24" s="19">
        <v>1</v>
      </c>
      <c r="AD24" s="19">
        <v>0</v>
      </c>
      <c r="AE24" s="19">
        <v>1</v>
      </c>
      <c r="AF24" s="19">
        <v>0</v>
      </c>
      <c r="AG24" s="36">
        <f t="shared" si="4"/>
        <v>2</v>
      </c>
      <c r="AH24" s="36">
        <f t="shared" si="5"/>
        <v>0</v>
      </c>
      <c r="AI24" s="36">
        <f t="shared" si="6"/>
        <v>3</v>
      </c>
      <c r="AJ24" s="36">
        <f t="shared" si="7"/>
        <v>0</v>
      </c>
      <c r="AK24" s="36">
        <f t="shared" si="8"/>
        <v>2</v>
      </c>
      <c r="AL24" s="36">
        <f t="shared" si="9"/>
        <v>0</v>
      </c>
      <c r="AM24" s="7">
        <v>3</v>
      </c>
      <c r="AN24" s="7">
        <v>0</v>
      </c>
      <c r="AO24" s="7">
        <v>4</v>
      </c>
      <c r="AP24" s="7">
        <v>0</v>
      </c>
      <c r="AQ24" s="7">
        <v>3</v>
      </c>
      <c r="AR24" s="7">
        <v>0</v>
      </c>
      <c r="AS24" s="22">
        <f t="shared" si="10"/>
        <v>7</v>
      </c>
      <c r="AT24" s="22">
        <f t="shared" si="11"/>
        <v>1.3966480446927374</v>
      </c>
      <c r="AU24" s="5">
        <f t="shared" si="12"/>
        <v>5</v>
      </c>
      <c r="AV24" s="5">
        <f t="shared" si="13"/>
        <v>1.3966480446927374</v>
      </c>
      <c r="AW24" s="5">
        <f t="shared" si="14"/>
        <v>2</v>
      </c>
      <c r="AX24" s="5">
        <f t="shared" si="15"/>
        <v>0.55865921787709494</v>
      </c>
      <c r="AY24" s="5">
        <f t="shared" si="20"/>
        <v>0</v>
      </c>
      <c r="AZ24" s="5">
        <f t="shared" si="16"/>
        <v>0.83798882681564246</v>
      </c>
      <c r="BA24" s="5">
        <f t="shared" si="17"/>
        <v>0</v>
      </c>
      <c r="BB24" s="5">
        <f t="shared" si="18"/>
        <v>0.55865921787709494</v>
      </c>
      <c r="BC24" s="5">
        <f t="shared" si="19"/>
        <v>0</v>
      </c>
      <c r="BD24" s="6"/>
      <c r="BE24" s="6"/>
      <c r="BF24" s="59"/>
      <c r="BG24" s="6"/>
      <c r="BH24" s="6"/>
      <c r="BI24" s="6"/>
      <c r="BJ24" s="6" t="s">
        <v>88</v>
      </c>
    </row>
    <row r="25" spans="1:62">
      <c r="A25" s="2" t="s">
        <v>564</v>
      </c>
      <c r="B25" s="3" t="s">
        <v>85</v>
      </c>
      <c r="C25" s="3" t="s">
        <v>85</v>
      </c>
      <c r="D25" s="4">
        <v>35</v>
      </c>
      <c r="E25" s="4">
        <v>74</v>
      </c>
      <c r="F25" s="4">
        <v>2014</v>
      </c>
      <c r="G25" s="39">
        <v>59</v>
      </c>
      <c r="H25" s="28">
        <v>0</v>
      </c>
      <c r="I25" s="28">
        <v>2</v>
      </c>
      <c r="J25" s="6">
        <v>2019</v>
      </c>
      <c r="K25" s="5">
        <v>2024</v>
      </c>
      <c r="L25" s="5">
        <f t="shared" si="0"/>
        <v>4.58</v>
      </c>
      <c r="M25" s="5">
        <v>0</v>
      </c>
      <c r="N25" s="6" t="s">
        <v>90</v>
      </c>
      <c r="O25" s="6" t="s">
        <v>28</v>
      </c>
      <c r="P25" s="5">
        <v>0</v>
      </c>
      <c r="Q25" s="6"/>
      <c r="R25" s="6" t="s">
        <v>30</v>
      </c>
      <c r="S25" s="6" t="s">
        <v>91</v>
      </c>
      <c r="T25" s="6" t="s">
        <v>84</v>
      </c>
      <c r="U25" s="6">
        <v>0</v>
      </c>
      <c r="V25" s="25"/>
      <c r="W25" s="6">
        <v>3</v>
      </c>
      <c r="X25" s="7">
        <f t="shared" si="1"/>
        <v>4</v>
      </c>
      <c r="Y25" s="22">
        <f t="shared" si="2"/>
        <v>0</v>
      </c>
      <c r="Z25" s="15">
        <f t="shared" si="3"/>
        <v>4</v>
      </c>
      <c r="AA25" s="19">
        <v>1</v>
      </c>
      <c r="AB25" s="19">
        <v>4</v>
      </c>
      <c r="AC25" s="19">
        <v>0</v>
      </c>
      <c r="AD25" s="19">
        <v>0</v>
      </c>
      <c r="AE25" s="19">
        <v>0</v>
      </c>
      <c r="AF25" s="19">
        <v>0</v>
      </c>
      <c r="AG25" s="36">
        <f t="shared" si="4"/>
        <v>0</v>
      </c>
      <c r="AH25" s="36">
        <f t="shared" si="5"/>
        <v>0</v>
      </c>
      <c r="AI25" s="36">
        <f t="shared" si="6"/>
        <v>0</v>
      </c>
      <c r="AJ25" s="36">
        <f t="shared" si="7"/>
        <v>0</v>
      </c>
      <c r="AK25" s="36">
        <f t="shared" si="8"/>
        <v>0</v>
      </c>
      <c r="AL25" s="36">
        <f t="shared" si="9"/>
        <v>0</v>
      </c>
      <c r="AM25" s="7">
        <v>1</v>
      </c>
      <c r="AN25" s="7">
        <v>4</v>
      </c>
      <c r="AO25" s="7">
        <v>0</v>
      </c>
      <c r="AP25" s="7">
        <v>0</v>
      </c>
      <c r="AQ25" s="7">
        <v>0</v>
      </c>
      <c r="AR25" s="7">
        <v>0</v>
      </c>
      <c r="AS25" s="22">
        <f t="shared" si="10"/>
        <v>4</v>
      </c>
      <c r="AT25" s="22">
        <f t="shared" si="11"/>
        <v>0</v>
      </c>
      <c r="AU25" s="5">
        <f t="shared" si="12"/>
        <v>0</v>
      </c>
      <c r="AV25" s="5">
        <f t="shared" si="13"/>
        <v>0</v>
      </c>
      <c r="AW25" s="5">
        <f t="shared" si="14"/>
        <v>4</v>
      </c>
      <c r="AX25" s="5">
        <f t="shared" si="15"/>
        <v>0</v>
      </c>
      <c r="AY25" s="5">
        <f t="shared" si="20"/>
        <v>0</v>
      </c>
      <c r="AZ25" s="5">
        <f t="shared" si="16"/>
        <v>0</v>
      </c>
      <c r="BA25" s="5">
        <f t="shared" si="17"/>
        <v>0</v>
      </c>
      <c r="BB25" s="5">
        <f t="shared" si="18"/>
        <v>0</v>
      </c>
      <c r="BC25" s="5">
        <f t="shared" si="19"/>
        <v>0</v>
      </c>
      <c r="BD25" s="6"/>
      <c r="BE25" s="6"/>
      <c r="BF25" s="59"/>
      <c r="BG25" s="6"/>
      <c r="BH25" s="6"/>
      <c r="BI25" s="6"/>
      <c r="BJ25" s="6" t="s">
        <v>90</v>
      </c>
    </row>
    <row r="26" spans="1:62">
      <c r="A26" s="2" t="s">
        <v>564</v>
      </c>
      <c r="B26" s="3" t="s">
        <v>85</v>
      </c>
      <c r="C26" s="3" t="s">
        <v>85</v>
      </c>
      <c r="D26" s="4">
        <v>35</v>
      </c>
      <c r="E26" s="4">
        <v>74</v>
      </c>
      <c r="F26" s="4">
        <v>2014</v>
      </c>
      <c r="G26" s="39">
        <v>59</v>
      </c>
      <c r="H26" s="28">
        <v>0</v>
      </c>
      <c r="I26" s="28">
        <v>2</v>
      </c>
      <c r="J26" s="6">
        <v>2018</v>
      </c>
      <c r="K26" s="5">
        <v>2024</v>
      </c>
      <c r="L26" s="5">
        <f t="shared" si="0"/>
        <v>5.58</v>
      </c>
      <c r="M26" s="5">
        <v>0</v>
      </c>
      <c r="N26" s="6" t="s">
        <v>92</v>
      </c>
      <c r="O26" s="6" t="s">
        <v>35</v>
      </c>
      <c r="P26" s="5">
        <v>0</v>
      </c>
      <c r="Q26" s="6"/>
      <c r="R26" s="6" t="s">
        <v>30</v>
      </c>
      <c r="S26" s="6" t="s">
        <v>93</v>
      </c>
      <c r="T26" s="6" t="s">
        <v>84</v>
      </c>
      <c r="U26" s="6">
        <v>0</v>
      </c>
      <c r="V26" s="25">
        <v>74</v>
      </c>
      <c r="W26" s="6">
        <v>1</v>
      </c>
      <c r="X26" s="7">
        <f t="shared" si="1"/>
        <v>3</v>
      </c>
      <c r="Y26" s="22">
        <f t="shared" si="2"/>
        <v>2</v>
      </c>
      <c r="Z26" s="15">
        <f t="shared" si="3"/>
        <v>1</v>
      </c>
      <c r="AA26" s="19">
        <v>1</v>
      </c>
      <c r="AB26" s="19">
        <v>0</v>
      </c>
      <c r="AC26" s="19">
        <v>1</v>
      </c>
      <c r="AD26" s="19">
        <v>0</v>
      </c>
      <c r="AE26" s="19">
        <v>0</v>
      </c>
      <c r="AF26" s="19">
        <v>0</v>
      </c>
      <c r="AG26" s="36">
        <f t="shared" si="4"/>
        <v>2</v>
      </c>
      <c r="AH26" s="36">
        <f t="shared" si="5"/>
        <v>0</v>
      </c>
      <c r="AI26" s="36">
        <f t="shared" si="6"/>
        <v>2</v>
      </c>
      <c r="AJ26" s="36">
        <f t="shared" si="7"/>
        <v>0</v>
      </c>
      <c r="AK26" s="36">
        <f t="shared" si="8"/>
        <v>0</v>
      </c>
      <c r="AL26" s="36">
        <f t="shared" si="9"/>
        <v>0</v>
      </c>
      <c r="AM26" s="7">
        <v>3</v>
      </c>
      <c r="AN26" s="7">
        <v>0</v>
      </c>
      <c r="AO26" s="7">
        <v>3</v>
      </c>
      <c r="AP26" s="7">
        <v>0</v>
      </c>
      <c r="AQ26" s="7">
        <v>0</v>
      </c>
      <c r="AR26" s="7">
        <v>0</v>
      </c>
      <c r="AS26" s="22">
        <f t="shared" si="10"/>
        <v>3</v>
      </c>
      <c r="AT26" s="22">
        <f t="shared" si="11"/>
        <v>0.35842293906810035</v>
      </c>
      <c r="AU26" s="5">
        <f t="shared" si="12"/>
        <v>2</v>
      </c>
      <c r="AV26" s="5">
        <f t="shared" si="13"/>
        <v>0.35842293906810035</v>
      </c>
      <c r="AW26" s="5">
        <f t="shared" si="14"/>
        <v>1</v>
      </c>
      <c r="AX26" s="5">
        <f t="shared" si="15"/>
        <v>0.35842293906810035</v>
      </c>
      <c r="AY26" s="5">
        <f t="shared" si="20"/>
        <v>0</v>
      </c>
      <c r="AZ26" s="5">
        <f t="shared" si="16"/>
        <v>0.35842293906810035</v>
      </c>
      <c r="BA26" s="5">
        <f t="shared" si="17"/>
        <v>0</v>
      </c>
      <c r="BB26" s="5">
        <f t="shared" si="18"/>
        <v>0</v>
      </c>
      <c r="BC26" s="5">
        <f t="shared" si="19"/>
        <v>0</v>
      </c>
      <c r="BD26" s="6"/>
      <c r="BE26" s="6"/>
      <c r="BF26" s="59"/>
      <c r="BG26" s="6"/>
      <c r="BH26" s="6"/>
      <c r="BI26" s="6"/>
      <c r="BJ26" s="6" t="s">
        <v>92</v>
      </c>
    </row>
    <row r="27" spans="1:62" s="6" customFormat="1">
      <c r="A27" s="2" t="s">
        <v>564</v>
      </c>
      <c r="B27" s="3" t="s">
        <v>85</v>
      </c>
      <c r="C27" s="3" t="s">
        <v>85</v>
      </c>
      <c r="D27" s="4">
        <v>35</v>
      </c>
      <c r="E27" s="4">
        <v>74</v>
      </c>
      <c r="F27" s="4">
        <v>2014</v>
      </c>
      <c r="G27" s="39">
        <v>59</v>
      </c>
      <c r="H27" s="28">
        <v>0</v>
      </c>
      <c r="I27" s="28">
        <v>2</v>
      </c>
      <c r="J27" s="6">
        <v>2015</v>
      </c>
      <c r="K27" s="5">
        <v>2021</v>
      </c>
      <c r="L27" s="5">
        <f>(K27-J27)</f>
        <v>6</v>
      </c>
      <c r="M27" s="5">
        <v>1</v>
      </c>
      <c r="N27" s="6" t="s">
        <v>694</v>
      </c>
      <c r="O27" s="6" t="s">
        <v>28</v>
      </c>
      <c r="P27" s="5">
        <v>0</v>
      </c>
      <c r="R27" s="6" t="s">
        <v>30</v>
      </c>
      <c r="S27" s="6" t="s">
        <v>695</v>
      </c>
      <c r="T27" s="6" t="s">
        <v>101</v>
      </c>
      <c r="U27" s="6">
        <v>0</v>
      </c>
      <c r="V27" s="25">
        <v>21</v>
      </c>
      <c r="W27" s="6">
        <v>5</v>
      </c>
      <c r="X27" s="7">
        <f t="shared" ref="X27" si="21">SUM(Y27:Z27)</f>
        <v>7</v>
      </c>
      <c r="Y27" s="22">
        <f t="shared" ref="Y27" si="22">AS27-Z27</f>
        <v>2</v>
      </c>
      <c r="Z27" s="15">
        <f t="shared" ref="Z27" si="23">SUM(AB27:AF27)</f>
        <v>5</v>
      </c>
      <c r="AA27" s="19">
        <v>1</v>
      </c>
      <c r="AB27" s="19">
        <v>4</v>
      </c>
      <c r="AC27" s="19">
        <v>1</v>
      </c>
      <c r="AD27" s="19">
        <v>0</v>
      </c>
      <c r="AE27" s="19">
        <v>0</v>
      </c>
      <c r="AF27" s="19">
        <v>0</v>
      </c>
      <c r="AG27" s="36">
        <f t="shared" ref="AG27:AL27" si="24">AM27-AA27</f>
        <v>0</v>
      </c>
      <c r="AH27" s="36">
        <f t="shared" si="24"/>
        <v>1</v>
      </c>
      <c r="AI27" s="36">
        <f t="shared" si="24"/>
        <v>1</v>
      </c>
      <c r="AJ27" s="36">
        <f t="shared" si="24"/>
        <v>0</v>
      </c>
      <c r="AK27" s="36">
        <f t="shared" si="24"/>
        <v>0</v>
      </c>
      <c r="AL27" s="36">
        <f t="shared" si="24"/>
        <v>0</v>
      </c>
      <c r="AM27" s="7">
        <v>1</v>
      </c>
      <c r="AN27" s="7">
        <v>5</v>
      </c>
      <c r="AO27" s="7">
        <v>2</v>
      </c>
      <c r="AP27" s="7">
        <v>0</v>
      </c>
      <c r="AQ27" s="7">
        <v>0</v>
      </c>
      <c r="AR27" s="7">
        <v>0</v>
      </c>
      <c r="AS27" s="22">
        <f t="shared" ref="AS27" si="25">AN27+AO27+AP27+AQ27+AR27</f>
        <v>7</v>
      </c>
      <c r="AT27" s="22">
        <f t="shared" ref="AT27" si="26">Y27/L27</f>
        <v>0.33333333333333331</v>
      </c>
      <c r="AU27" s="5">
        <f t="shared" si="12"/>
        <v>2</v>
      </c>
      <c r="AV27" s="5">
        <f t="shared" si="13"/>
        <v>0.33333333333333331</v>
      </c>
      <c r="AW27" s="5">
        <f t="shared" si="14"/>
        <v>5</v>
      </c>
      <c r="AX27" s="5">
        <f t="shared" si="15"/>
        <v>0</v>
      </c>
      <c r="AY27" s="5">
        <f t="shared" si="20"/>
        <v>0.16666666666666666</v>
      </c>
      <c r="AZ27" s="5">
        <f t="shared" si="16"/>
        <v>0.16666666666666666</v>
      </c>
      <c r="BA27" s="5">
        <f t="shared" si="17"/>
        <v>0</v>
      </c>
      <c r="BB27" s="5">
        <f t="shared" si="18"/>
        <v>0</v>
      </c>
      <c r="BC27" s="5">
        <f t="shared" si="19"/>
        <v>0</v>
      </c>
      <c r="BF27" s="59">
        <v>0</v>
      </c>
      <c r="BG27" s="6" t="s">
        <v>723</v>
      </c>
      <c r="BJ27" s="6" t="s">
        <v>694</v>
      </c>
    </row>
    <row r="28" spans="1:62">
      <c r="A28" s="2" t="s">
        <v>564</v>
      </c>
      <c r="B28" s="3" t="s">
        <v>85</v>
      </c>
      <c r="C28" s="3" t="s">
        <v>85</v>
      </c>
      <c r="D28" s="4">
        <v>35</v>
      </c>
      <c r="E28" s="4">
        <v>74</v>
      </c>
      <c r="F28" s="4">
        <v>2014</v>
      </c>
      <c r="G28" s="39">
        <v>59</v>
      </c>
      <c r="H28" s="28">
        <v>0</v>
      </c>
      <c r="I28" s="28">
        <v>2</v>
      </c>
      <c r="J28" s="6">
        <v>2017</v>
      </c>
      <c r="K28" s="5">
        <v>2023</v>
      </c>
      <c r="L28" s="5">
        <v>6</v>
      </c>
      <c r="M28" s="5">
        <v>1</v>
      </c>
      <c r="N28" s="6" t="s">
        <v>94</v>
      </c>
      <c r="O28" s="6" t="s">
        <v>35</v>
      </c>
      <c r="P28" s="5">
        <v>0</v>
      </c>
      <c r="Q28" s="6"/>
      <c r="R28" s="6" t="s">
        <v>30</v>
      </c>
      <c r="S28" s="5" t="s">
        <v>95</v>
      </c>
      <c r="T28" s="6" t="s">
        <v>84</v>
      </c>
      <c r="U28" s="6">
        <v>0</v>
      </c>
      <c r="V28" s="25">
        <v>118</v>
      </c>
      <c r="W28" s="6">
        <v>1</v>
      </c>
      <c r="X28" s="7">
        <f t="shared" ref="X28:X64" si="27">SUM(Y28:Z28)</f>
        <v>1</v>
      </c>
      <c r="Y28" s="22">
        <f t="shared" ref="Y28:Y64" si="28">AS28-Z28</f>
        <v>1</v>
      </c>
      <c r="Z28" s="15">
        <f t="shared" ref="Z28:Z64" si="29">SUM(AB28:AF28)</f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36">
        <f t="shared" ref="AG28:AG43" si="30">AM28-AA28</f>
        <v>1</v>
      </c>
      <c r="AH28" s="36">
        <f t="shared" ref="AH28:AH43" si="31">AN28-AB28</f>
        <v>0</v>
      </c>
      <c r="AI28" s="36">
        <f t="shared" ref="AI28:AI43" si="32">AO28-AC28</f>
        <v>1</v>
      </c>
      <c r="AJ28" s="36">
        <f t="shared" ref="AJ28:AJ43" si="33">AP28-AD28</f>
        <v>0</v>
      </c>
      <c r="AK28" s="36">
        <f t="shared" ref="AK28:AK43" si="34">AQ28-AE28</f>
        <v>0</v>
      </c>
      <c r="AL28" s="36">
        <f t="shared" ref="AL28:AL43" si="35">AR28-AF28</f>
        <v>0</v>
      </c>
      <c r="AM28" s="7">
        <v>1</v>
      </c>
      <c r="AN28" s="7">
        <v>0</v>
      </c>
      <c r="AO28" s="7">
        <v>1</v>
      </c>
      <c r="AP28" s="7">
        <v>0</v>
      </c>
      <c r="AQ28" s="7">
        <v>0</v>
      </c>
      <c r="AR28" s="7">
        <v>0</v>
      </c>
      <c r="AS28" s="22">
        <f t="shared" ref="AS28:AS64" si="36">AN28+AO28+AP28+AQ28+AR28</f>
        <v>1</v>
      </c>
      <c r="AT28" s="22">
        <f t="shared" ref="AT28:AT66" si="37">Y28/L28</f>
        <v>0.16666666666666666</v>
      </c>
      <c r="AU28" s="5">
        <f t="shared" si="12"/>
        <v>1</v>
      </c>
      <c r="AV28" s="5">
        <f t="shared" si="13"/>
        <v>0.16666666666666666</v>
      </c>
      <c r="AW28" s="5">
        <f t="shared" si="14"/>
        <v>0</v>
      </c>
      <c r="AX28" s="5">
        <f t="shared" si="15"/>
        <v>0.16666666666666666</v>
      </c>
      <c r="AY28" s="5">
        <f t="shared" si="20"/>
        <v>0</v>
      </c>
      <c r="AZ28" s="5">
        <f t="shared" si="16"/>
        <v>0.16666666666666666</v>
      </c>
      <c r="BA28" s="5">
        <f t="shared" si="17"/>
        <v>0</v>
      </c>
      <c r="BB28" s="5">
        <f t="shared" si="18"/>
        <v>0</v>
      </c>
      <c r="BC28" s="5">
        <f t="shared" si="19"/>
        <v>0</v>
      </c>
      <c r="BD28" s="6">
        <v>0</v>
      </c>
      <c r="BE28" s="6"/>
      <c r="BF28" s="59">
        <v>0</v>
      </c>
      <c r="BG28" s="6" t="s">
        <v>724</v>
      </c>
      <c r="BH28" s="6"/>
      <c r="BI28" s="6"/>
      <c r="BJ28" s="6" t="s">
        <v>94</v>
      </c>
    </row>
    <row r="29" spans="1:62" ht="31">
      <c r="A29" s="2" t="s">
        <v>96</v>
      </c>
      <c r="B29" s="3" t="s">
        <v>32</v>
      </c>
      <c r="C29" s="3" t="s">
        <v>32</v>
      </c>
      <c r="D29" s="4">
        <v>79</v>
      </c>
      <c r="E29" s="4">
        <v>74</v>
      </c>
      <c r="F29" s="4">
        <v>2013</v>
      </c>
      <c r="G29" s="39">
        <v>71</v>
      </c>
      <c r="H29" s="28">
        <v>0</v>
      </c>
      <c r="I29" s="28">
        <v>2</v>
      </c>
      <c r="J29" s="5">
        <v>2022</v>
      </c>
      <c r="K29" s="5">
        <v>2024</v>
      </c>
      <c r="L29" s="5">
        <f t="shared" ref="L29:L43" si="38">(K29-J29)-0.42</f>
        <v>1.58</v>
      </c>
      <c r="M29" s="5">
        <v>0</v>
      </c>
      <c r="N29" s="5" t="s">
        <v>97</v>
      </c>
      <c r="O29" s="5" t="s">
        <v>28</v>
      </c>
      <c r="P29" s="5">
        <v>0</v>
      </c>
      <c r="Q29" s="6"/>
      <c r="R29" s="5" t="s">
        <v>30</v>
      </c>
      <c r="S29" s="5" t="s">
        <v>98</v>
      </c>
      <c r="T29" s="6" t="s">
        <v>47</v>
      </c>
      <c r="U29" s="6">
        <v>0</v>
      </c>
      <c r="V29" s="25">
        <v>11</v>
      </c>
      <c r="W29" s="5">
        <v>5</v>
      </c>
      <c r="X29" s="7">
        <f t="shared" si="27"/>
        <v>17</v>
      </c>
      <c r="Y29" s="22">
        <f t="shared" si="28"/>
        <v>4</v>
      </c>
      <c r="Z29" s="15">
        <f t="shared" si="29"/>
        <v>13</v>
      </c>
      <c r="AA29" s="19">
        <v>6</v>
      </c>
      <c r="AB29" s="19">
        <v>0</v>
      </c>
      <c r="AC29" s="19">
        <v>13</v>
      </c>
      <c r="AD29" s="19">
        <v>0</v>
      </c>
      <c r="AE29" s="19">
        <v>0</v>
      </c>
      <c r="AF29" s="19">
        <v>0</v>
      </c>
      <c r="AG29" s="36">
        <f t="shared" si="30"/>
        <v>0</v>
      </c>
      <c r="AH29" s="36">
        <f t="shared" si="31"/>
        <v>0</v>
      </c>
      <c r="AI29" s="36">
        <f t="shared" si="32"/>
        <v>4</v>
      </c>
      <c r="AJ29" s="36">
        <f t="shared" si="33"/>
        <v>0</v>
      </c>
      <c r="AK29" s="36">
        <f t="shared" si="34"/>
        <v>0</v>
      </c>
      <c r="AL29" s="36">
        <f t="shared" si="35"/>
        <v>0</v>
      </c>
      <c r="AM29" s="7">
        <v>6</v>
      </c>
      <c r="AN29" s="7">
        <v>0</v>
      </c>
      <c r="AO29" s="7">
        <v>17</v>
      </c>
      <c r="AP29" s="7">
        <v>0</v>
      </c>
      <c r="AQ29" s="7">
        <v>0</v>
      </c>
      <c r="AR29" s="7">
        <v>0</v>
      </c>
      <c r="AS29" s="22">
        <f t="shared" si="36"/>
        <v>17</v>
      </c>
      <c r="AT29" s="22">
        <f t="shared" si="37"/>
        <v>2.5316455696202529</v>
      </c>
      <c r="AU29" s="5">
        <f t="shared" si="12"/>
        <v>4</v>
      </c>
      <c r="AV29" s="5">
        <f t="shared" si="13"/>
        <v>2.5316455696202529</v>
      </c>
      <c r="AW29" s="5">
        <f t="shared" si="14"/>
        <v>13</v>
      </c>
      <c r="AX29" s="5">
        <f t="shared" si="15"/>
        <v>0</v>
      </c>
      <c r="AY29" s="5">
        <f t="shared" si="20"/>
        <v>0</v>
      </c>
      <c r="AZ29" s="5">
        <f t="shared" si="16"/>
        <v>2.5316455696202529</v>
      </c>
      <c r="BA29" s="5">
        <f t="shared" si="17"/>
        <v>0</v>
      </c>
      <c r="BB29" s="5">
        <f t="shared" si="18"/>
        <v>0</v>
      </c>
      <c r="BC29" s="5">
        <f t="shared" si="19"/>
        <v>0</v>
      </c>
      <c r="BD29" s="6"/>
      <c r="BE29" s="6"/>
      <c r="BF29" s="59"/>
      <c r="BG29" s="6"/>
      <c r="BH29" s="5"/>
      <c r="BI29" s="5"/>
      <c r="BJ29" s="5" t="s">
        <v>97</v>
      </c>
    </row>
    <row r="30" spans="1:62" ht="31">
      <c r="A30" s="2" t="s">
        <v>96</v>
      </c>
      <c r="B30" s="3" t="s">
        <v>32</v>
      </c>
      <c r="C30" s="3" t="s">
        <v>32</v>
      </c>
      <c r="D30" s="4">
        <v>79</v>
      </c>
      <c r="E30" s="4">
        <v>74</v>
      </c>
      <c r="F30" s="4">
        <v>2013</v>
      </c>
      <c r="G30" s="39">
        <v>71</v>
      </c>
      <c r="H30" s="28">
        <v>0</v>
      </c>
      <c r="I30" s="28">
        <v>2</v>
      </c>
      <c r="J30" s="5">
        <v>2022</v>
      </c>
      <c r="K30" s="5">
        <v>2024</v>
      </c>
      <c r="L30" s="5">
        <f t="shared" si="38"/>
        <v>1.58</v>
      </c>
      <c r="M30" s="5">
        <v>0</v>
      </c>
      <c r="N30" s="5" t="s">
        <v>99</v>
      </c>
      <c r="O30" s="5" t="s">
        <v>35</v>
      </c>
      <c r="P30" s="5">
        <v>0</v>
      </c>
      <c r="Q30" s="6"/>
      <c r="R30" s="5" t="s">
        <v>30</v>
      </c>
      <c r="S30" s="5" t="s">
        <v>100</v>
      </c>
      <c r="T30" s="6" t="s">
        <v>101</v>
      </c>
      <c r="U30" s="6">
        <v>0</v>
      </c>
      <c r="V30" s="25">
        <v>37</v>
      </c>
      <c r="W30" s="5">
        <v>3</v>
      </c>
      <c r="X30" s="7">
        <f t="shared" si="27"/>
        <v>16</v>
      </c>
      <c r="Y30" s="22">
        <f t="shared" si="28"/>
        <v>9</v>
      </c>
      <c r="Z30" s="15">
        <f t="shared" si="29"/>
        <v>7</v>
      </c>
      <c r="AA30" s="19">
        <v>4</v>
      </c>
      <c r="AB30" s="19">
        <v>0</v>
      </c>
      <c r="AC30" s="19">
        <v>5</v>
      </c>
      <c r="AD30" s="19">
        <v>0</v>
      </c>
      <c r="AE30" s="19">
        <v>2</v>
      </c>
      <c r="AF30" s="19">
        <v>0</v>
      </c>
      <c r="AG30" s="36">
        <f t="shared" si="30"/>
        <v>1</v>
      </c>
      <c r="AH30" s="36">
        <f t="shared" si="31"/>
        <v>0</v>
      </c>
      <c r="AI30" s="36">
        <f t="shared" si="32"/>
        <v>1</v>
      </c>
      <c r="AJ30" s="36">
        <f t="shared" si="33"/>
        <v>0</v>
      </c>
      <c r="AK30" s="36">
        <f t="shared" si="34"/>
        <v>8</v>
      </c>
      <c r="AL30" s="36">
        <f t="shared" si="35"/>
        <v>0</v>
      </c>
      <c r="AM30" s="7">
        <v>5</v>
      </c>
      <c r="AN30" s="7">
        <v>0</v>
      </c>
      <c r="AO30" s="7">
        <v>6</v>
      </c>
      <c r="AP30" s="7">
        <v>0</v>
      </c>
      <c r="AQ30" s="7">
        <v>10</v>
      </c>
      <c r="AR30" s="7">
        <v>0</v>
      </c>
      <c r="AS30" s="22">
        <f t="shared" si="36"/>
        <v>16</v>
      </c>
      <c r="AT30" s="22">
        <f t="shared" si="37"/>
        <v>5.6962025316455698</v>
      </c>
      <c r="AU30" s="5">
        <f t="shared" si="12"/>
        <v>9</v>
      </c>
      <c r="AV30" s="5">
        <f t="shared" si="13"/>
        <v>5.6962025316455698</v>
      </c>
      <c r="AW30" s="5">
        <f t="shared" si="14"/>
        <v>7</v>
      </c>
      <c r="AX30" s="5">
        <f t="shared" si="15"/>
        <v>0.63291139240506322</v>
      </c>
      <c r="AY30" s="5">
        <f t="shared" si="20"/>
        <v>0</v>
      </c>
      <c r="AZ30" s="5">
        <f t="shared" si="16"/>
        <v>0.63291139240506322</v>
      </c>
      <c r="BA30" s="5">
        <f t="shared" si="17"/>
        <v>0</v>
      </c>
      <c r="BB30" s="5">
        <f t="shared" si="18"/>
        <v>5.0632911392405058</v>
      </c>
      <c r="BC30" s="5">
        <f t="shared" si="19"/>
        <v>0</v>
      </c>
      <c r="BD30" s="6"/>
      <c r="BE30" s="6"/>
      <c r="BF30" s="59"/>
      <c r="BG30" s="6"/>
      <c r="BH30" s="5"/>
      <c r="BI30" s="5"/>
      <c r="BJ30" s="5" t="s">
        <v>99</v>
      </c>
    </row>
    <row r="31" spans="1:62" ht="31">
      <c r="A31" s="2" t="s">
        <v>96</v>
      </c>
      <c r="B31" s="3" t="s">
        <v>32</v>
      </c>
      <c r="C31" s="3" t="s">
        <v>32</v>
      </c>
      <c r="D31" s="4">
        <v>79</v>
      </c>
      <c r="E31" s="4">
        <v>74</v>
      </c>
      <c r="F31" s="4">
        <v>2013</v>
      </c>
      <c r="G31" s="39">
        <v>71</v>
      </c>
      <c r="H31" s="28">
        <v>0</v>
      </c>
      <c r="I31" s="28">
        <v>2</v>
      </c>
      <c r="J31" s="5">
        <v>2022</v>
      </c>
      <c r="K31" s="5">
        <v>2024</v>
      </c>
      <c r="L31" s="5">
        <f t="shared" si="38"/>
        <v>1.58</v>
      </c>
      <c r="M31" s="5">
        <v>0</v>
      </c>
      <c r="N31" s="5" t="s">
        <v>565</v>
      </c>
      <c r="O31" s="5" t="s">
        <v>28</v>
      </c>
      <c r="P31" s="5">
        <v>0</v>
      </c>
      <c r="Q31" s="6"/>
      <c r="R31" s="5" t="s">
        <v>39</v>
      </c>
      <c r="S31" s="5" t="s">
        <v>102</v>
      </c>
      <c r="T31" s="6" t="s">
        <v>101</v>
      </c>
      <c r="U31" s="6">
        <v>0</v>
      </c>
      <c r="V31" s="25">
        <v>24</v>
      </c>
      <c r="W31" s="5">
        <v>1</v>
      </c>
      <c r="X31" s="7">
        <f t="shared" si="27"/>
        <v>4</v>
      </c>
      <c r="Y31" s="22">
        <f t="shared" si="28"/>
        <v>4</v>
      </c>
      <c r="Z31" s="15">
        <f t="shared" si="29"/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36">
        <f t="shared" si="30"/>
        <v>1</v>
      </c>
      <c r="AH31" s="36">
        <f t="shared" si="31"/>
        <v>0</v>
      </c>
      <c r="AI31" s="36">
        <f t="shared" si="32"/>
        <v>4</v>
      </c>
      <c r="AJ31" s="36">
        <f t="shared" si="33"/>
        <v>0</v>
      </c>
      <c r="AK31" s="36">
        <f t="shared" si="34"/>
        <v>0</v>
      </c>
      <c r="AL31" s="36">
        <f t="shared" si="35"/>
        <v>0</v>
      </c>
      <c r="AM31" s="7">
        <v>1</v>
      </c>
      <c r="AN31" s="7">
        <v>0</v>
      </c>
      <c r="AO31" s="7">
        <v>4</v>
      </c>
      <c r="AP31" s="7">
        <v>0</v>
      </c>
      <c r="AQ31" s="7">
        <v>0</v>
      </c>
      <c r="AR31" s="7">
        <v>0</v>
      </c>
      <c r="AS31" s="22">
        <f t="shared" si="36"/>
        <v>4</v>
      </c>
      <c r="AT31" s="22">
        <f t="shared" si="37"/>
        <v>2.5316455696202529</v>
      </c>
      <c r="AU31" s="5">
        <f t="shared" si="12"/>
        <v>4</v>
      </c>
      <c r="AV31" s="5">
        <f t="shared" si="13"/>
        <v>2.5316455696202529</v>
      </c>
      <c r="AW31" s="5">
        <f t="shared" si="14"/>
        <v>0</v>
      </c>
      <c r="AX31" s="5">
        <f t="shared" si="15"/>
        <v>0.63291139240506322</v>
      </c>
      <c r="AY31" s="5">
        <f t="shared" si="20"/>
        <v>0</v>
      </c>
      <c r="AZ31" s="5">
        <f t="shared" si="16"/>
        <v>2.5316455696202529</v>
      </c>
      <c r="BA31" s="5">
        <f t="shared" si="17"/>
        <v>0</v>
      </c>
      <c r="BB31" s="5">
        <f t="shared" si="18"/>
        <v>0</v>
      </c>
      <c r="BC31" s="5">
        <f t="shared" si="19"/>
        <v>0</v>
      </c>
      <c r="BD31" s="6"/>
      <c r="BE31" s="6"/>
      <c r="BF31" s="59"/>
      <c r="BG31" s="6"/>
      <c r="BH31" s="5"/>
      <c r="BI31" s="5"/>
      <c r="BJ31" s="5" t="s">
        <v>565</v>
      </c>
    </row>
    <row r="32" spans="1:62" ht="31">
      <c r="A32" s="2" t="s">
        <v>96</v>
      </c>
      <c r="B32" s="3" t="s">
        <v>32</v>
      </c>
      <c r="C32" s="3" t="s">
        <v>32</v>
      </c>
      <c r="D32" s="4">
        <v>79</v>
      </c>
      <c r="E32" s="4">
        <v>74</v>
      </c>
      <c r="F32" s="4">
        <v>2013</v>
      </c>
      <c r="G32" s="39">
        <v>71</v>
      </c>
      <c r="H32" s="28">
        <v>0</v>
      </c>
      <c r="I32" s="28">
        <v>2</v>
      </c>
      <c r="J32" s="5">
        <v>2021</v>
      </c>
      <c r="K32" s="5">
        <v>2024</v>
      </c>
      <c r="L32" s="5">
        <f t="shared" si="38"/>
        <v>2.58</v>
      </c>
      <c r="M32" s="5">
        <v>0</v>
      </c>
      <c r="N32" s="5" t="s">
        <v>103</v>
      </c>
      <c r="O32" s="5" t="s">
        <v>35</v>
      </c>
      <c r="P32" s="5">
        <v>0</v>
      </c>
      <c r="Q32" s="6"/>
      <c r="R32" s="5" t="s">
        <v>30</v>
      </c>
      <c r="S32" s="5" t="s">
        <v>104</v>
      </c>
      <c r="T32" s="6" t="s">
        <v>101</v>
      </c>
      <c r="U32" s="6">
        <v>0</v>
      </c>
      <c r="V32" s="25">
        <v>22</v>
      </c>
      <c r="W32" s="5">
        <v>7</v>
      </c>
      <c r="X32" s="7">
        <f t="shared" si="27"/>
        <v>46</v>
      </c>
      <c r="Y32" s="22">
        <f t="shared" si="28"/>
        <v>22</v>
      </c>
      <c r="Z32" s="15">
        <f t="shared" si="29"/>
        <v>24</v>
      </c>
      <c r="AA32" s="19">
        <v>14</v>
      </c>
      <c r="AB32" s="19">
        <v>1</v>
      </c>
      <c r="AC32" s="19">
        <v>13</v>
      </c>
      <c r="AD32" s="19">
        <v>1</v>
      </c>
      <c r="AE32" s="19">
        <v>2</v>
      </c>
      <c r="AF32" s="19">
        <v>7</v>
      </c>
      <c r="AG32" s="36">
        <f t="shared" si="30"/>
        <v>11</v>
      </c>
      <c r="AH32" s="36">
        <f t="shared" si="31"/>
        <v>1</v>
      </c>
      <c r="AI32" s="36">
        <f t="shared" si="32"/>
        <v>14</v>
      </c>
      <c r="AJ32" s="36">
        <f t="shared" si="33"/>
        <v>0</v>
      </c>
      <c r="AK32" s="36">
        <f t="shared" si="34"/>
        <v>3</v>
      </c>
      <c r="AL32" s="36">
        <f t="shared" si="35"/>
        <v>4</v>
      </c>
      <c r="AM32" s="7">
        <v>25</v>
      </c>
      <c r="AN32" s="7">
        <v>2</v>
      </c>
      <c r="AO32" s="7">
        <v>27</v>
      </c>
      <c r="AP32" s="7">
        <v>1</v>
      </c>
      <c r="AQ32" s="7">
        <v>5</v>
      </c>
      <c r="AR32" s="7">
        <v>11</v>
      </c>
      <c r="AS32" s="22">
        <f t="shared" si="36"/>
        <v>46</v>
      </c>
      <c r="AT32" s="22">
        <f t="shared" si="37"/>
        <v>8.5271317829457356</v>
      </c>
      <c r="AU32" s="5">
        <f t="shared" si="12"/>
        <v>18</v>
      </c>
      <c r="AV32" s="5">
        <f t="shared" si="13"/>
        <v>6.9767441860465116</v>
      </c>
      <c r="AW32" s="5">
        <f t="shared" si="14"/>
        <v>17</v>
      </c>
      <c r="AX32" s="5">
        <f t="shared" si="15"/>
        <v>4.2635658914728678</v>
      </c>
      <c r="AY32" s="5">
        <f t="shared" si="20"/>
        <v>0.38759689922480617</v>
      </c>
      <c r="AZ32" s="5">
        <f t="shared" si="16"/>
        <v>5.4263565891472867</v>
      </c>
      <c r="BA32" s="5">
        <f t="shared" si="17"/>
        <v>0</v>
      </c>
      <c r="BB32" s="5">
        <f t="shared" si="18"/>
        <v>1.1627906976744187</v>
      </c>
      <c r="BC32" s="5">
        <f t="shared" si="19"/>
        <v>1.5503875968992247</v>
      </c>
      <c r="BD32" s="6"/>
      <c r="BE32" s="6"/>
      <c r="BF32" s="59"/>
      <c r="BG32" s="6"/>
      <c r="BH32" s="5"/>
      <c r="BI32" s="5"/>
      <c r="BJ32" s="5" t="s">
        <v>103</v>
      </c>
    </row>
    <row r="33" spans="1:62" ht="31">
      <c r="A33" s="2" t="s">
        <v>96</v>
      </c>
      <c r="B33" s="3" t="s">
        <v>32</v>
      </c>
      <c r="C33" s="3" t="s">
        <v>32</v>
      </c>
      <c r="D33" s="4">
        <v>79</v>
      </c>
      <c r="E33" s="4">
        <v>74</v>
      </c>
      <c r="F33" s="4">
        <v>2013</v>
      </c>
      <c r="G33" s="39">
        <v>71</v>
      </c>
      <c r="H33" s="28">
        <v>0</v>
      </c>
      <c r="I33" s="28">
        <v>2</v>
      </c>
      <c r="J33" s="5">
        <v>2021</v>
      </c>
      <c r="K33" s="5">
        <v>2024</v>
      </c>
      <c r="L33" s="5">
        <f t="shared" si="38"/>
        <v>2.58</v>
      </c>
      <c r="M33" s="5">
        <v>0</v>
      </c>
      <c r="N33" s="5" t="s">
        <v>105</v>
      </c>
      <c r="O33" s="5" t="s">
        <v>28</v>
      </c>
      <c r="P33" s="5">
        <v>0</v>
      </c>
      <c r="Q33" s="6"/>
      <c r="R33" s="5" t="s">
        <v>30</v>
      </c>
      <c r="S33" s="5" t="s">
        <v>106</v>
      </c>
      <c r="T33" s="6" t="s">
        <v>84</v>
      </c>
      <c r="U33" s="6">
        <v>0</v>
      </c>
      <c r="V33" s="25" t="s">
        <v>107</v>
      </c>
      <c r="W33" s="5">
        <v>3</v>
      </c>
      <c r="X33" s="7">
        <f t="shared" si="27"/>
        <v>10</v>
      </c>
      <c r="Y33" s="22">
        <f t="shared" si="28"/>
        <v>5</v>
      </c>
      <c r="Z33" s="15">
        <f t="shared" si="29"/>
        <v>5</v>
      </c>
      <c r="AA33" s="19">
        <v>2</v>
      </c>
      <c r="AB33" s="19">
        <v>4</v>
      </c>
      <c r="AC33" s="19">
        <v>0</v>
      </c>
      <c r="AD33" s="19">
        <v>0</v>
      </c>
      <c r="AE33" s="19">
        <v>1</v>
      </c>
      <c r="AF33" s="19">
        <v>0</v>
      </c>
      <c r="AG33" s="36">
        <f t="shared" si="30"/>
        <v>2</v>
      </c>
      <c r="AH33" s="36">
        <f t="shared" si="31"/>
        <v>0</v>
      </c>
      <c r="AI33" s="36">
        <f t="shared" si="32"/>
        <v>4</v>
      </c>
      <c r="AJ33" s="36">
        <f t="shared" si="33"/>
        <v>1</v>
      </c>
      <c r="AK33" s="36">
        <f t="shared" si="34"/>
        <v>0</v>
      </c>
      <c r="AL33" s="36">
        <f t="shared" si="35"/>
        <v>0</v>
      </c>
      <c r="AM33" s="7">
        <v>4</v>
      </c>
      <c r="AN33" s="7">
        <v>4</v>
      </c>
      <c r="AO33" s="7">
        <v>4</v>
      </c>
      <c r="AP33" s="7">
        <v>1</v>
      </c>
      <c r="AQ33" s="7">
        <v>1</v>
      </c>
      <c r="AR33" s="7">
        <v>0</v>
      </c>
      <c r="AS33" s="22">
        <f t="shared" si="36"/>
        <v>10</v>
      </c>
      <c r="AT33" s="22">
        <f t="shared" si="37"/>
        <v>1.9379844961240309</v>
      </c>
      <c r="AU33" s="5">
        <f t="shared" si="12"/>
        <v>5</v>
      </c>
      <c r="AV33" s="5">
        <f t="shared" si="13"/>
        <v>1.9379844961240309</v>
      </c>
      <c r="AW33" s="5">
        <f t="shared" si="14"/>
        <v>5</v>
      </c>
      <c r="AX33" s="5">
        <f t="shared" si="15"/>
        <v>0.77519379844961234</v>
      </c>
      <c r="AY33" s="5">
        <f t="shared" si="20"/>
        <v>0</v>
      </c>
      <c r="AZ33" s="5">
        <f t="shared" si="16"/>
        <v>1.5503875968992247</v>
      </c>
      <c r="BA33" s="5">
        <f t="shared" si="17"/>
        <v>0.38759689922480617</v>
      </c>
      <c r="BB33" s="5">
        <f t="shared" si="18"/>
        <v>0</v>
      </c>
      <c r="BC33" s="5">
        <f t="shared" si="19"/>
        <v>0</v>
      </c>
      <c r="BD33" s="6"/>
      <c r="BE33" s="6"/>
      <c r="BF33" s="59"/>
      <c r="BG33" s="6"/>
      <c r="BH33" s="5"/>
      <c r="BI33" s="5"/>
      <c r="BJ33" s="5" t="s">
        <v>105</v>
      </c>
    </row>
    <row r="34" spans="1:62" ht="31">
      <c r="A34" s="2" t="s">
        <v>96</v>
      </c>
      <c r="B34" s="3" t="s">
        <v>32</v>
      </c>
      <c r="C34" s="3" t="s">
        <v>32</v>
      </c>
      <c r="D34" s="4">
        <v>79</v>
      </c>
      <c r="E34" s="4">
        <v>74</v>
      </c>
      <c r="F34" s="4">
        <v>2013</v>
      </c>
      <c r="G34" s="39">
        <v>71</v>
      </c>
      <c r="H34" s="28">
        <v>0</v>
      </c>
      <c r="I34" s="28">
        <v>2</v>
      </c>
      <c r="J34" s="5">
        <v>2021</v>
      </c>
      <c r="K34" s="5">
        <v>2024</v>
      </c>
      <c r="L34" s="5">
        <f t="shared" si="38"/>
        <v>2.58</v>
      </c>
      <c r="M34" s="5">
        <v>0</v>
      </c>
      <c r="N34" s="5" t="s">
        <v>108</v>
      </c>
      <c r="O34" s="5" t="s">
        <v>35</v>
      </c>
      <c r="P34" s="5">
        <v>0</v>
      </c>
      <c r="Q34" s="6"/>
      <c r="R34" s="5" t="s">
        <v>30</v>
      </c>
      <c r="S34" s="5" t="s">
        <v>109</v>
      </c>
      <c r="T34" s="6" t="s">
        <v>47</v>
      </c>
      <c r="U34" s="6">
        <v>0</v>
      </c>
      <c r="V34" s="25">
        <v>20</v>
      </c>
      <c r="W34" s="5">
        <v>2</v>
      </c>
      <c r="X34" s="7">
        <f t="shared" si="27"/>
        <v>5</v>
      </c>
      <c r="Y34" s="22">
        <f t="shared" si="28"/>
        <v>4</v>
      </c>
      <c r="Z34" s="15">
        <f t="shared" si="29"/>
        <v>1</v>
      </c>
      <c r="AA34" s="19">
        <v>0</v>
      </c>
      <c r="AB34" s="19">
        <v>0</v>
      </c>
      <c r="AC34" s="19">
        <v>0</v>
      </c>
      <c r="AD34" s="19">
        <v>1</v>
      </c>
      <c r="AE34" s="19">
        <v>0</v>
      </c>
      <c r="AF34" s="19">
        <v>0</v>
      </c>
      <c r="AG34" s="36">
        <f t="shared" si="30"/>
        <v>1</v>
      </c>
      <c r="AH34" s="36">
        <f t="shared" si="31"/>
        <v>0</v>
      </c>
      <c r="AI34" s="36">
        <f t="shared" si="32"/>
        <v>4</v>
      </c>
      <c r="AJ34" s="36">
        <f t="shared" si="33"/>
        <v>0</v>
      </c>
      <c r="AK34" s="36">
        <f t="shared" si="34"/>
        <v>0</v>
      </c>
      <c r="AL34" s="36">
        <f t="shared" si="35"/>
        <v>0</v>
      </c>
      <c r="AM34" s="7">
        <v>1</v>
      </c>
      <c r="AN34" s="7">
        <v>0</v>
      </c>
      <c r="AO34" s="7">
        <v>4</v>
      </c>
      <c r="AP34" s="7">
        <v>1</v>
      </c>
      <c r="AQ34" s="7">
        <v>0</v>
      </c>
      <c r="AR34" s="7">
        <v>0</v>
      </c>
      <c r="AS34" s="22">
        <f t="shared" si="36"/>
        <v>5</v>
      </c>
      <c r="AT34" s="22">
        <f t="shared" si="37"/>
        <v>1.5503875968992247</v>
      </c>
      <c r="AU34" s="5">
        <f t="shared" si="12"/>
        <v>4</v>
      </c>
      <c r="AV34" s="5">
        <f t="shared" si="13"/>
        <v>1.5503875968992247</v>
      </c>
      <c r="AW34" s="5">
        <f t="shared" si="14"/>
        <v>1</v>
      </c>
      <c r="AX34" s="5">
        <f t="shared" si="15"/>
        <v>0.38759689922480617</v>
      </c>
      <c r="AY34" s="5">
        <f t="shared" si="20"/>
        <v>0</v>
      </c>
      <c r="AZ34" s="5">
        <f t="shared" si="16"/>
        <v>1.5503875968992247</v>
      </c>
      <c r="BA34" s="5">
        <f t="shared" si="17"/>
        <v>0</v>
      </c>
      <c r="BB34" s="5">
        <f t="shared" si="18"/>
        <v>0</v>
      </c>
      <c r="BC34" s="5">
        <f t="shared" si="19"/>
        <v>0</v>
      </c>
      <c r="BD34" s="6"/>
      <c r="BE34" s="6"/>
      <c r="BF34" s="59"/>
      <c r="BG34" s="6"/>
      <c r="BH34" s="5"/>
      <c r="BI34" s="5"/>
      <c r="BJ34" s="5" t="s">
        <v>108</v>
      </c>
    </row>
    <row r="35" spans="1:62" ht="31">
      <c r="A35" s="2" t="s">
        <v>96</v>
      </c>
      <c r="B35" s="3" t="s">
        <v>32</v>
      </c>
      <c r="C35" s="3" t="s">
        <v>32</v>
      </c>
      <c r="D35" s="4">
        <v>79</v>
      </c>
      <c r="E35" s="4">
        <v>74</v>
      </c>
      <c r="F35" s="4">
        <v>2013</v>
      </c>
      <c r="G35" s="39">
        <v>71</v>
      </c>
      <c r="H35" s="28">
        <v>0</v>
      </c>
      <c r="I35" s="28">
        <v>2</v>
      </c>
      <c r="J35" s="5">
        <v>2020</v>
      </c>
      <c r="K35" s="5">
        <v>2024</v>
      </c>
      <c r="L35" s="5">
        <f t="shared" si="38"/>
        <v>3.58</v>
      </c>
      <c r="M35" s="5">
        <v>0</v>
      </c>
      <c r="N35" s="5" t="s">
        <v>110</v>
      </c>
      <c r="O35" s="5" t="s">
        <v>28</v>
      </c>
      <c r="P35" s="5">
        <v>1</v>
      </c>
      <c r="Q35" s="5" t="s">
        <v>111</v>
      </c>
      <c r="R35" s="5" t="s">
        <v>30</v>
      </c>
      <c r="S35" s="5" t="s">
        <v>112</v>
      </c>
      <c r="T35" s="5"/>
      <c r="U35" s="5">
        <v>0</v>
      </c>
      <c r="V35" s="25"/>
      <c r="W35" s="5">
        <v>9</v>
      </c>
      <c r="X35" s="7">
        <f t="shared" si="27"/>
        <v>33</v>
      </c>
      <c r="Y35" s="22">
        <f t="shared" si="28"/>
        <v>15</v>
      </c>
      <c r="Z35" s="15">
        <f t="shared" si="29"/>
        <v>18</v>
      </c>
      <c r="AA35" s="19">
        <v>15</v>
      </c>
      <c r="AB35" s="19">
        <v>0</v>
      </c>
      <c r="AC35" s="19">
        <v>13</v>
      </c>
      <c r="AD35" s="19">
        <v>1</v>
      </c>
      <c r="AE35" s="19">
        <v>3</v>
      </c>
      <c r="AF35" s="19">
        <v>1</v>
      </c>
      <c r="AG35" s="36">
        <f t="shared" si="30"/>
        <v>7</v>
      </c>
      <c r="AH35" s="36">
        <f t="shared" si="31"/>
        <v>0</v>
      </c>
      <c r="AI35" s="36">
        <f t="shared" si="32"/>
        <v>9</v>
      </c>
      <c r="AJ35" s="36">
        <f t="shared" si="33"/>
        <v>1</v>
      </c>
      <c r="AK35" s="36">
        <f t="shared" si="34"/>
        <v>1</v>
      </c>
      <c r="AL35" s="36">
        <f t="shared" si="35"/>
        <v>4</v>
      </c>
      <c r="AM35" s="7">
        <v>22</v>
      </c>
      <c r="AN35" s="7">
        <v>0</v>
      </c>
      <c r="AO35" s="7">
        <v>22</v>
      </c>
      <c r="AP35" s="7">
        <v>2</v>
      </c>
      <c r="AQ35" s="7">
        <v>4</v>
      </c>
      <c r="AR35" s="7">
        <v>5</v>
      </c>
      <c r="AS35" s="22">
        <f t="shared" si="36"/>
        <v>33</v>
      </c>
      <c r="AT35" s="22">
        <f t="shared" si="37"/>
        <v>4.1899441340782122</v>
      </c>
      <c r="AU35" s="5">
        <f t="shared" si="12"/>
        <v>11</v>
      </c>
      <c r="AV35" s="5">
        <f t="shared" si="13"/>
        <v>3.0726256983240221</v>
      </c>
      <c r="AW35" s="5">
        <f t="shared" si="14"/>
        <v>17</v>
      </c>
      <c r="AX35" s="5">
        <f t="shared" si="15"/>
        <v>1.9553072625698324</v>
      </c>
      <c r="AY35" s="5">
        <f t="shared" si="20"/>
        <v>0</v>
      </c>
      <c r="AZ35" s="5">
        <f t="shared" si="16"/>
        <v>2.5139664804469275</v>
      </c>
      <c r="BA35" s="5">
        <f t="shared" si="17"/>
        <v>0.27932960893854747</v>
      </c>
      <c r="BB35" s="5">
        <f t="shared" si="18"/>
        <v>0.27932960893854747</v>
      </c>
      <c r="BC35" s="5">
        <f t="shared" si="19"/>
        <v>1.1173184357541899</v>
      </c>
      <c r="BD35" s="6"/>
      <c r="BE35" s="6"/>
      <c r="BF35" s="59"/>
      <c r="BG35" s="6"/>
      <c r="BH35" s="5"/>
      <c r="BI35" s="5"/>
      <c r="BJ35" s="5" t="s">
        <v>110</v>
      </c>
    </row>
    <row r="36" spans="1:62" ht="31">
      <c r="A36" s="2" t="s">
        <v>96</v>
      </c>
      <c r="B36" s="3" t="s">
        <v>32</v>
      </c>
      <c r="C36" s="3" t="s">
        <v>32</v>
      </c>
      <c r="D36" s="4">
        <v>79</v>
      </c>
      <c r="E36" s="4">
        <v>74</v>
      </c>
      <c r="F36" s="4">
        <v>2013</v>
      </c>
      <c r="G36" s="39">
        <v>71</v>
      </c>
      <c r="H36" s="28">
        <v>0</v>
      </c>
      <c r="I36" s="28">
        <v>2</v>
      </c>
      <c r="J36" s="5">
        <v>2020</v>
      </c>
      <c r="K36" s="5">
        <v>2024</v>
      </c>
      <c r="L36" s="5">
        <f t="shared" si="38"/>
        <v>3.58</v>
      </c>
      <c r="M36" s="5">
        <v>0</v>
      </c>
      <c r="N36" s="5" t="s">
        <v>113</v>
      </c>
      <c r="O36" s="5" t="s">
        <v>35</v>
      </c>
      <c r="P36" s="5">
        <v>0</v>
      </c>
      <c r="Q36" s="5"/>
      <c r="R36" s="5" t="s">
        <v>30</v>
      </c>
      <c r="S36" s="5" t="s">
        <v>114</v>
      </c>
      <c r="T36" s="5" t="s">
        <v>101</v>
      </c>
      <c r="U36" s="5">
        <v>0</v>
      </c>
      <c r="V36" s="25">
        <v>24</v>
      </c>
      <c r="W36" s="5">
        <v>8</v>
      </c>
      <c r="X36" s="7">
        <f t="shared" si="27"/>
        <v>14</v>
      </c>
      <c r="Y36" s="22">
        <f t="shared" si="28"/>
        <v>7</v>
      </c>
      <c r="Z36" s="15">
        <f t="shared" si="29"/>
        <v>7</v>
      </c>
      <c r="AA36" s="19">
        <v>1</v>
      </c>
      <c r="AB36" s="19">
        <v>0</v>
      </c>
      <c r="AC36" s="19">
        <v>7</v>
      </c>
      <c r="AD36" s="19">
        <v>0</v>
      </c>
      <c r="AE36" s="19">
        <v>0</v>
      </c>
      <c r="AF36" s="19">
        <v>0</v>
      </c>
      <c r="AG36" s="36">
        <f t="shared" si="30"/>
        <v>1</v>
      </c>
      <c r="AH36" s="36">
        <f t="shared" si="31"/>
        <v>0</v>
      </c>
      <c r="AI36" s="36">
        <f t="shared" si="32"/>
        <v>7</v>
      </c>
      <c r="AJ36" s="36">
        <f t="shared" si="33"/>
        <v>0</v>
      </c>
      <c r="AK36" s="36">
        <f t="shared" si="34"/>
        <v>0</v>
      </c>
      <c r="AL36" s="36">
        <f t="shared" si="35"/>
        <v>0</v>
      </c>
      <c r="AM36" s="7">
        <v>2</v>
      </c>
      <c r="AN36" s="7">
        <v>0</v>
      </c>
      <c r="AO36" s="7">
        <v>14</v>
      </c>
      <c r="AP36" s="7">
        <v>0</v>
      </c>
      <c r="AQ36" s="7">
        <v>0</v>
      </c>
      <c r="AR36" s="7">
        <v>0</v>
      </c>
      <c r="AS36" s="22">
        <f t="shared" si="36"/>
        <v>14</v>
      </c>
      <c r="AT36" s="22">
        <f t="shared" si="37"/>
        <v>1.9553072625698324</v>
      </c>
      <c r="AU36" s="5">
        <f t="shared" si="12"/>
        <v>7</v>
      </c>
      <c r="AV36" s="5">
        <f t="shared" si="13"/>
        <v>1.9553072625698324</v>
      </c>
      <c r="AW36" s="5">
        <f t="shared" si="14"/>
        <v>7</v>
      </c>
      <c r="AX36" s="5">
        <f t="shared" si="15"/>
        <v>0.27932960893854747</v>
      </c>
      <c r="AY36" s="5">
        <f t="shared" si="20"/>
        <v>0</v>
      </c>
      <c r="AZ36" s="5">
        <f t="shared" si="16"/>
        <v>1.9553072625698324</v>
      </c>
      <c r="BA36" s="5">
        <f t="shared" si="17"/>
        <v>0</v>
      </c>
      <c r="BB36" s="5">
        <f t="shared" si="18"/>
        <v>0</v>
      </c>
      <c r="BC36" s="5">
        <f t="shared" si="19"/>
        <v>0</v>
      </c>
      <c r="BD36" s="6"/>
      <c r="BE36" s="6"/>
      <c r="BF36" s="59"/>
      <c r="BG36" s="6"/>
      <c r="BH36" s="5"/>
      <c r="BI36" s="5"/>
      <c r="BJ36" s="5" t="s">
        <v>113</v>
      </c>
    </row>
    <row r="37" spans="1:62" ht="31">
      <c r="A37" s="2" t="s">
        <v>96</v>
      </c>
      <c r="B37" s="3" t="s">
        <v>32</v>
      </c>
      <c r="C37" s="3" t="s">
        <v>32</v>
      </c>
      <c r="D37" s="4">
        <v>79</v>
      </c>
      <c r="E37" s="4">
        <v>74</v>
      </c>
      <c r="F37" s="4">
        <v>2013</v>
      </c>
      <c r="G37" s="39">
        <v>71</v>
      </c>
      <c r="H37" s="28">
        <v>0</v>
      </c>
      <c r="I37" s="28">
        <v>2</v>
      </c>
      <c r="J37" s="5">
        <v>2020</v>
      </c>
      <c r="K37" s="5">
        <v>2024</v>
      </c>
      <c r="L37" s="5">
        <f t="shared" si="38"/>
        <v>3.58</v>
      </c>
      <c r="M37" s="5">
        <v>0</v>
      </c>
      <c r="N37" s="5" t="s">
        <v>115</v>
      </c>
      <c r="O37" s="5" t="s">
        <v>35</v>
      </c>
      <c r="P37" s="5">
        <v>0</v>
      </c>
      <c r="Q37" s="5"/>
      <c r="R37" s="5" t="s">
        <v>39</v>
      </c>
      <c r="S37" s="5" t="s">
        <v>116</v>
      </c>
      <c r="T37" s="5" t="s">
        <v>101</v>
      </c>
      <c r="U37" s="5">
        <v>0</v>
      </c>
      <c r="V37" s="25">
        <v>30</v>
      </c>
      <c r="W37" s="5">
        <v>3</v>
      </c>
      <c r="X37" s="7">
        <f t="shared" si="27"/>
        <v>10</v>
      </c>
      <c r="Y37" s="22">
        <f t="shared" si="28"/>
        <v>5</v>
      </c>
      <c r="Z37" s="15">
        <f t="shared" si="29"/>
        <v>5</v>
      </c>
      <c r="AA37" s="19">
        <v>4</v>
      </c>
      <c r="AB37" s="19">
        <v>0</v>
      </c>
      <c r="AC37" s="19">
        <v>3</v>
      </c>
      <c r="AD37" s="19">
        <v>1</v>
      </c>
      <c r="AE37" s="19">
        <v>0</v>
      </c>
      <c r="AF37" s="19">
        <v>1</v>
      </c>
      <c r="AG37" s="36">
        <f t="shared" si="30"/>
        <v>0</v>
      </c>
      <c r="AH37" s="36">
        <f t="shared" si="31"/>
        <v>0</v>
      </c>
      <c r="AI37" s="36">
        <f t="shared" si="32"/>
        <v>3</v>
      </c>
      <c r="AJ37" s="36">
        <f t="shared" si="33"/>
        <v>1</v>
      </c>
      <c r="AK37" s="36">
        <f t="shared" si="34"/>
        <v>1</v>
      </c>
      <c r="AL37" s="36">
        <f t="shared" si="35"/>
        <v>0</v>
      </c>
      <c r="AM37" s="7">
        <v>4</v>
      </c>
      <c r="AN37" s="7">
        <v>0</v>
      </c>
      <c r="AO37" s="7">
        <v>6</v>
      </c>
      <c r="AP37" s="7">
        <v>2</v>
      </c>
      <c r="AQ37" s="7">
        <v>1</v>
      </c>
      <c r="AR37" s="7">
        <v>1</v>
      </c>
      <c r="AS37" s="22">
        <f t="shared" si="36"/>
        <v>10</v>
      </c>
      <c r="AT37" s="22">
        <f t="shared" si="37"/>
        <v>1.3966480446927374</v>
      </c>
      <c r="AU37" s="5">
        <f t="shared" si="12"/>
        <v>5</v>
      </c>
      <c r="AV37" s="5">
        <f t="shared" si="13"/>
        <v>1.3966480446927374</v>
      </c>
      <c r="AW37" s="5">
        <f t="shared" si="14"/>
        <v>4</v>
      </c>
      <c r="AX37" s="5">
        <f t="shared" si="15"/>
        <v>0</v>
      </c>
      <c r="AY37" s="5">
        <f t="shared" si="20"/>
        <v>0</v>
      </c>
      <c r="AZ37" s="5">
        <f t="shared" si="16"/>
        <v>0.83798882681564246</v>
      </c>
      <c r="BA37" s="5">
        <f t="shared" si="17"/>
        <v>0.27932960893854747</v>
      </c>
      <c r="BB37" s="5">
        <f t="shared" si="18"/>
        <v>0.27932960893854747</v>
      </c>
      <c r="BC37" s="5">
        <f t="shared" si="19"/>
        <v>0</v>
      </c>
      <c r="BD37" s="6"/>
      <c r="BE37" s="6"/>
      <c r="BF37" s="59"/>
      <c r="BG37" s="6"/>
      <c r="BH37" s="5"/>
      <c r="BI37" s="5"/>
      <c r="BJ37" s="5" t="s">
        <v>115</v>
      </c>
    </row>
    <row r="38" spans="1:62" ht="31">
      <c r="A38" s="2" t="s">
        <v>96</v>
      </c>
      <c r="B38" s="3" t="s">
        <v>32</v>
      </c>
      <c r="C38" s="3" t="s">
        <v>32</v>
      </c>
      <c r="D38" s="4">
        <v>79</v>
      </c>
      <c r="E38" s="4">
        <v>74</v>
      </c>
      <c r="F38" s="4">
        <v>2013</v>
      </c>
      <c r="G38" s="39">
        <v>71</v>
      </c>
      <c r="H38" s="28">
        <v>0</v>
      </c>
      <c r="I38" s="28">
        <v>2</v>
      </c>
      <c r="J38" s="5">
        <v>2019</v>
      </c>
      <c r="K38" s="5">
        <v>2024</v>
      </c>
      <c r="L38" s="5">
        <f t="shared" si="38"/>
        <v>4.58</v>
      </c>
      <c r="M38" s="5">
        <v>0</v>
      </c>
      <c r="N38" s="5" t="s">
        <v>117</v>
      </c>
      <c r="O38" s="5" t="s">
        <v>35</v>
      </c>
      <c r="P38" s="5">
        <v>0</v>
      </c>
      <c r="Q38" s="5"/>
      <c r="R38" s="5" t="s">
        <v>30</v>
      </c>
      <c r="S38" s="5" t="s">
        <v>118</v>
      </c>
      <c r="T38" s="5" t="s">
        <v>84</v>
      </c>
      <c r="U38" s="5">
        <v>0</v>
      </c>
      <c r="V38" s="25">
        <v>56</v>
      </c>
      <c r="W38" s="5">
        <v>5</v>
      </c>
      <c r="X38" s="7">
        <f t="shared" si="27"/>
        <v>21</v>
      </c>
      <c r="Y38" s="22">
        <f t="shared" si="28"/>
        <v>21</v>
      </c>
      <c r="Z38" s="15">
        <f t="shared" si="29"/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36">
        <f t="shared" si="30"/>
        <v>9</v>
      </c>
      <c r="AH38" s="36">
        <f t="shared" si="31"/>
        <v>3</v>
      </c>
      <c r="AI38" s="36">
        <f t="shared" si="32"/>
        <v>9</v>
      </c>
      <c r="AJ38" s="36">
        <f t="shared" si="33"/>
        <v>3</v>
      </c>
      <c r="AK38" s="36">
        <f t="shared" si="34"/>
        <v>3</v>
      </c>
      <c r="AL38" s="36">
        <f t="shared" si="35"/>
        <v>3</v>
      </c>
      <c r="AM38" s="7">
        <v>9</v>
      </c>
      <c r="AN38" s="7">
        <v>3</v>
      </c>
      <c r="AO38" s="7">
        <v>9</v>
      </c>
      <c r="AP38" s="7">
        <v>3</v>
      </c>
      <c r="AQ38" s="7">
        <v>3</v>
      </c>
      <c r="AR38" s="7">
        <v>3</v>
      </c>
      <c r="AS38" s="22">
        <f t="shared" si="36"/>
        <v>21</v>
      </c>
      <c r="AT38" s="22">
        <f t="shared" si="37"/>
        <v>4.5851528384279474</v>
      </c>
      <c r="AU38" s="5">
        <f t="shared" si="12"/>
        <v>18</v>
      </c>
      <c r="AV38" s="5">
        <f t="shared" si="13"/>
        <v>3.9301310043668121</v>
      </c>
      <c r="AW38" s="5">
        <f t="shared" si="14"/>
        <v>0</v>
      </c>
      <c r="AX38" s="5">
        <f t="shared" si="15"/>
        <v>1.965065502183406</v>
      </c>
      <c r="AY38" s="5">
        <f t="shared" si="20"/>
        <v>0.65502183406113534</v>
      </c>
      <c r="AZ38" s="5">
        <f t="shared" si="16"/>
        <v>1.965065502183406</v>
      </c>
      <c r="BA38" s="5">
        <f t="shared" si="17"/>
        <v>0.65502183406113534</v>
      </c>
      <c r="BB38" s="5">
        <f t="shared" si="18"/>
        <v>0.65502183406113534</v>
      </c>
      <c r="BC38" s="5">
        <f t="shared" si="19"/>
        <v>0.65502183406113534</v>
      </c>
      <c r="BD38" s="6"/>
      <c r="BE38" s="6"/>
      <c r="BF38" s="59"/>
      <c r="BG38" s="6"/>
      <c r="BH38" s="5"/>
      <c r="BI38" s="5"/>
      <c r="BJ38" s="5" t="s">
        <v>117</v>
      </c>
    </row>
    <row r="39" spans="1:62" ht="31">
      <c r="A39" s="2" t="s">
        <v>96</v>
      </c>
      <c r="B39" s="3" t="s">
        <v>32</v>
      </c>
      <c r="C39" s="3" t="s">
        <v>32</v>
      </c>
      <c r="D39" s="4">
        <v>79</v>
      </c>
      <c r="E39" s="4">
        <v>74</v>
      </c>
      <c r="F39" s="4">
        <v>2013</v>
      </c>
      <c r="G39" s="39">
        <v>71</v>
      </c>
      <c r="H39" s="28">
        <v>0</v>
      </c>
      <c r="I39" s="28">
        <v>2</v>
      </c>
      <c r="J39" s="5">
        <v>2019</v>
      </c>
      <c r="K39" s="5">
        <v>2024</v>
      </c>
      <c r="L39" s="5">
        <f t="shared" si="38"/>
        <v>4.58</v>
      </c>
      <c r="M39" s="5">
        <v>0</v>
      </c>
      <c r="N39" s="5" t="s">
        <v>566</v>
      </c>
      <c r="O39" s="5" t="s">
        <v>35</v>
      </c>
      <c r="P39" s="5">
        <v>1</v>
      </c>
      <c r="Q39" s="5" t="s">
        <v>119</v>
      </c>
      <c r="R39" s="5" t="s">
        <v>30</v>
      </c>
      <c r="S39" s="5" t="s">
        <v>120</v>
      </c>
      <c r="T39" s="5"/>
      <c r="U39" s="5">
        <v>0</v>
      </c>
      <c r="V39" s="25"/>
      <c r="W39" s="5">
        <v>5</v>
      </c>
      <c r="X39" s="7">
        <f t="shared" si="27"/>
        <v>13</v>
      </c>
      <c r="Y39" s="22">
        <f t="shared" si="28"/>
        <v>8</v>
      </c>
      <c r="Z39" s="15">
        <f t="shared" si="29"/>
        <v>5</v>
      </c>
      <c r="AA39" s="19">
        <v>0</v>
      </c>
      <c r="AB39" s="19">
        <v>0</v>
      </c>
      <c r="AC39" s="19">
        <v>1</v>
      </c>
      <c r="AD39" s="19">
        <v>2</v>
      </c>
      <c r="AE39" s="19">
        <v>1</v>
      </c>
      <c r="AF39" s="19">
        <v>1</v>
      </c>
      <c r="AG39" s="36">
        <f t="shared" si="30"/>
        <v>3</v>
      </c>
      <c r="AH39" s="36">
        <f t="shared" si="31"/>
        <v>0</v>
      </c>
      <c r="AI39" s="36">
        <f t="shared" si="32"/>
        <v>6</v>
      </c>
      <c r="AJ39" s="36">
        <f t="shared" si="33"/>
        <v>0</v>
      </c>
      <c r="AK39" s="36">
        <f t="shared" si="34"/>
        <v>0</v>
      </c>
      <c r="AL39" s="36">
        <f t="shared" si="35"/>
        <v>2</v>
      </c>
      <c r="AM39" s="7">
        <v>3</v>
      </c>
      <c r="AN39" s="7">
        <v>0</v>
      </c>
      <c r="AO39" s="7">
        <v>7</v>
      </c>
      <c r="AP39" s="7">
        <v>2</v>
      </c>
      <c r="AQ39" s="7">
        <v>1</v>
      </c>
      <c r="AR39" s="7">
        <v>3</v>
      </c>
      <c r="AS39" s="22">
        <f t="shared" si="36"/>
        <v>13</v>
      </c>
      <c r="AT39" s="22">
        <f t="shared" si="37"/>
        <v>1.7467248908296944</v>
      </c>
      <c r="AU39" s="5">
        <f t="shared" si="12"/>
        <v>6</v>
      </c>
      <c r="AV39" s="5">
        <f t="shared" si="13"/>
        <v>1.3100436681222707</v>
      </c>
      <c r="AW39" s="5">
        <f t="shared" si="14"/>
        <v>4</v>
      </c>
      <c r="AX39" s="5">
        <f t="shared" si="15"/>
        <v>0.65502183406113534</v>
      </c>
      <c r="AY39" s="5">
        <f t="shared" si="20"/>
        <v>0</v>
      </c>
      <c r="AZ39" s="5">
        <f t="shared" si="16"/>
        <v>1.3100436681222707</v>
      </c>
      <c r="BA39" s="5">
        <f t="shared" si="17"/>
        <v>0</v>
      </c>
      <c r="BB39" s="5">
        <f t="shared" si="18"/>
        <v>0</v>
      </c>
      <c r="BC39" s="5">
        <f t="shared" si="19"/>
        <v>0.4366812227074236</v>
      </c>
      <c r="BD39" s="6"/>
      <c r="BE39" s="6"/>
      <c r="BF39" s="59"/>
      <c r="BG39" s="6"/>
      <c r="BH39" s="5"/>
      <c r="BI39" s="5"/>
      <c r="BJ39" s="5" t="s">
        <v>566</v>
      </c>
    </row>
    <row r="40" spans="1:62" ht="31">
      <c r="A40" s="2" t="s">
        <v>96</v>
      </c>
      <c r="B40" s="3" t="s">
        <v>32</v>
      </c>
      <c r="C40" s="3" t="s">
        <v>32</v>
      </c>
      <c r="D40" s="4">
        <v>79</v>
      </c>
      <c r="E40" s="4">
        <v>74</v>
      </c>
      <c r="F40" s="4">
        <v>2013</v>
      </c>
      <c r="G40" s="39">
        <v>71</v>
      </c>
      <c r="H40" s="28">
        <v>0</v>
      </c>
      <c r="I40" s="28">
        <v>2</v>
      </c>
      <c r="J40" s="5">
        <v>2019</v>
      </c>
      <c r="K40" s="5">
        <v>2024</v>
      </c>
      <c r="L40" s="5">
        <f t="shared" si="38"/>
        <v>4.58</v>
      </c>
      <c r="M40" s="5">
        <v>0</v>
      </c>
      <c r="N40" s="5" t="s">
        <v>121</v>
      </c>
      <c r="O40" s="5" t="s">
        <v>35</v>
      </c>
      <c r="P40" s="5">
        <v>0</v>
      </c>
      <c r="Q40" s="5"/>
      <c r="R40" s="5" t="s">
        <v>30</v>
      </c>
      <c r="S40" s="5" t="s">
        <v>102</v>
      </c>
      <c r="T40" s="5" t="s">
        <v>101</v>
      </c>
      <c r="U40" s="5">
        <v>0</v>
      </c>
      <c r="V40" s="25">
        <v>24</v>
      </c>
      <c r="W40" s="5">
        <v>9</v>
      </c>
      <c r="X40" s="7">
        <f t="shared" si="27"/>
        <v>22</v>
      </c>
      <c r="Y40" s="22">
        <f t="shared" si="28"/>
        <v>16</v>
      </c>
      <c r="Z40" s="15">
        <f t="shared" si="29"/>
        <v>6</v>
      </c>
      <c r="AA40" s="19">
        <v>1</v>
      </c>
      <c r="AB40" s="19">
        <v>0</v>
      </c>
      <c r="AC40" s="19">
        <v>5</v>
      </c>
      <c r="AD40" s="19">
        <v>0</v>
      </c>
      <c r="AE40" s="19">
        <v>1</v>
      </c>
      <c r="AF40" s="19">
        <v>0</v>
      </c>
      <c r="AG40" s="36">
        <f t="shared" si="30"/>
        <v>5</v>
      </c>
      <c r="AH40" s="36">
        <f t="shared" si="31"/>
        <v>1</v>
      </c>
      <c r="AI40" s="36">
        <f t="shared" si="32"/>
        <v>10</v>
      </c>
      <c r="AJ40" s="36">
        <f t="shared" si="33"/>
        <v>3</v>
      </c>
      <c r="AK40" s="36">
        <f t="shared" si="34"/>
        <v>0</v>
      </c>
      <c r="AL40" s="36">
        <f t="shared" si="35"/>
        <v>2</v>
      </c>
      <c r="AM40" s="7">
        <v>6</v>
      </c>
      <c r="AN40" s="7">
        <v>1</v>
      </c>
      <c r="AO40" s="7">
        <v>15</v>
      </c>
      <c r="AP40" s="7">
        <v>3</v>
      </c>
      <c r="AQ40" s="7">
        <v>1</v>
      </c>
      <c r="AR40" s="7">
        <v>2</v>
      </c>
      <c r="AS40" s="22">
        <f t="shared" si="36"/>
        <v>22</v>
      </c>
      <c r="AT40" s="22">
        <f t="shared" si="37"/>
        <v>3.4934497816593888</v>
      </c>
      <c r="AU40" s="5">
        <f t="shared" si="12"/>
        <v>14</v>
      </c>
      <c r="AV40" s="5">
        <f t="shared" si="13"/>
        <v>3.0567685589519651</v>
      </c>
      <c r="AW40" s="5">
        <f t="shared" si="14"/>
        <v>6</v>
      </c>
      <c r="AX40" s="5">
        <f t="shared" si="15"/>
        <v>1.0917030567685588</v>
      </c>
      <c r="AY40" s="5">
        <f t="shared" si="20"/>
        <v>0.2183406113537118</v>
      </c>
      <c r="AZ40" s="5">
        <f t="shared" si="16"/>
        <v>2.1834061135371177</v>
      </c>
      <c r="BA40" s="5">
        <f t="shared" si="17"/>
        <v>0.65502183406113534</v>
      </c>
      <c r="BB40" s="5">
        <f t="shared" si="18"/>
        <v>0</v>
      </c>
      <c r="BC40" s="5">
        <f t="shared" si="19"/>
        <v>0.4366812227074236</v>
      </c>
      <c r="BD40" s="6"/>
      <c r="BE40" s="6"/>
      <c r="BF40" s="59"/>
      <c r="BG40" s="6"/>
      <c r="BH40" s="5"/>
      <c r="BI40" s="5"/>
      <c r="BJ40" s="5" t="s">
        <v>121</v>
      </c>
    </row>
    <row r="41" spans="1:62" ht="31">
      <c r="A41" s="2" t="s">
        <v>96</v>
      </c>
      <c r="B41" s="3" t="s">
        <v>32</v>
      </c>
      <c r="C41" s="3" t="s">
        <v>32</v>
      </c>
      <c r="D41" s="4">
        <v>79</v>
      </c>
      <c r="E41" s="4">
        <v>74</v>
      </c>
      <c r="F41" s="4">
        <v>2013</v>
      </c>
      <c r="G41" s="39">
        <v>71</v>
      </c>
      <c r="H41" s="28">
        <v>0</v>
      </c>
      <c r="I41" s="28">
        <v>2</v>
      </c>
      <c r="J41" s="5">
        <v>2018</v>
      </c>
      <c r="K41" s="5">
        <v>2024</v>
      </c>
      <c r="L41" s="5">
        <f t="shared" si="38"/>
        <v>5.58</v>
      </c>
      <c r="M41" s="5">
        <v>0</v>
      </c>
      <c r="N41" s="5" t="s">
        <v>122</v>
      </c>
      <c r="O41" s="5" t="s">
        <v>35</v>
      </c>
      <c r="P41" s="5">
        <v>1</v>
      </c>
      <c r="Q41" s="5" t="s">
        <v>123</v>
      </c>
      <c r="R41" s="5" t="s">
        <v>54</v>
      </c>
      <c r="S41" s="5" t="s">
        <v>124</v>
      </c>
      <c r="T41" s="5"/>
      <c r="U41" s="5">
        <v>0</v>
      </c>
      <c r="V41" s="25"/>
      <c r="W41" s="5">
        <v>12</v>
      </c>
      <c r="X41" s="7">
        <f t="shared" si="27"/>
        <v>18</v>
      </c>
      <c r="Y41" s="22">
        <f t="shared" si="28"/>
        <v>2</v>
      </c>
      <c r="Z41" s="15">
        <f t="shared" si="29"/>
        <v>16</v>
      </c>
      <c r="AA41" s="19">
        <v>2</v>
      </c>
      <c r="AB41" s="19">
        <v>11</v>
      </c>
      <c r="AC41" s="19">
        <v>1</v>
      </c>
      <c r="AD41" s="19">
        <v>0</v>
      </c>
      <c r="AE41" s="19">
        <v>3</v>
      </c>
      <c r="AF41" s="19">
        <v>1</v>
      </c>
      <c r="AG41" s="36">
        <f t="shared" si="30"/>
        <v>0</v>
      </c>
      <c r="AH41" s="36">
        <f t="shared" si="31"/>
        <v>2</v>
      </c>
      <c r="AI41" s="36">
        <f t="shared" si="32"/>
        <v>0</v>
      </c>
      <c r="AJ41" s="36">
        <f t="shared" si="33"/>
        <v>0</v>
      </c>
      <c r="AK41" s="36">
        <f t="shared" si="34"/>
        <v>0</v>
      </c>
      <c r="AL41" s="36">
        <f t="shared" si="35"/>
        <v>0</v>
      </c>
      <c r="AM41" s="7">
        <v>2</v>
      </c>
      <c r="AN41" s="7">
        <v>13</v>
      </c>
      <c r="AO41" s="7">
        <v>1</v>
      </c>
      <c r="AP41" s="7">
        <v>0</v>
      </c>
      <c r="AQ41" s="7">
        <v>3</v>
      </c>
      <c r="AR41" s="7">
        <v>1</v>
      </c>
      <c r="AS41" s="22">
        <f t="shared" si="36"/>
        <v>18</v>
      </c>
      <c r="AT41" s="22">
        <f t="shared" si="37"/>
        <v>0.35842293906810035</v>
      </c>
      <c r="AU41" s="5">
        <f t="shared" si="12"/>
        <v>2</v>
      </c>
      <c r="AV41" s="5">
        <f t="shared" si="13"/>
        <v>0.35842293906810035</v>
      </c>
      <c r="AW41" s="5">
        <f t="shared" si="14"/>
        <v>15</v>
      </c>
      <c r="AX41" s="5">
        <f t="shared" si="15"/>
        <v>0</v>
      </c>
      <c r="AY41" s="5">
        <f t="shared" si="20"/>
        <v>0.35842293906810035</v>
      </c>
      <c r="AZ41" s="5">
        <f t="shared" si="16"/>
        <v>0</v>
      </c>
      <c r="BA41" s="5">
        <f t="shared" si="17"/>
        <v>0</v>
      </c>
      <c r="BB41" s="5">
        <f t="shared" si="18"/>
        <v>0</v>
      </c>
      <c r="BC41" s="5">
        <f t="shared" si="19"/>
        <v>0</v>
      </c>
      <c r="BD41" s="6"/>
      <c r="BE41" s="6"/>
      <c r="BF41" s="59"/>
      <c r="BG41" s="6"/>
      <c r="BH41" s="5"/>
      <c r="BI41" s="5"/>
      <c r="BJ41" s="5" t="s">
        <v>122</v>
      </c>
    </row>
    <row r="42" spans="1:62" ht="31">
      <c r="A42" s="2" t="s">
        <v>96</v>
      </c>
      <c r="B42" s="3" t="s">
        <v>32</v>
      </c>
      <c r="C42" s="3" t="s">
        <v>32</v>
      </c>
      <c r="D42" s="4">
        <v>79</v>
      </c>
      <c r="E42" s="4">
        <v>74</v>
      </c>
      <c r="F42" s="4">
        <v>2013</v>
      </c>
      <c r="G42" s="39">
        <v>71</v>
      </c>
      <c r="H42" s="28">
        <v>0</v>
      </c>
      <c r="I42" s="28">
        <v>2</v>
      </c>
      <c r="J42" s="5">
        <v>2018</v>
      </c>
      <c r="K42" s="5">
        <v>2024</v>
      </c>
      <c r="L42" s="5">
        <f t="shared" si="38"/>
        <v>5.58</v>
      </c>
      <c r="M42" s="5">
        <v>0</v>
      </c>
      <c r="N42" s="5" t="s">
        <v>125</v>
      </c>
      <c r="O42" s="5" t="s">
        <v>35</v>
      </c>
      <c r="P42" s="5">
        <v>0</v>
      </c>
      <c r="Q42" s="5"/>
      <c r="R42" s="5" t="s">
        <v>54</v>
      </c>
      <c r="S42" s="5" t="s">
        <v>102</v>
      </c>
      <c r="T42" s="5" t="s">
        <v>101</v>
      </c>
      <c r="U42" s="5">
        <v>0</v>
      </c>
      <c r="V42" s="25">
        <v>24</v>
      </c>
      <c r="W42" s="5">
        <v>14</v>
      </c>
      <c r="X42" s="7">
        <f t="shared" si="27"/>
        <v>30</v>
      </c>
      <c r="Y42" s="22">
        <f t="shared" si="28"/>
        <v>10</v>
      </c>
      <c r="Z42" s="15">
        <f t="shared" si="29"/>
        <v>20</v>
      </c>
      <c r="AA42" s="19">
        <v>4</v>
      </c>
      <c r="AB42" s="19">
        <v>7</v>
      </c>
      <c r="AC42" s="19">
        <v>12</v>
      </c>
      <c r="AD42" s="19">
        <v>0</v>
      </c>
      <c r="AE42" s="19">
        <v>1</v>
      </c>
      <c r="AF42" s="19">
        <v>0</v>
      </c>
      <c r="AG42" s="36">
        <f t="shared" si="30"/>
        <v>2</v>
      </c>
      <c r="AH42" s="36">
        <f t="shared" si="31"/>
        <v>2</v>
      </c>
      <c r="AI42" s="36">
        <f t="shared" si="32"/>
        <v>5</v>
      </c>
      <c r="AJ42" s="36">
        <f t="shared" si="33"/>
        <v>0</v>
      </c>
      <c r="AK42" s="36">
        <f t="shared" si="34"/>
        <v>2</v>
      </c>
      <c r="AL42" s="36">
        <f t="shared" si="35"/>
        <v>1</v>
      </c>
      <c r="AM42" s="7">
        <v>6</v>
      </c>
      <c r="AN42" s="7">
        <v>9</v>
      </c>
      <c r="AO42" s="7">
        <v>17</v>
      </c>
      <c r="AP42" s="7">
        <v>0</v>
      </c>
      <c r="AQ42" s="7">
        <v>3</v>
      </c>
      <c r="AR42" s="7">
        <v>1</v>
      </c>
      <c r="AS42" s="22">
        <f t="shared" si="36"/>
        <v>30</v>
      </c>
      <c r="AT42" s="22">
        <f t="shared" si="37"/>
        <v>1.7921146953405018</v>
      </c>
      <c r="AU42" s="5">
        <f t="shared" si="12"/>
        <v>9</v>
      </c>
      <c r="AV42" s="5">
        <f t="shared" si="13"/>
        <v>1.6129032258064515</v>
      </c>
      <c r="AW42" s="5">
        <f t="shared" si="14"/>
        <v>20</v>
      </c>
      <c r="AX42" s="5">
        <f t="shared" si="15"/>
        <v>0.35842293906810035</v>
      </c>
      <c r="AY42" s="5">
        <f t="shared" si="20"/>
        <v>0.35842293906810035</v>
      </c>
      <c r="AZ42" s="5">
        <f t="shared" si="16"/>
        <v>0.89605734767025091</v>
      </c>
      <c r="BA42" s="5">
        <f t="shared" si="17"/>
        <v>0</v>
      </c>
      <c r="BB42" s="5">
        <f t="shared" si="18"/>
        <v>0.35842293906810035</v>
      </c>
      <c r="BC42" s="5">
        <f t="shared" si="19"/>
        <v>0.17921146953405018</v>
      </c>
      <c r="BD42" s="6"/>
      <c r="BE42" s="6"/>
      <c r="BF42" s="59"/>
      <c r="BG42" s="6"/>
      <c r="BH42" s="5"/>
      <c r="BI42" s="5"/>
      <c r="BJ42" s="5" t="s">
        <v>125</v>
      </c>
    </row>
    <row r="43" spans="1:62" ht="31">
      <c r="A43" s="2" t="s">
        <v>96</v>
      </c>
      <c r="B43" s="3" t="s">
        <v>32</v>
      </c>
      <c r="C43" s="3" t="s">
        <v>32</v>
      </c>
      <c r="D43" s="4">
        <v>79</v>
      </c>
      <c r="E43" s="4">
        <v>74</v>
      </c>
      <c r="F43" s="4">
        <v>2013</v>
      </c>
      <c r="G43" s="39">
        <v>71</v>
      </c>
      <c r="H43" s="28">
        <v>0</v>
      </c>
      <c r="I43" s="28">
        <v>2</v>
      </c>
      <c r="J43" s="5">
        <v>2018</v>
      </c>
      <c r="K43" s="5">
        <v>2024</v>
      </c>
      <c r="L43" s="5">
        <f t="shared" si="38"/>
        <v>5.58</v>
      </c>
      <c r="M43" s="5">
        <v>0</v>
      </c>
      <c r="N43" s="5" t="s">
        <v>126</v>
      </c>
      <c r="O43" s="5" t="s">
        <v>35</v>
      </c>
      <c r="P43" s="5">
        <v>0</v>
      </c>
      <c r="Q43" s="5"/>
      <c r="R43" s="5" t="s">
        <v>39</v>
      </c>
      <c r="S43" s="5" t="s">
        <v>127</v>
      </c>
      <c r="T43" s="5" t="s">
        <v>84</v>
      </c>
      <c r="U43" s="5">
        <v>0</v>
      </c>
      <c r="V43" s="25" t="s">
        <v>107</v>
      </c>
      <c r="W43" s="5">
        <v>6</v>
      </c>
      <c r="X43" s="7">
        <f t="shared" si="27"/>
        <v>15</v>
      </c>
      <c r="Y43" s="22">
        <f t="shared" si="28"/>
        <v>10</v>
      </c>
      <c r="Z43" s="15">
        <f t="shared" si="29"/>
        <v>5</v>
      </c>
      <c r="AA43" s="19">
        <v>1</v>
      </c>
      <c r="AB43" s="19">
        <v>0</v>
      </c>
      <c r="AC43" s="19">
        <v>5</v>
      </c>
      <c r="AD43" s="19">
        <v>0</v>
      </c>
      <c r="AE43" s="19">
        <v>0</v>
      </c>
      <c r="AF43" s="19">
        <v>0</v>
      </c>
      <c r="AG43" s="36">
        <f t="shared" si="30"/>
        <v>2</v>
      </c>
      <c r="AH43" s="36">
        <f t="shared" si="31"/>
        <v>0</v>
      </c>
      <c r="AI43" s="36">
        <f t="shared" si="32"/>
        <v>5</v>
      </c>
      <c r="AJ43" s="36">
        <f t="shared" si="33"/>
        <v>0</v>
      </c>
      <c r="AK43" s="36">
        <f t="shared" si="34"/>
        <v>3</v>
      </c>
      <c r="AL43" s="36">
        <f t="shared" si="35"/>
        <v>2</v>
      </c>
      <c r="AM43" s="7">
        <v>3</v>
      </c>
      <c r="AN43" s="7">
        <v>0</v>
      </c>
      <c r="AO43" s="7">
        <v>10</v>
      </c>
      <c r="AP43" s="7">
        <v>0</v>
      </c>
      <c r="AQ43" s="7">
        <v>3</v>
      </c>
      <c r="AR43" s="7">
        <v>2</v>
      </c>
      <c r="AS43" s="22">
        <f t="shared" si="36"/>
        <v>15</v>
      </c>
      <c r="AT43" s="22">
        <f t="shared" si="37"/>
        <v>1.7921146953405018</v>
      </c>
      <c r="AU43" s="5">
        <f t="shared" si="12"/>
        <v>8</v>
      </c>
      <c r="AV43" s="5">
        <f t="shared" si="13"/>
        <v>1.4336917562724014</v>
      </c>
      <c r="AW43" s="5">
        <f t="shared" si="14"/>
        <v>5</v>
      </c>
      <c r="AX43" s="5">
        <f t="shared" si="15"/>
        <v>0.35842293906810035</v>
      </c>
      <c r="AY43" s="5">
        <f t="shared" si="20"/>
        <v>0</v>
      </c>
      <c r="AZ43" s="5">
        <f t="shared" si="16"/>
        <v>0.89605734767025091</v>
      </c>
      <c r="BA43" s="5">
        <f t="shared" si="17"/>
        <v>0</v>
      </c>
      <c r="BB43" s="5">
        <f t="shared" si="18"/>
        <v>0.5376344086021505</v>
      </c>
      <c r="BC43" s="5">
        <f t="shared" si="19"/>
        <v>0.35842293906810035</v>
      </c>
      <c r="BD43" s="6"/>
      <c r="BE43" s="6"/>
      <c r="BF43" s="59"/>
      <c r="BG43" s="6"/>
      <c r="BH43" s="5"/>
      <c r="BI43" s="5"/>
      <c r="BJ43" s="5" t="s">
        <v>126</v>
      </c>
    </row>
    <row r="44" spans="1:62" ht="31">
      <c r="A44" s="2" t="s">
        <v>96</v>
      </c>
      <c r="B44" s="3" t="s">
        <v>32</v>
      </c>
      <c r="C44" s="3" t="s">
        <v>32</v>
      </c>
      <c r="D44" s="4">
        <v>79</v>
      </c>
      <c r="E44" s="4">
        <v>74</v>
      </c>
      <c r="F44" s="4">
        <v>2013</v>
      </c>
      <c r="G44" s="39">
        <v>71</v>
      </c>
      <c r="H44" s="28">
        <v>0</v>
      </c>
      <c r="I44" s="28">
        <v>2</v>
      </c>
      <c r="J44" s="5">
        <v>2017</v>
      </c>
      <c r="K44" s="5">
        <v>2023</v>
      </c>
      <c r="L44" s="5">
        <v>6</v>
      </c>
      <c r="M44" s="5">
        <v>1</v>
      </c>
      <c r="N44" s="5" t="s">
        <v>128</v>
      </c>
      <c r="O44" s="5" t="s">
        <v>35</v>
      </c>
      <c r="P44" s="5">
        <v>0</v>
      </c>
      <c r="Q44" s="5"/>
      <c r="R44" s="5" t="s">
        <v>39</v>
      </c>
      <c r="S44" s="5" t="s">
        <v>114</v>
      </c>
      <c r="T44" s="5" t="s">
        <v>101</v>
      </c>
      <c r="U44" s="5">
        <v>0</v>
      </c>
      <c r="V44" s="25">
        <v>24</v>
      </c>
      <c r="W44" s="5">
        <v>1</v>
      </c>
      <c r="X44" s="7">
        <f t="shared" si="27"/>
        <v>3</v>
      </c>
      <c r="Y44" s="22">
        <f t="shared" si="28"/>
        <v>0</v>
      </c>
      <c r="Z44" s="15">
        <f t="shared" si="29"/>
        <v>3</v>
      </c>
      <c r="AA44" s="19">
        <v>2</v>
      </c>
      <c r="AB44" s="19">
        <v>1</v>
      </c>
      <c r="AC44" s="19">
        <v>1</v>
      </c>
      <c r="AD44" s="19">
        <v>0</v>
      </c>
      <c r="AE44" s="19">
        <v>0</v>
      </c>
      <c r="AF44" s="19">
        <v>1</v>
      </c>
      <c r="AG44" s="36">
        <f>AM44-AA44</f>
        <v>0</v>
      </c>
      <c r="AH44" s="36">
        <f>AN44-AB44</f>
        <v>0</v>
      </c>
      <c r="AI44" s="36">
        <f>AO44-AC44</f>
        <v>0</v>
      </c>
      <c r="AJ44" s="36">
        <f t="shared" ref="AJ44:AL90" si="39">AP44-AD44</f>
        <v>0</v>
      </c>
      <c r="AK44" s="36">
        <f t="shared" si="39"/>
        <v>0</v>
      </c>
      <c r="AL44" s="36">
        <f t="shared" si="39"/>
        <v>0</v>
      </c>
      <c r="AM44" s="7">
        <v>2</v>
      </c>
      <c r="AN44" s="7">
        <v>1</v>
      </c>
      <c r="AO44" s="7">
        <v>1</v>
      </c>
      <c r="AP44" s="7">
        <v>0</v>
      </c>
      <c r="AQ44" s="7">
        <v>0</v>
      </c>
      <c r="AR44" s="7">
        <v>1</v>
      </c>
      <c r="AS44" s="22">
        <f t="shared" si="36"/>
        <v>3</v>
      </c>
      <c r="AT44" s="22">
        <f t="shared" si="37"/>
        <v>0</v>
      </c>
      <c r="AU44" s="5">
        <f t="shared" si="12"/>
        <v>0</v>
      </c>
      <c r="AV44" s="5">
        <f t="shared" si="13"/>
        <v>0</v>
      </c>
      <c r="AW44" s="5">
        <f t="shared" si="14"/>
        <v>2</v>
      </c>
      <c r="AX44" s="5">
        <f t="shared" si="15"/>
        <v>0</v>
      </c>
      <c r="AY44" s="5">
        <f t="shared" si="20"/>
        <v>0</v>
      </c>
      <c r="AZ44" s="5">
        <f t="shared" si="16"/>
        <v>0</v>
      </c>
      <c r="BA44" s="5">
        <f t="shared" si="17"/>
        <v>0</v>
      </c>
      <c r="BB44" s="5">
        <f t="shared" si="18"/>
        <v>0</v>
      </c>
      <c r="BC44" s="5">
        <f t="shared" si="19"/>
        <v>0</v>
      </c>
      <c r="BD44" s="6"/>
      <c r="BE44" s="6"/>
      <c r="BF44" s="59">
        <v>0</v>
      </c>
      <c r="BG44" s="6" t="s">
        <v>713</v>
      </c>
      <c r="BH44" s="5"/>
      <c r="BI44" s="5"/>
      <c r="BJ44" s="5" t="s">
        <v>128</v>
      </c>
    </row>
    <row r="45" spans="1:62" ht="31">
      <c r="A45" s="2" t="s">
        <v>96</v>
      </c>
      <c r="B45" s="3" t="s">
        <v>32</v>
      </c>
      <c r="C45" s="3" t="s">
        <v>32</v>
      </c>
      <c r="D45" s="4">
        <v>79</v>
      </c>
      <c r="E45" s="4">
        <v>74</v>
      </c>
      <c r="F45" s="4">
        <v>2013</v>
      </c>
      <c r="G45" s="39">
        <v>71</v>
      </c>
      <c r="H45" s="28">
        <v>0</v>
      </c>
      <c r="I45" s="28">
        <v>2</v>
      </c>
      <c r="J45" s="5">
        <v>2017</v>
      </c>
      <c r="K45" s="5">
        <v>2023</v>
      </c>
      <c r="L45" s="5">
        <v>6</v>
      </c>
      <c r="M45" s="5">
        <v>1</v>
      </c>
      <c r="N45" s="5" t="s">
        <v>129</v>
      </c>
      <c r="O45" s="5" t="s">
        <v>35</v>
      </c>
      <c r="P45" s="5">
        <v>0</v>
      </c>
      <c r="Q45" s="5"/>
      <c r="R45" s="5" t="s">
        <v>30</v>
      </c>
      <c r="S45" s="5" t="s">
        <v>130</v>
      </c>
      <c r="T45" s="5" t="s">
        <v>47</v>
      </c>
      <c r="U45" s="5">
        <v>0</v>
      </c>
      <c r="V45" s="25">
        <v>17</v>
      </c>
      <c r="W45" s="5">
        <v>6</v>
      </c>
      <c r="X45" s="7">
        <f t="shared" si="27"/>
        <v>15</v>
      </c>
      <c r="Y45" s="22">
        <f t="shared" si="28"/>
        <v>11</v>
      </c>
      <c r="Z45" s="15">
        <f t="shared" si="29"/>
        <v>4</v>
      </c>
      <c r="AA45" s="19">
        <v>0</v>
      </c>
      <c r="AB45" s="19">
        <v>2</v>
      </c>
      <c r="AC45" s="19">
        <v>2</v>
      </c>
      <c r="AD45" s="19">
        <v>0</v>
      </c>
      <c r="AE45" s="19">
        <v>0</v>
      </c>
      <c r="AF45" s="19">
        <v>0</v>
      </c>
      <c r="AG45" s="36">
        <f t="shared" ref="AG45:AL91" si="40">AM45-AA45</f>
        <v>4</v>
      </c>
      <c r="AH45" s="36">
        <f t="shared" si="40"/>
        <v>0</v>
      </c>
      <c r="AI45" s="36">
        <f t="shared" si="40"/>
        <v>6</v>
      </c>
      <c r="AJ45" s="36">
        <f t="shared" si="39"/>
        <v>1</v>
      </c>
      <c r="AK45" s="36">
        <f t="shared" si="39"/>
        <v>3</v>
      </c>
      <c r="AL45" s="36">
        <f t="shared" si="39"/>
        <v>1</v>
      </c>
      <c r="AM45" s="7">
        <v>4</v>
      </c>
      <c r="AN45" s="7">
        <v>2</v>
      </c>
      <c r="AO45" s="7">
        <v>8</v>
      </c>
      <c r="AP45" s="7">
        <v>1</v>
      </c>
      <c r="AQ45" s="7">
        <v>3</v>
      </c>
      <c r="AR45" s="7">
        <v>1</v>
      </c>
      <c r="AS45" s="22">
        <f t="shared" si="36"/>
        <v>15</v>
      </c>
      <c r="AT45" s="22">
        <f t="shared" si="37"/>
        <v>1.8333333333333333</v>
      </c>
      <c r="AU45" s="5">
        <f t="shared" si="12"/>
        <v>10</v>
      </c>
      <c r="AV45" s="5">
        <f t="shared" si="13"/>
        <v>1.6666666666666667</v>
      </c>
      <c r="AW45" s="5">
        <f t="shared" si="14"/>
        <v>4</v>
      </c>
      <c r="AX45" s="5">
        <f t="shared" si="15"/>
        <v>0.66666666666666663</v>
      </c>
      <c r="AY45" s="5">
        <f t="shared" si="20"/>
        <v>0</v>
      </c>
      <c r="AZ45" s="5">
        <f t="shared" si="16"/>
        <v>1</v>
      </c>
      <c r="BA45" s="5">
        <f t="shared" si="17"/>
        <v>0.16666666666666666</v>
      </c>
      <c r="BB45" s="5">
        <f t="shared" si="18"/>
        <v>0.5</v>
      </c>
      <c r="BC45" s="5">
        <f t="shared" si="19"/>
        <v>0.16666666666666666</v>
      </c>
      <c r="BD45" s="6">
        <v>1</v>
      </c>
      <c r="BE45" s="6"/>
      <c r="BF45" s="59">
        <v>1</v>
      </c>
      <c r="BG45" s="6" t="s">
        <v>714</v>
      </c>
      <c r="BH45" s="5"/>
      <c r="BI45" s="5"/>
      <c r="BJ45" s="5" t="s">
        <v>129</v>
      </c>
    </row>
    <row r="46" spans="1:62" ht="31">
      <c r="A46" s="2" t="s">
        <v>96</v>
      </c>
      <c r="B46" s="3" t="s">
        <v>32</v>
      </c>
      <c r="C46" s="3" t="s">
        <v>32</v>
      </c>
      <c r="D46" s="4">
        <v>79</v>
      </c>
      <c r="E46" s="4">
        <v>74</v>
      </c>
      <c r="F46" s="4">
        <v>2013</v>
      </c>
      <c r="G46" s="39">
        <v>71</v>
      </c>
      <c r="H46" s="28">
        <v>0</v>
      </c>
      <c r="I46" s="28">
        <v>2</v>
      </c>
      <c r="J46" s="5">
        <v>2016</v>
      </c>
      <c r="K46" s="5">
        <v>2022</v>
      </c>
      <c r="L46" s="5">
        <v>6</v>
      </c>
      <c r="M46" s="5">
        <v>1</v>
      </c>
      <c r="N46" s="46" t="s">
        <v>634</v>
      </c>
      <c r="O46" s="5" t="s">
        <v>35</v>
      </c>
      <c r="P46" s="5">
        <v>0</v>
      </c>
      <c r="Q46" s="5"/>
      <c r="R46" s="5" t="s">
        <v>30</v>
      </c>
      <c r="S46" s="5" t="s">
        <v>114</v>
      </c>
      <c r="T46" s="5" t="s">
        <v>101</v>
      </c>
      <c r="U46" s="5">
        <v>0</v>
      </c>
      <c r="V46" s="25">
        <v>24</v>
      </c>
      <c r="W46" s="39">
        <v>11</v>
      </c>
      <c r="X46" s="7">
        <f t="shared" si="27"/>
        <v>20</v>
      </c>
      <c r="Y46" s="22">
        <f t="shared" si="28"/>
        <v>11</v>
      </c>
      <c r="Z46" s="15">
        <f t="shared" si="29"/>
        <v>9</v>
      </c>
      <c r="AA46" s="47">
        <v>3</v>
      </c>
      <c r="AB46" s="47">
        <v>5</v>
      </c>
      <c r="AC46" s="47">
        <v>0</v>
      </c>
      <c r="AD46" s="47">
        <v>2</v>
      </c>
      <c r="AE46" s="47">
        <v>2</v>
      </c>
      <c r="AF46" s="47">
        <v>0</v>
      </c>
      <c r="AG46" s="36">
        <f t="shared" si="40"/>
        <v>6</v>
      </c>
      <c r="AH46" s="36">
        <f t="shared" si="40"/>
        <v>0</v>
      </c>
      <c r="AI46" s="36">
        <f t="shared" si="40"/>
        <v>8</v>
      </c>
      <c r="AJ46" s="36">
        <f t="shared" si="39"/>
        <v>2</v>
      </c>
      <c r="AK46" s="36">
        <f t="shared" si="39"/>
        <v>0</v>
      </c>
      <c r="AL46" s="36">
        <f t="shared" si="39"/>
        <v>1</v>
      </c>
      <c r="AM46" s="45">
        <v>9</v>
      </c>
      <c r="AN46" s="45">
        <v>5</v>
      </c>
      <c r="AO46" s="45">
        <v>8</v>
      </c>
      <c r="AP46" s="45">
        <v>4</v>
      </c>
      <c r="AQ46" s="45">
        <v>2</v>
      </c>
      <c r="AR46" s="45">
        <v>1</v>
      </c>
      <c r="AS46" s="22">
        <f t="shared" si="36"/>
        <v>20</v>
      </c>
      <c r="AT46" s="22">
        <f t="shared" si="37"/>
        <v>1.8333333333333333</v>
      </c>
      <c r="AU46" s="5">
        <f t="shared" si="12"/>
        <v>10</v>
      </c>
      <c r="AV46" s="5">
        <f t="shared" si="13"/>
        <v>1.6666666666666667</v>
      </c>
      <c r="AW46" s="5">
        <f t="shared" si="14"/>
        <v>9</v>
      </c>
      <c r="AX46" s="5">
        <f t="shared" si="15"/>
        <v>1</v>
      </c>
      <c r="AY46" s="5">
        <f t="shared" si="20"/>
        <v>0</v>
      </c>
      <c r="AZ46" s="5">
        <f t="shared" si="16"/>
        <v>1.3333333333333333</v>
      </c>
      <c r="BA46" s="5">
        <f t="shared" si="17"/>
        <v>0.33333333333333331</v>
      </c>
      <c r="BB46" s="5">
        <f t="shared" si="18"/>
        <v>0</v>
      </c>
      <c r="BC46" s="5">
        <f t="shared" si="19"/>
        <v>0.16666666666666666</v>
      </c>
      <c r="BD46" s="6">
        <v>4</v>
      </c>
      <c r="BE46" s="6"/>
      <c r="BF46" s="59">
        <v>1</v>
      </c>
      <c r="BG46" s="6" t="s">
        <v>715</v>
      </c>
      <c r="BH46" s="5"/>
      <c r="BI46" s="5"/>
      <c r="BJ46" s="46" t="s">
        <v>634</v>
      </c>
    </row>
    <row r="47" spans="1:62" ht="31">
      <c r="A47" s="2" t="s">
        <v>96</v>
      </c>
      <c r="B47" s="3" t="s">
        <v>32</v>
      </c>
      <c r="C47" s="3" t="s">
        <v>32</v>
      </c>
      <c r="D47" s="4">
        <v>79</v>
      </c>
      <c r="E47" s="4">
        <v>74</v>
      </c>
      <c r="F47" s="4">
        <v>2013</v>
      </c>
      <c r="G47" s="39">
        <v>71</v>
      </c>
      <c r="H47" s="28">
        <v>0</v>
      </c>
      <c r="I47" s="28">
        <v>2</v>
      </c>
      <c r="J47" s="5">
        <v>2016</v>
      </c>
      <c r="K47" s="5">
        <v>2022</v>
      </c>
      <c r="L47" s="5">
        <v>6</v>
      </c>
      <c r="M47" s="5">
        <v>1</v>
      </c>
      <c r="N47" s="46" t="s">
        <v>635</v>
      </c>
      <c r="O47" s="5" t="s">
        <v>35</v>
      </c>
      <c r="P47" s="5">
        <v>0</v>
      </c>
      <c r="Q47" s="5"/>
      <c r="R47" s="5" t="s">
        <v>30</v>
      </c>
      <c r="S47" s="39" t="s">
        <v>517</v>
      </c>
      <c r="T47" s="5" t="s">
        <v>84</v>
      </c>
      <c r="U47" s="5">
        <v>0</v>
      </c>
      <c r="V47" s="25">
        <v>48</v>
      </c>
      <c r="W47" s="39">
        <v>1</v>
      </c>
      <c r="X47" s="7">
        <f t="shared" si="27"/>
        <v>1</v>
      </c>
      <c r="Y47" s="22">
        <f t="shared" si="28"/>
        <v>1</v>
      </c>
      <c r="Z47" s="15">
        <f t="shared" si="29"/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36">
        <f t="shared" si="40"/>
        <v>1</v>
      </c>
      <c r="AH47" s="36">
        <f t="shared" si="40"/>
        <v>0</v>
      </c>
      <c r="AI47" s="36">
        <f t="shared" si="40"/>
        <v>0</v>
      </c>
      <c r="AJ47" s="36">
        <f t="shared" si="39"/>
        <v>1</v>
      </c>
      <c r="AK47" s="36">
        <f t="shared" si="39"/>
        <v>0</v>
      </c>
      <c r="AL47" s="36">
        <f t="shared" si="39"/>
        <v>0</v>
      </c>
      <c r="AM47" s="45">
        <v>1</v>
      </c>
      <c r="AN47" s="45">
        <v>0</v>
      </c>
      <c r="AO47" s="45">
        <v>0</v>
      </c>
      <c r="AP47" s="45">
        <v>1</v>
      </c>
      <c r="AQ47" s="45">
        <v>0</v>
      </c>
      <c r="AR47" s="45">
        <v>0</v>
      </c>
      <c r="AS47" s="22">
        <f t="shared" si="36"/>
        <v>1</v>
      </c>
      <c r="AT47" s="22">
        <f t="shared" si="37"/>
        <v>0.16666666666666666</v>
      </c>
      <c r="AU47" s="5">
        <f t="shared" si="12"/>
        <v>1</v>
      </c>
      <c r="AV47" s="5">
        <f t="shared" si="13"/>
        <v>0.16666666666666666</v>
      </c>
      <c r="AW47" s="5">
        <f t="shared" si="14"/>
        <v>0</v>
      </c>
      <c r="AX47" s="5">
        <f t="shared" si="15"/>
        <v>0.16666666666666666</v>
      </c>
      <c r="AY47" s="5">
        <f t="shared" si="20"/>
        <v>0</v>
      </c>
      <c r="AZ47" s="5">
        <f t="shared" si="16"/>
        <v>0</v>
      </c>
      <c r="BA47" s="5">
        <f t="shared" si="17"/>
        <v>0.16666666666666666</v>
      </c>
      <c r="BB47" s="5">
        <f t="shared" si="18"/>
        <v>0</v>
      </c>
      <c r="BC47" s="5">
        <f t="shared" si="19"/>
        <v>0</v>
      </c>
      <c r="BD47" s="6">
        <v>2</v>
      </c>
      <c r="BE47" s="6"/>
      <c r="BF47" s="59">
        <v>0</v>
      </c>
      <c r="BG47" s="6" t="s">
        <v>735</v>
      </c>
      <c r="BH47" s="5"/>
      <c r="BI47" s="5"/>
      <c r="BJ47" s="46" t="s">
        <v>635</v>
      </c>
    </row>
    <row r="48" spans="1:62" ht="31">
      <c r="A48" s="2" t="s">
        <v>96</v>
      </c>
      <c r="B48" s="3" t="s">
        <v>32</v>
      </c>
      <c r="C48" s="3" t="s">
        <v>32</v>
      </c>
      <c r="D48" s="4">
        <v>79</v>
      </c>
      <c r="E48" s="4">
        <v>74</v>
      </c>
      <c r="F48" s="4">
        <v>2013</v>
      </c>
      <c r="G48" s="39">
        <v>71</v>
      </c>
      <c r="H48" s="28">
        <v>0</v>
      </c>
      <c r="I48" s="28">
        <v>2</v>
      </c>
      <c r="J48" s="5">
        <v>2015</v>
      </c>
      <c r="K48" s="5">
        <v>2021</v>
      </c>
      <c r="L48" s="5">
        <v>6</v>
      </c>
      <c r="M48" s="5">
        <v>1</v>
      </c>
      <c r="N48" s="46" t="s">
        <v>636</v>
      </c>
      <c r="O48" s="5" t="s">
        <v>35</v>
      </c>
      <c r="P48" s="5">
        <v>0</v>
      </c>
      <c r="Q48" s="5"/>
      <c r="R48" s="5" t="s">
        <v>30</v>
      </c>
      <c r="S48" s="39" t="s">
        <v>518</v>
      </c>
      <c r="T48" s="5" t="s">
        <v>47</v>
      </c>
      <c r="U48" s="5">
        <v>0</v>
      </c>
      <c r="V48" s="25">
        <v>18</v>
      </c>
      <c r="W48" s="39">
        <v>10</v>
      </c>
      <c r="X48" s="7">
        <f t="shared" si="27"/>
        <v>20</v>
      </c>
      <c r="Y48" s="22">
        <f t="shared" si="28"/>
        <v>17</v>
      </c>
      <c r="Z48" s="15">
        <f t="shared" si="29"/>
        <v>3</v>
      </c>
      <c r="AA48" s="47">
        <v>2</v>
      </c>
      <c r="AB48" s="47">
        <v>0</v>
      </c>
      <c r="AC48" s="47">
        <v>0</v>
      </c>
      <c r="AD48" s="47">
        <v>1</v>
      </c>
      <c r="AE48" s="47">
        <v>0</v>
      </c>
      <c r="AF48" s="47">
        <v>2</v>
      </c>
      <c r="AG48" s="36">
        <f>AM48</f>
        <v>9</v>
      </c>
      <c r="AH48" s="36">
        <f t="shared" si="40"/>
        <v>0</v>
      </c>
      <c r="AI48" s="36">
        <f t="shared" si="40"/>
        <v>7</v>
      </c>
      <c r="AJ48" s="36">
        <f t="shared" si="39"/>
        <v>4</v>
      </c>
      <c r="AK48" s="36">
        <f t="shared" si="39"/>
        <v>3</v>
      </c>
      <c r="AL48" s="36">
        <f t="shared" si="39"/>
        <v>3</v>
      </c>
      <c r="AM48" s="45">
        <v>9</v>
      </c>
      <c r="AN48" s="45">
        <v>0</v>
      </c>
      <c r="AO48" s="7">
        <v>7</v>
      </c>
      <c r="AP48" s="7">
        <v>5</v>
      </c>
      <c r="AQ48" s="7">
        <v>3</v>
      </c>
      <c r="AR48" s="45">
        <v>5</v>
      </c>
      <c r="AS48" s="22">
        <f t="shared" si="36"/>
        <v>20</v>
      </c>
      <c r="AT48" s="22">
        <f t="shared" si="37"/>
        <v>2.8333333333333335</v>
      </c>
      <c r="AU48" s="5">
        <f t="shared" si="12"/>
        <v>14</v>
      </c>
      <c r="AV48" s="5">
        <f t="shared" si="13"/>
        <v>2.3333333333333335</v>
      </c>
      <c r="AW48" s="5">
        <f t="shared" si="14"/>
        <v>1</v>
      </c>
      <c r="AX48" s="5">
        <f t="shared" si="15"/>
        <v>1.5</v>
      </c>
      <c r="AY48" s="5">
        <f t="shared" si="20"/>
        <v>0</v>
      </c>
      <c r="AZ48" s="5">
        <f t="shared" si="16"/>
        <v>1.1666666666666667</v>
      </c>
      <c r="BA48" s="5">
        <f t="shared" si="17"/>
        <v>0.66666666666666663</v>
      </c>
      <c r="BB48" s="5">
        <f t="shared" si="18"/>
        <v>0.5</v>
      </c>
      <c r="BC48" s="5">
        <f t="shared" si="19"/>
        <v>0.5</v>
      </c>
      <c r="BD48" s="6">
        <v>22</v>
      </c>
      <c r="BE48" s="6"/>
      <c r="BF48" s="59">
        <v>1</v>
      </c>
      <c r="BG48" s="6" t="s">
        <v>270</v>
      </c>
      <c r="BH48" s="5"/>
      <c r="BI48" s="5"/>
      <c r="BJ48" s="46" t="s">
        <v>636</v>
      </c>
    </row>
    <row r="49" spans="1:62" ht="31">
      <c r="A49" s="2" t="s">
        <v>96</v>
      </c>
      <c r="B49" s="3" t="s">
        <v>32</v>
      </c>
      <c r="C49" s="3" t="s">
        <v>32</v>
      </c>
      <c r="D49" s="4">
        <v>79</v>
      </c>
      <c r="E49" s="4">
        <v>74</v>
      </c>
      <c r="F49" s="4">
        <v>2013</v>
      </c>
      <c r="G49" s="39">
        <v>71</v>
      </c>
      <c r="H49" s="28">
        <v>0</v>
      </c>
      <c r="I49" s="28">
        <v>2</v>
      </c>
      <c r="J49" s="5">
        <v>2015</v>
      </c>
      <c r="K49" s="5">
        <v>2021</v>
      </c>
      <c r="L49" s="5">
        <v>6</v>
      </c>
      <c r="M49" s="5">
        <v>1</v>
      </c>
      <c r="N49" s="46" t="s">
        <v>637</v>
      </c>
      <c r="O49" s="5" t="s">
        <v>35</v>
      </c>
      <c r="P49" s="5">
        <v>0</v>
      </c>
      <c r="Q49" s="5"/>
      <c r="R49" s="5" t="s">
        <v>30</v>
      </c>
      <c r="S49" s="6" t="s">
        <v>358</v>
      </c>
      <c r="T49" s="5" t="s">
        <v>84</v>
      </c>
      <c r="U49" s="5">
        <v>0</v>
      </c>
      <c r="V49" s="25">
        <v>71</v>
      </c>
      <c r="W49" s="39">
        <v>6</v>
      </c>
      <c r="X49" s="7">
        <f t="shared" si="27"/>
        <v>9</v>
      </c>
      <c r="Y49" s="22">
        <f t="shared" si="28"/>
        <v>6</v>
      </c>
      <c r="Z49" s="15">
        <f t="shared" si="29"/>
        <v>3</v>
      </c>
      <c r="AA49" s="47">
        <v>2</v>
      </c>
      <c r="AB49" s="47">
        <v>0</v>
      </c>
      <c r="AC49" s="47">
        <v>3</v>
      </c>
      <c r="AD49" s="47">
        <v>0</v>
      </c>
      <c r="AE49" s="47">
        <v>0</v>
      </c>
      <c r="AF49" s="47">
        <v>0</v>
      </c>
      <c r="AG49" s="36">
        <f t="shared" ref="AG49:AL114" si="41">AM49-AA49</f>
        <v>4</v>
      </c>
      <c r="AH49" s="36">
        <f t="shared" si="40"/>
        <v>0</v>
      </c>
      <c r="AI49" s="36">
        <f t="shared" si="40"/>
        <v>1</v>
      </c>
      <c r="AJ49" s="36">
        <f t="shared" si="39"/>
        <v>3</v>
      </c>
      <c r="AK49" s="36">
        <f t="shared" si="39"/>
        <v>1</v>
      </c>
      <c r="AL49" s="36">
        <f t="shared" si="39"/>
        <v>1</v>
      </c>
      <c r="AM49" s="45">
        <v>6</v>
      </c>
      <c r="AN49" s="45">
        <v>0</v>
      </c>
      <c r="AO49" s="45">
        <v>4</v>
      </c>
      <c r="AP49" s="45">
        <v>3</v>
      </c>
      <c r="AQ49" s="45">
        <v>1</v>
      </c>
      <c r="AR49" s="45">
        <v>1</v>
      </c>
      <c r="AS49" s="22">
        <f t="shared" si="36"/>
        <v>9</v>
      </c>
      <c r="AT49" s="22">
        <f t="shared" si="37"/>
        <v>1</v>
      </c>
      <c r="AU49" s="5">
        <f t="shared" si="12"/>
        <v>5</v>
      </c>
      <c r="AV49" s="5">
        <f t="shared" si="13"/>
        <v>0.83333333333333337</v>
      </c>
      <c r="AW49" s="5">
        <f t="shared" si="14"/>
        <v>3</v>
      </c>
      <c r="AX49" s="5">
        <f t="shared" si="15"/>
        <v>0.66666666666666663</v>
      </c>
      <c r="AY49" s="5">
        <f t="shared" si="20"/>
        <v>0</v>
      </c>
      <c r="AZ49" s="5">
        <f t="shared" si="16"/>
        <v>0.16666666666666666</v>
      </c>
      <c r="BA49" s="5">
        <f t="shared" si="17"/>
        <v>0.5</v>
      </c>
      <c r="BB49" s="5">
        <f t="shared" si="18"/>
        <v>0.16666666666666666</v>
      </c>
      <c r="BC49" s="5">
        <f t="shared" si="19"/>
        <v>0.16666666666666666</v>
      </c>
      <c r="BD49" s="6">
        <v>7</v>
      </c>
      <c r="BE49" s="6"/>
      <c r="BF49" s="59">
        <v>1</v>
      </c>
      <c r="BG49" s="32" t="s">
        <v>725</v>
      </c>
      <c r="BH49" s="5"/>
      <c r="BI49" s="5"/>
      <c r="BJ49" s="46" t="s">
        <v>637</v>
      </c>
    </row>
    <row r="50" spans="1:62">
      <c r="A50" s="2" t="s">
        <v>131</v>
      </c>
      <c r="B50" s="3" t="s">
        <v>32</v>
      </c>
      <c r="C50" s="3" t="s">
        <v>32</v>
      </c>
      <c r="D50" s="4">
        <v>94</v>
      </c>
      <c r="E50" s="4">
        <v>79</v>
      </c>
      <c r="F50" s="4">
        <v>2010</v>
      </c>
      <c r="G50" s="39">
        <v>10</v>
      </c>
      <c r="H50" s="28">
        <v>0</v>
      </c>
      <c r="I50" s="28">
        <v>2</v>
      </c>
      <c r="J50" s="6">
        <v>2022</v>
      </c>
      <c r="K50" s="5">
        <v>2024</v>
      </c>
      <c r="L50" s="5">
        <f t="shared" ref="L50:L59" si="42">(K50-J50)-0.42</f>
        <v>1.58</v>
      </c>
      <c r="M50" s="5">
        <v>0</v>
      </c>
      <c r="N50" s="5" t="s">
        <v>132</v>
      </c>
      <c r="O50" s="5" t="s">
        <v>35</v>
      </c>
      <c r="P50" s="5">
        <v>0</v>
      </c>
      <c r="Q50" s="5"/>
      <c r="R50" s="5" t="s">
        <v>30</v>
      </c>
      <c r="S50" s="5" t="s">
        <v>133</v>
      </c>
      <c r="T50" s="5" t="s">
        <v>84</v>
      </c>
      <c r="U50" s="5">
        <v>0</v>
      </c>
      <c r="V50" s="25">
        <v>74</v>
      </c>
      <c r="W50" s="5">
        <v>0</v>
      </c>
      <c r="X50" s="7">
        <f t="shared" si="27"/>
        <v>5</v>
      </c>
      <c r="Y50" s="22">
        <f t="shared" si="28"/>
        <v>0</v>
      </c>
      <c r="Z50" s="15">
        <f t="shared" si="29"/>
        <v>5</v>
      </c>
      <c r="AA50" s="19">
        <v>1</v>
      </c>
      <c r="AB50" s="19">
        <v>1</v>
      </c>
      <c r="AC50" s="19">
        <v>2</v>
      </c>
      <c r="AD50" s="19">
        <v>2</v>
      </c>
      <c r="AE50" s="19">
        <v>0</v>
      </c>
      <c r="AF50" s="19">
        <v>0</v>
      </c>
      <c r="AG50" s="36">
        <f t="shared" si="41"/>
        <v>0</v>
      </c>
      <c r="AH50" s="36">
        <f t="shared" si="40"/>
        <v>0</v>
      </c>
      <c r="AI50" s="36">
        <f t="shared" si="40"/>
        <v>0</v>
      </c>
      <c r="AJ50" s="36">
        <f t="shared" si="39"/>
        <v>0</v>
      </c>
      <c r="AK50" s="36">
        <f t="shared" si="39"/>
        <v>0</v>
      </c>
      <c r="AL50" s="36">
        <f t="shared" si="39"/>
        <v>0</v>
      </c>
      <c r="AM50" s="7">
        <v>1</v>
      </c>
      <c r="AN50" s="7">
        <v>1</v>
      </c>
      <c r="AO50" s="7">
        <v>2</v>
      </c>
      <c r="AP50" s="7">
        <v>2</v>
      </c>
      <c r="AQ50" s="7">
        <v>0</v>
      </c>
      <c r="AR50" s="7">
        <v>0</v>
      </c>
      <c r="AS50" s="22">
        <f t="shared" si="36"/>
        <v>5</v>
      </c>
      <c r="AT50" s="22">
        <f t="shared" si="37"/>
        <v>0</v>
      </c>
      <c r="AU50" s="5">
        <f t="shared" si="12"/>
        <v>0</v>
      </c>
      <c r="AV50" s="5">
        <f t="shared" si="13"/>
        <v>0</v>
      </c>
      <c r="AW50" s="5">
        <f t="shared" si="14"/>
        <v>5</v>
      </c>
      <c r="AX50" s="5">
        <f t="shared" si="15"/>
        <v>0</v>
      </c>
      <c r="AY50" s="5">
        <f t="shared" si="20"/>
        <v>0</v>
      </c>
      <c r="AZ50" s="5">
        <f t="shared" si="16"/>
        <v>0</v>
      </c>
      <c r="BA50" s="5">
        <f t="shared" si="17"/>
        <v>0</v>
      </c>
      <c r="BB50" s="5">
        <f t="shared" si="18"/>
        <v>0</v>
      </c>
      <c r="BC50" s="5">
        <f t="shared" si="19"/>
        <v>0</v>
      </c>
      <c r="BD50" s="6"/>
      <c r="BE50" s="6"/>
      <c r="BF50" s="59"/>
      <c r="BG50" s="6"/>
      <c r="BH50" s="6"/>
      <c r="BI50" s="6"/>
      <c r="BJ50" s="5" t="s">
        <v>132</v>
      </c>
    </row>
    <row r="51" spans="1:62">
      <c r="A51" s="2" t="s">
        <v>131</v>
      </c>
      <c r="B51" s="3" t="s">
        <v>32</v>
      </c>
      <c r="C51" s="3" t="s">
        <v>32</v>
      </c>
      <c r="D51" s="4">
        <v>94</v>
      </c>
      <c r="E51" s="4">
        <v>79</v>
      </c>
      <c r="F51" s="4">
        <v>2010</v>
      </c>
      <c r="G51" s="39">
        <v>10</v>
      </c>
      <c r="H51" s="28">
        <v>0</v>
      </c>
      <c r="I51" s="28">
        <v>2</v>
      </c>
      <c r="J51" s="6">
        <v>2022</v>
      </c>
      <c r="K51" s="5">
        <v>2024</v>
      </c>
      <c r="L51" s="5">
        <f t="shared" si="42"/>
        <v>1.58</v>
      </c>
      <c r="M51" s="5">
        <v>0</v>
      </c>
      <c r="N51" s="5" t="s">
        <v>134</v>
      </c>
      <c r="O51" s="5" t="s">
        <v>28</v>
      </c>
      <c r="P51" s="5">
        <v>0</v>
      </c>
      <c r="Q51" s="5"/>
      <c r="R51" s="5" t="s">
        <v>39</v>
      </c>
      <c r="S51" s="5" t="s">
        <v>135</v>
      </c>
      <c r="T51" s="5" t="s">
        <v>47</v>
      </c>
      <c r="U51" s="5">
        <v>0</v>
      </c>
      <c r="V51" s="25">
        <v>17</v>
      </c>
      <c r="W51" s="5">
        <v>4</v>
      </c>
      <c r="X51" s="7">
        <f t="shared" si="27"/>
        <v>12</v>
      </c>
      <c r="Y51" s="22">
        <f t="shared" si="28"/>
        <v>3</v>
      </c>
      <c r="Z51" s="15">
        <f t="shared" si="29"/>
        <v>9</v>
      </c>
      <c r="AA51" s="19">
        <v>4</v>
      </c>
      <c r="AB51" s="19">
        <v>1</v>
      </c>
      <c r="AC51" s="19">
        <v>3</v>
      </c>
      <c r="AD51" s="19">
        <v>1</v>
      </c>
      <c r="AE51" s="19">
        <v>4</v>
      </c>
      <c r="AF51" s="19">
        <v>0</v>
      </c>
      <c r="AG51" s="36">
        <f t="shared" si="41"/>
        <v>1</v>
      </c>
      <c r="AH51" s="36">
        <f t="shared" si="40"/>
        <v>0</v>
      </c>
      <c r="AI51" s="36">
        <f t="shared" si="40"/>
        <v>2</v>
      </c>
      <c r="AJ51" s="36">
        <f t="shared" si="39"/>
        <v>0</v>
      </c>
      <c r="AK51" s="36">
        <f t="shared" si="39"/>
        <v>1</v>
      </c>
      <c r="AL51" s="36">
        <f t="shared" si="39"/>
        <v>0</v>
      </c>
      <c r="AM51" s="7">
        <v>5</v>
      </c>
      <c r="AN51" s="7">
        <v>1</v>
      </c>
      <c r="AO51" s="7">
        <v>5</v>
      </c>
      <c r="AP51" s="7">
        <v>1</v>
      </c>
      <c r="AQ51" s="7">
        <v>5</v>
      </c>
      <c r="AR51" s="7">
        <v>0</v>
      </c>
      <c r="AS51" s="22">
        <f t="shared" si="36"/>
        <v>12</v>
      </c>
      <c r="AT51" s="22">
        <f t="shared" si="37"/>
        <v>1.8987341772151898</v>
      </c>
      <c r="AU51" s="5">
        <f t="shared" si="12"/>
        <v>3</v>
      </c>
      <c r="AV51" s="5">
        <f t="shared" si="13"/>
        <v>1.8987341772151898</v>
      </c>
      <c r="AW51" s="5">
        <f t="shared" si="14"/>
        <v>9</v>
      </c>
      <c r="AX51" s="5">
        <f t="shared" si="15"/>
        <v>0.63291139240506322</v>
      </c>
      <c r="AY51" s="5">
        <f t="shared" si="20"/>
        <v>0</v>
      </c>
      <c r="AZ51" s="5">
        <f t="shared" si="16"/>
        <v>1.2658227848101264</v>
      </c>
      <c r="BA51" s="5">
        <f t="shared" si="17"/>
        <v>0</v>
      </c>
      <c r="BB51" s="5">
        <f t="shared" si="18"/>
        <v>0.63291139240506322</v>
      </c>
      <c r="BC51" s="5">
        <f t="shared" si="19"/>
        <v>0</v>
      </c>
      <c r="BD51" s="6"/>
      <c r="BE51" s="6"/>
      <c r="BF51" s="59"/>
      <c r="BG51" s="6"/>
      <c r="BH51" s="6"/>
      <c r="BI51" s="6"/>
      <c r="BJ51" s="5" t="s">
        <v>134</v>
      </c>
    </row>
    <row r="52" spans="1:62">
      <c r="A52" s="2" t="s">
        <v>131</v>
      </c>
      <c r="B52" s="3" t="s">
        <v>32</v>
      </c>
      <c r="C52" s="3" t="s">
        <v>32</v>
      </c>
      <c r="D52" s="4">
        <v>94</v>
      </c>
      <c r="E52" s="4">
        <v>79</v>
      </c>
      <c r="F52" s="4">
        <v>2010</v>
      </c>
      <c r="G52" s="39">
        <v>10</v>
      </c>
      <c r="H52" s="28">
        <v>0</v>
      </c>
      <c r="I52" s="28">
        <v>2</v>
      </c>
      <c r="J52" s="5">
        <v>2021</v>
      </c>
      <c r="K52" s="5">
        <v>2024</v>
      </c>
      <c r="L52" s="5">
        <f t="shared" si="42"/>
        <v>2.58</v>
      </c>
      <c r="M52" s="5">
        <v>0</v>
      </c>
      <c r="N52" s="5" t="s">
        <v>567</v>
      </c>
      <c r="O52" s="5" t="s">
        <v>28</v>
      </c>
      <c r="P52" s="5">
        <v>0</v>
      </c>
      <c r="Q52" s="5"/>
      <c r="R52" s="5" t="s">
        <v>30</v>
      </c>
      <c r="S52" s="5" t="s">
        <v>136</v>
      </c>
      <c r="T52" s="5" t="s">
        <v>84</v>
      </c>
      <c r="U52" s="5">
        <v>0</v>
      </c>
      <c r="V52" s="25">
        <v>47</v>
      </c>
      <c r="W52" s="5">
        <v>2</v>
      </c>
      <c r="X52" s="7">
        <f t="shared" si="27"/>
        <v>10</v>
      </c>
      <c r="Y52" s="22">
        <f t="shared" si="28"/>
        <v>5</v>
      </c>
      <c r="Z52" s="15">
        <f t="shared" si="29"/>
        <v>5</v>
      </c>
      <c r="AA52" s="19">
        <v>2</v>
      </c>
      <c r="AB52" s="19">
        <v>4</v>
      </c>
      <c r="AC52" s="19">
        <v>1</v>
      </c>
      <c r="AD52" s="19">
        <v>0</v>
      </c>
      <c r="AE52" s="19">
        <v>0</v>
      </c>
      <c r="AF52" s="19">
        <v>0</v>
      </c>
      <c r="AG52" s="36">
        <f t="shared" si="41"/>
        <v>2</v>
      </c>
      <c r="AH52" s="36">
        <f t="shared" si="40"/>
        <v>4</v>
      </c>
      <c r="AI52" s="36">
        <f t="shared" si="40"/>
        <v>0</v>
      </c>
      <c r="AJ52" s="36">
        <f t="shared" si="39"/>
        <v>0</v>
      </c>
      <c r="AK52" s="36">
        <f t="shared" si="39"/>
        <v>0</v>
      </c>
      <c r="AL52" s="36">
        <f t="shared" si="39"/>
        <v>1</v>
      </c>
      <c r="AM52" s="7">
        <v>4</v>
      </c>
      <c r="AN52" s="7">
        <v>8</v>
      </c>
      <c r="AO52" s="7">
        <v>1</v>
      </c>
      <c r="AP52" s="7">
        <v>0</v>
      </c>
      <c r="AQ52" s="7">
        <v>0</v>
      </c>
      <c r="AR52" s="7">
        <v>1</v>
      </c>
      <c r="AS52" s="22">
        <f t="shared" si="36"/>
        <v>10</v>
      </c>
      <c r="AT52" s="22">
        <f t="shared" si="37"/>
        <v>1.9379844961240309</v>
      </c>
      <c r="AU52" s="5">
        <f t="shared" si="12"/>
        <v>4</v>
      </c>
      <c r="AV52" s="5">
        <f t="shared" si="13"/>
        <v>1.5503875968992247</v>
      </c>
      <c r="AW52" s="5">
        <f t="shared" si="14"/>
        <v>5</v>
      </c>
      <c r="AX52" s="5">
        <f t="shared" si="15"/>
        <v>0.77519379844961234</v>
      </c>
      <c r="AY52" s="5">
        <f t="shared" si="20"/>
        <v>1.5503875968992247</v>
      </c>
      <c r="AZ52" s="5">
        <f t="shared" si="16"/>
        <v>0</v>
      </c>
      <c r="BA52" s="5">
        <f t="shared" si="17"/>
        <v>0</v>
      </c>
      <c r="BB52" s="5">
        <f t="shared" si="18"/>
        <v>0</v>
      </c>
      <c r="BC52" s="5">
        <f t="shared" si="19"/>
        <v>0.38759689922480617</v>
      </c>
      <c r="BD52" s="6"/>
      <c r="BE52" s="6"/>
      <c r="BF52" s="59"/>
      <c r="BG52" s="6"/>
      <c r="BH52" s="5"/>
      <c r="BI52" s="5"/>
      <c r="BJ52" s="5" t="s">
        <v>567</v>
      </c>
    </row>
    <row r="53" spans="1:62">
      <c r="A53" s="2" t="s">
        <v>131</v>
      </c>
      <c r="B53" s="3" t="s">
        <v>32</v>
      </c>
      <c r="C53" s="3" t="s">
        <v>32</v>
      </c>
      <c r="D53" s="4">
        <v>94</v>
      </c>
      <c r="E53" s="4">
        <v>79</v>
      </c>
      <c r="F53" s="4">
        <v>2010</v>
      </c>
      <c r="G53" s="39">
        <v>10</v>
      </c>
      <c r="H53" s="28">
        <v>0</v>
      </c>
      <c r="I53" s="28">
        <v>2</v>
      </c>
      <c r="J53" s="5">
        <v>2021</v>
      </c>
      <c r="K53" s="5">
        <v>2024</v>
      </c>
      <c r="L53" s="5">
        <f t="shared" si="42"/>
        <v>2.58</v>
      </c>
      <c r="M53" s="5">
        <v>0</v>
      </c>
      <c r="N53" s="5" t="s">
        <v>137</v>
      </c>
      <c r="O53" s="5" t="s">
        <v>35</v>
      </c>
      <c r="P53" s="5">
        <v>0</v>
      </c>
      <c r="Q53" s="5"/>
      <c r="R53" s="5" t="s">
        <v>30</v>
      </c>
      <c r="S53" s="5" t="s">
        <v>288</v>
      </c>
      <c r="T53" s="5" t="s">
        <v>47</v>
      </c>
      <c r="U53" s="5" t="s">
        <v>559</v>
      </c>
      <c r="V53" s="25">
        <v>3</v>
      </c>
      <c r="W53" s="5">
        <v>4</v>
      </c>
      <c r="X53" s="7">
        <f t="shared" si="27"/>
        <v>9</v>
      </c>
      <c r="Y53" s="22">
        <f t="shared" si="28"/>
        <v>8</v>
      </c>
      <c r="Z53" s="15">
        <f t="shared" si="29"/>
        <v>1</v>
      </c>
      <c r="AA53" s="19">
        <v>1</v>
      </c>
      <c r="AB53" s="19">
        <v>0</v>
      </c>
      <c r="AC53" s="19">
        <v>0</v>
      </c>
      <c r="AD53" s="19">
        <v>0</v>
      </c>
      <c r="AE53" s="19">
        <v>1</v>
      </c>
      <c r="AF53" s="19">
        <v>0</v>
      </c>
      <c r="AG53" s="36">
        <f t="shared" si="41"/>
        <v>2</v>
      </c>
      <c r="AH53" s="36">
        <f t="shared" si="40"/>
        <v>3</v>
      </c>
      <c r="AI53" s="36">
        <f t="shared" si="40"/>
        <v>2</v>
      </c>
      <c r="AJ53" s="36">
        <f t="shared" si="39"/>
        <v>2</v>
      </c>
      <c r="AK53" s="36">
        <f t="shared" si="39"/>
        <v>1</v>
      </c>
      <c r="AL53" s="36">
        <f t="shared" si="39"/>
        <v>0</v>
      </c>
      <c r="AM53" s="7">
        <v>3</v>
      </c>
      <c r="AN53" s="7">
        <v>3</v>
      </c>
      <c r="AO53" s="7">
        <v>2</v>
      </c>
      <c r="AP53" s="7">
        <v>2</v>
      </c>
      <c r="AQ53" s="7">
        <v>2</v>
      </c>
      <c r="AR53" s="7">
        <v>0</v>
      </c>
      <c r="AS53" s="22">
        <f t="shared" si="36"/>
        <v>9</v>
      </c>
      <c r="AT53" s="22">
        <f t="shared" si="37"/>
        <v>3.1007751937984493</v>
      </c>
      <c r="AU53" s="5">
        <f t="shared" si="12"/>
        <v>8</v>
      </c>
      <c r="AV53" s="5">
        <f t="shared" si="13"/>
        <v>3.1007751937984493</v>
      </c>
      <c r="AW53" s="5">
        <f t="shared" si="14"/>
        <v>1</v>
      </c>
      <c r="AX53" s="5">
        <f t="shared" si="15"/>
        <v>0.77519379844961234</v>
      </c>
      <c r="AY53" s="5">
        <f t="shared" si="20"/>
        <v>1.1627906976744187</v>
      </c>
      <c r="AZ53" s="5">
        <f t="shared" si="16"/>
        <v>0.77519379844961234</v>
      </c>
      <c r="BA53" s="5">
        <f t="shared" si="17"/>
        <v>0.77519379844961234</v>
      </c>
      <c r="BB53" s="5">
        <f t="shared" si="18"/>
        <v>0.38759689922480617</v>
      </c>
      <c r="BC53" s="5">
        <f t="shared" si="19"/>
        <v>0</v>
      </c>
      <c r="BD53" s="6"/>
      <c r="BE53" s="6"/>
      <c r="BF53" s="59"/>
      <c r="BG53" s="6"/>
      <c r="BH53" s="5"/>
      <c r="BI53" s="5"/>
      <c r="BJ53" s="5" t="s">
        <v>137</v>
      </c>
    </row>
    <row r="54" spans="1:62">
      <c r="A54" s="2" t="s">
        <v>131</v>
      </c>
      <c r="B54" s="3" t="s">
        <v>32</v>
      </c>
      <c r="C54" s="3" t="s">
        <v>32</v>
      </c>
      <c r="D54" s="4">
        <v>94</v>
      </c>
      <c r="E54" s="4">
        <v>79</v>
      </c>
      <c r="F54" s="4">
        <v>2010</v>
      </c>
      <c r="G54" s="39">
        <v>10</v>
      </c>
      <c r="H54" s="28">
        <v>0</v>
      </c>
      <c r="I54" s="28">
        <v>2</v>
      </c>
      <c r="J54" s="5">
        <v>2020</v>
      </c>
      <c r="K54" s="5">
        <v>2024</v>
      </c>
      <c r="L54" s="5">
        <f t="shared" si="42"/>
        <v>3.58</v>
      </c>
      <c r="M54" s="5">
        <v>0</v>
      </c>
      <c r="N54" s="5" t="s">
        <v>138</v>
      </c>
      <c r="O54" s="5" t="s">
        <v>28</v>
      </c>
      <c r="P54" s="5">
        <v>0</v>
      </c>
      <c r="Q54" s="6"/>
      <c r="R54" s="5" t="s">
        <v>30</v>
      </c>
      <c r="S54" s="5" t="s">
        <v>139</v>
      </c>
      <c r="T54" s="6" t="s">
        <v>84</v>
      </c>
      <c r="U54" s="6">
        <v>0</v>
      </c>
      <c r="V54" s="25" t="s">
        <v>107</v>
      </c>
      <c r="W54" s="5">
        <v>10</v>
      </c>
      <c r="X54" s="7">
        <f t="shared" si="27"/>
        <v>41</v>
      </c>
      <c r="Y54" s="22">
        <f t="shared" si="28"/>
        <v>5</v>
      </c>
      <c r="Z54" s="15">
        <f t="shared" si="29"/>
        <v>36</v>
      </c>
      <c r="AA54" s="19">
        <v>11</v>
      </c>
      <c r="AB54" s="19">
        <v>1</v>
      </c>
      <c r="AC54" s="19">
        <v>18</v>
      </c>
      <c r="AD54" s="19">
        <v>6</v>
      </c>
      <c r="AE54" s="19">
        <v>2</v>
      </c>
      <c r="AF54" s="19">
        <v>9</v>
      </c>
      <c r="AG54" s="36">
        <f t="shared" si="41"/>
        <v>0</v>
      </c>
      <c r="AH54" s="36">
        <f t="shared" si="40"/>
        <v>0</v>
      </c>
      <c r="AI54" s="36">
        <f t="shared" si="40"/>
        <v>2</v>
      </c>
      <c r="AJ54" s="36">
        <f t="shared" si="39"/>
        <v>2</v>
      </c>
      <c r="AK54" s="36">
        <f t="shared" si="39"/>
        <v>1</v>
      </c>
      <c r="AL54" s="36">
        <f t="shared" si="39"/>
        <v>0</v>
      </c>
      <c r="AM54" s="7">
        <v>11</v>
      </c>
      <c r="AN54" s="7">
        <v>1</v>
      </c>
      <c r="AO54" s="7">
        <v>20</v>
      </c>
      <c r="AP54" s="7">
        <v>8</v>
      </c>
      <c r="AQ54" s="7">
        <v>3</v>
      </c>
      <c r="AR54" s="7">
        <v>9</v>
      </c>
      <c r="AS54" s="22">
        <f t="shared" si="36"/>
        <v>41</v>
      </c>
      <c r="AT54" s="22">
        <f t="shared" si="37"/>
        <v>1.3966480446927374</v>
      </c>
      <c r="AU54" s="5">
        <f t="shared" si="12"/>
        <v>5</v>
      </c>
      <c r="AV54" s="5">
        <f t="shared" si="13"/>
        <v>1.3966480446927374</v>
      </c>
      <c r="AW54" s="5">
        <f t="shared" si="14"/>
        <v>27</v>
      </c>
      <c r="AX54" s="5">
        <f t="shared" si="15"/>
        <v>0</v>
      </c>
      <c r="AY54" s="5">
        <f t="shared" si="20"/>
        <v>0</v>
      </c>
      <c r="AZ54" s="5">
        <f t="shared" si="16"/>
        <v>0.55865921787709494</v>
      </c>
      <c r="BA54" s="5">
        <f t="shared" si="17"/>
        <v>0.55865921787709494</v>
      </c>
      <c r="BB54" s="5">
        <f t="shared" si="18"/>
        <v>0.27932960893854747</v>
      </c>
      <c r="BC54" s="5">
        <f t="shared" si="19"/>
        <v>0</v>
      </c>
      <c r="BD54" s="6"/>
      <c r="BE54" s="6"/>
      <c r="BF54" s="59"/>
      <c r="BG54" s="6"/>
      <c r="BH54" s="5"/>
      <c r="BI54" s="5"/>
      <c r="BJ54" s="5" t="s">
        <v>138</v>
      </c>
    </row>
    <row r="55" spans="1:62">
      <c r="A55" s="2" t="s">
        <v>131</v>
      </c>
      <c r="B55" s="3" t="s">
        <v>32</v>
      </c>
      <c r="C55" s="3" t="s">
        <v>32</v>
      </c>
      <c r="D55" s="4">
        <v>94</v>
      </c>
      <c r="E55" s="4">
        <v>79</v>
      </c>
      <c r="F55" s="4">
        <v>2010</v>
      </c>
      <c r="G55" s="39">
        <v>10</v>
      </c>
      <c r="H55" s="28">
        <v>0</v>
      </c>
      <c r="I55" s="28">
        <v>2</v>
      </c>
      <c r="J55" s="5">
        <v>2020</v>
      </c>
      <c r="K55" s="5">
        <v>2024</v>
      </c>
      <c r="L55" s="5">
        <f t="shared" si="42"/>
        <v>3.58</v>
      </c>
      <c r="M55" s="5">
        <v>0</v>
      </c>
      <c r="N55" s="24" t="s">
        <v>140</v>
      </c>
      <c r="O55" s="5" t="s">
        <v>35</v>
      </c>
      <c r="P55" s="5">
        <v>0</v>
      </c>
      <c r="Q55" s="6"/>
      <c r="R55" s="5" t="s">
        <v>30</v>
      </c>
      <c r="S55" s="5" t="s">
        <v>135</v>
      </c>
      <c r="T55" s="6" t="s">
        <v>47</v>
      </c>
      <c r="U55" s="6">
        <v>0</v>
      </c>
      <c r="V55" s="25">
        <v>17</v>
      </c>
      <c r="W55" s="5">
        <v>0</v>
      </c>
      <c r="X55" s="7">
        <f t="shared" si="27"/>
        <v>1</v>
      </c>
      <c r="Y55" s="22">
        <f t="shared" si="28"/>
        <v>1</v>
      </c>
      <c r="Z55" s="15">
        <f t="shared" si="29"/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36">
        <f t="shared" si="41"/>
        <v>0</v>
      </c>
      <c r="AH55" s="36">
        <f t="shared" si="40"/>
        <v>0</v>
      </c>
      <c r="AI55" s="36">
        <f t="shared" si="40"/>
        <v>1</v>
      </c>
      <c r="AJ55" s="36">
        <f t="shared" si="39"/>
        <v>0</v>
      </c>
      <c r="AK55" s="36">
        <f t="shared" si="39"/>
        <v>0</v>
      </c>
      <c r="AL55" s="36">
        <f t="shared" si="39"/>
        <v>0</v>
      </c>
      <c r="AM55" s="7">
        <v>0</v>
      </c>
      <c r="AN55" s="7">
        <v>0</v>
      </c>
      <c r="AO55" s="7">
        <v>1</v>
      </c>
      <c r="AP55" s="7">
        <v>0</v>
      </c>
      <c r="AQ55" s="7">
        <v>0</v>
      </c>
      <c r="AR55" s="7">
        <v>0</v>
      </c>
      <c r="AS55" s="22">
        <f t="shared" si="36"/>
        <v>1</v>
      </c>
      <c r="AT55" s="22">
        <f t="shared" si="37"/>
        <v>0.27932960893854747</v>
      </c>
      <c r="AU55" s="5">
        <f t="shared" si="12"/>
        <v>1</v>
      </c>
      <c r="AV55" s="5">
        <f t="shared" si="13"/>
        <v>0.27932960893854747</v>
      </c>
      <c r="AW55" s="5">
        <f t="shared" si="14"/>
        <v>0</v>
      </c>
      <c r="AX55" s="5">
        <f t="shared" si="15"/>
        <v>0</v>
      </c>
      <c r="AY55" s="5">
        <f t="shared" si="20"/>
        <v>0</v>
      </c>
      <c r="AZ55" s="5">
        <f t="shared" si="16"/>
        <v>0.27932960893854747</v>
      </c>
      <c r="BA55" s="5">
        <f t="shared" si="17"/>
        <v>0</v>
      </c>
      <c r="BB55" s="5">
        <f t="shared" si="18"/>
        <v>0</v>
      </c>
      <c r="BC55" s="5">
        <f t="shared" si="19"/>
        <v>0</v>
      </c>
      <c r="BD55" s="6"/>
      <c r="BE55" s="6"/>
      <c r="BF55" s="59"/>
      <c r="BG55" s="6"/>
      <c r="BH55" s="5"/>
      <c r="BI55" s="5"/>
      <c r="BJ55" s="24" t="s">
        <v>140</v>
      </c>
    </row>
    <row r="56" spans="1:62">
      <c r="A56" s="2" t="s">
        <v>131</v>
      </c>
      <c r="B56" s="3" t="s">
        <v>32</v>
      </c>
      <c r="C56" s="3" t="s">
        <v>32</v>
      </c>
      <c r="D56" s="4">
        <v>94</v>
      </c>
      <c r="E56" s="4">
        <v>79</v>
      </c>
      <c r="F56" s="4">
        <v>2010</v>
      </c>
      <c r="G56" s="39">
        <v>10</v>
      </c>
      <c r="H56" s="28">
        <v>0</v>
      </c>
      <c r="I56" s="28">
        <v>2</v>
      </c>
      <c r="J56" s="5">
        <v>2019</v>
      </c>
      <c r="K56" s="5">
        <v>2024</v>
      </c>
      <c r="L56" s="5">
        <f t="shared" si="42"/>
        <v>4.58</v>
      </c>
      <c r="M56" s="5">
        <v>0</v>
      </c>
      <c r="N56" s="5" t="s">
        <v>141</v>
      </c>
      <c r="O56" s="5" t="s">
        <v>35</v>
      </c>
      <c r="P56" s="5">
        <v>0</v>
      </c>
      <c r="Q56" s="6"/>
      <c r="R56" s="5" t="s">
        <v>30</v>
      </c>
      <c r="S56" s="5" t="s">
        <v>135</v>
      </c>
      <c r="T56" s="6" t="s">
        <v>47</v>
      </c>
      <c r="U56" s="6">
        <v>0</v>
      </c>
      <c r="V56" s="25">
        <v>17</v>
      </c>
      <c r="W56" s="5">
        <v>5</v>
      </c>
      <c r="X56" s="7">
        <f t="shared" si="27"/>
        <v>25</v>
      </c>
      <c r="Y56" s="22">
        <f t="shared" si="28"/>
        <v>22</v>
      </c>
      <c r="Z56" s="15">
        <f t="shared" si="29"/>
        <v>3</v>
      </c>
      <c r="AA56" s="19">
        <v>1</v>
      </c>
      <c r="AB56" s="19">
        <v>0</v>
      </c>
      <c r="AC56" s="19">
        <v>1</v>
      </c>
      <c r="AD56" s="19">
        <v>1</v>
      </c>
      <c r="AE56" s="19">
        <v>0</v>
      </c>
      <c r="AF56" s="19">
        <v>1</v>
      </c>
      <c r="AG56" s="36">
        <f t="shared" si="41"/>
        <v>15</v>
      </c>
      <c r="AH56" s="36">
        <f t="shared" si="40"/>
        <v>2</v>
      </c>
      <c r="AI56" s="36">
        <f t="shared" si="40"/>
        <v>14</v>
      </c>
      <c r="AJ56" s="36">
        <f t="shared" si="39"/>
        <v>0</v>
      </c>
      <c r="AK56" s="36">
        <f t="shared" si="39"/>
        <v>3</v>
      </c>
      <c r="AL56" s="36">
        <f t="shared" si="39"/>
        <v>3</v>
      </c>
      <c r="AM56" s="7">
        <v>16</v>
      </c>
      <c r="AN56" s="7">
        <v>2</v>
      </c>
      <c r="AO56" s="7">
        <v>15</v>
      </c>
      <c r="AP56" s="7">
        <v>1</v>
      </c>
      <c r="AQ56" s="7">
        <v>3</v>
      </c>
      <c r="AR56" s="7">
        <v>4</v>
      </c>
      <c r="AS56" s="22">
        <f t="shared" si="36"/>
        <v>25</v>
      </c>
      <c r="AT56" s="22">
        <f t="shared" si="37"/>
        <v>4.8034934497816595</v>
      </c>
      <c r="AU56" s="5">
        <f t="shared" si="12"/>
        <v>19</v>
      </c>
      <c r="AV56" s="5">
        <f t="shared" si="13"/>
        <v>4.1484716157205241</v>
      </c>
      <c r="AW56" s="5">
        <f t="shared" si="14"/>
        <v>2</v>
      </c>
      <c r="AX56" s="5">
        <f t="shared" si="15"/>
        <v>3.2751091703056767</v>
      </c>
      <c r="AY56" s="5">
        <f t="shared" si="20"/>
        <v>0.4366812227074236</v>
      </c>
      <c r="AZ56" s="5">
        <f t="shared" si="16"/>
        <v>3.0567685589519651</v>
      </c>
      <c r="BA56" s="5">
        <f t="shared" si="17"/>
        <v>0</v>
      </c>
      <c r="BB56" s="5">
        <f t="shared" si="18"/>
        <v>0.65502183406113534</v>
      </c>
      <c r="BC56" s="5">
        <f t="shared" si="19"/>
        <v>0.65502183406113534</v>
      </c>
      <c r="BD56" s="6"/>
      <c r="BE56" s="6"/>
      <c r="BF56" s="59"/>
      <c r="BG56" s="6"/>
      <c r="BH56" s="5"/>
      <c r="BI56" s="5"/>
      <c r="BJ56" s="5" t="s">
        <v>141</v>
      </c>
    </row>
    <row r="57" spans="1:62">
      <c r="A57" s="2" t="s">
        <v>131</v>
      </c>
      <c r="B57" s="3" t="s">
        <v>32</v>
      </c>
      <c r="C57" s="3" t="s">
        <v>32</v>
      </c>
      <c r="D57" s="4">
        <v>94</v>
      </c>
      <c r="E57" s="4">
        <v>79</v>
      </c>
      <c r="F57" s="4">
        <v>2010</v>
      </c>
      <c r="G57" s="39">
        <v>10</v>
      </c>
      <c r="H57" s="28">
        <v>0</v>
      </c>
      <c r="I57" s="28">
        <v>2</v>
      </c>
      <c r="J57" s="5">
        <v>2019</v>
      </c>
      <c r="K57" s="5">
        <v>2024</v>
      </c>
      <c r="L57" s="5">
        <f t="shared" si="42"/>
        <v>4.58</v>
      </c>
      <c r="M57" s="5">
        <v>0</v>
      </c>
      <c r="N57" s="5" t="s">
        <v>142</v>
      </c>
      <c r="O57" s="5" t="s">
        <v>28</v>
      </c>
      <c r="P57" s="5">
        <v>0</v>
      </c>
      <c r="Q57" s="6"/>
      <c r="R57" s="5" t="s">
        <v>30</v>
      </c>
      <c r="S57" s="5" t="s">
        <v>143</v>
      </c>
      <c r="T57" s="6" t="s">
        <v>101</v>
      </c>
      <c r="U57" s="6">
        <v>0</v>
      </c>
      <c r="V57" s="25">
        <v>25</v>
      </c>
      <c r="W57" s="5">
        <v>8</v>
      </c>
      <c r="X57" s="7">
        <f t="shared" si="27"/>
        <v>47</v>
      </c>
      <c r="Y57" s="22">
        <f t="shared" si="28"/>
        <v>37</v>
      </c>
      <c r="Z57" s="15">
        <f t="shared" si="29"/>
        <v>10</v>
      </c>
      <c r="AA57" s="19">
        <v>1</v>
      </c>
      <c r="AB57" s="19">
        <v>0</v>
      </c>
      <c r="AC57" s="19">
        <v>3</v>
      </c>
      <c r="AD57" s="19">
        <v>1</v>
      </c>
      <c r="AE57" s="19">
        <v>2</v>
      </c>
      <c r="AF57" s="19">
        <v>4</v>
      </c>
      <c r="AG57" s="36">
        <f t="shared" si="41"/>
        <v>20</v>
      </c>
      <c r="AH57" s="36">
        <f t="shared" si="40"/>
        <v>0</v>
      </c>
      <c r="AI57" s="36">
        <f t="shared" si="40"/>
        <v>25</v>
      </c>
      <c r="AJ57" s="36">
        <f t="shared" si="39"/>
        <v>7</v>
      </c>
      <c r="AK57" s="36">
        <f t="shared" si="39"/>
        <v>1</v>
      </c>
      <c r="AL57" s="36">
        <f t="shared" si="39"/>
        <v>4</v>
      </c>
      <c r="AM57" s="7">
        <v>21</v>
      </c>
      <c r="AN57" s="7">
        <v>0</v>
      </c>
      <c r="AO57" s="7">
        <v>28</v>
      </c>
      <c r="AP57" s="7">
        <v>8</v>
      </c>
      <c r="AQ57" s="7">
        <v>3</v>
      </c>
      <c r="AR57" s="7">
        <v>8</v>
      </c>
      <c r="AS57" s="22">
        <f t="shared" si="36"/>
        <v>47</v>
      </c>
      <c r="AT57" s="22">
        <f t="shared" si="37"/>
        <v>8.0786026200873362</v>
      </c>
      <c r="AU57" s="5">
        <f t="shared" si="12"/>
        <v>33</v>
      </c>
      <c r="AV57" s="5">
        <f t="shared" si="13"/>
        <v>7.2052401746724888</v>
      </c>
      <c r="AW57" s="5">
        <f t="shared" si="14"/>
        <v>6</v>
      </c>
      <c r="AX57" s="5">
        <f t="shared" si="15"/>
        <v>4.3668122270742353</v>
      </c>
      <c r="AY57" s="5">
        <f t="shared" si="20"/>
        <v>0</v>
      </c>
      <c r="AZ57" s="5">
        <f t="shared" si="16"/>
        <v>5.4585152838427948</v>
      </c>
      <c r="BA57" s="5">
        <f t="shared" si="17"/>
        <v>1.5283842794759825</v>
      </c>
      <c r="BB57" s="5">
        <f t="shared" si="18"/>
        <v>0.2183406113537118</v>
      </c>
      <c r="BC57" s="5">
        <f t="shared" si="19"/>
        <v>0.8733624454148472</v>
      </c>
      <c r="BD57" s="6"/>
      <c r="BE57" s="6"/>
      <c r="BF57" s="59"/>
      <c r="BG57" s="6"/>
      <c r="BH57" s="5"/>
      <c r="BI57" s="5"/>
      <c r="BJ57" s="5" t="s">
        <v>142</v>
      </c>
    </row>
    <row r="58" spans="1:62">
      <c r="A58" s="2" t="s">
        <v>131</v>
      </c>
      <c r="B58" s="3" t="s">
        <v>32</v>
      </c>
      <c r="C58" s="3" t="s">
        <v>32</v>
      </c>
      <c r="D58" s="4">
        <v>94</v>
      </c>
      <c r="E58" s="4">
        <v>79</v>
      </c>
      <c r="F58" s="4">
        <v>2010</v>
      </c>
      <c r="G58" s="39">
        <v>10</v>
      </c>
      <c r="H58" s="28">
        <v>0</v>
      </c>
      <c r="I58" s="28">
        <v>2</v>
      </c>
      <c r="J58" s="12">
        <v>2018</v>
      </c>
      <c r="K58" s="5">
        <v>2024</v>
      </c>
      <c r="L58" s="5">
        <f t="shared" si="42"/>
        <v>5.58</v>
      </c>
      <c r="M58" s="5">
        <v>0</v>
      </c>
      <c r="N58" s="5" t="s">
        <v>568</v>
      </c>
      <c r="O58" s="5" t="s">
        <v>35</v>
      </c>
      <c r="P58" s="5">
        <v>0</v>
      </c>
      <c r="Q58" s="6"/>
      <c r="R58" s="5" t="s">
        <v>30</v>
      </c>
      <c r="S58" s="5" t="s">
        <v>288</v>
      </c>
      <c r="T58" s="6" t="s">
        <v>47</v>
      </c>
      <c r="U58" s="6" t="s">
        <v>559</v>
      </c>
      <c r="V58" s="25">
        <v>3</v>
      </c>
      <c r="W58" s="5">
        <v>18</v>
      </c>
      <c r="X58" s="7">
        <f t="shared" si="27"/>
        <v>63</v>
      </c>
      <c r="Y58" s="22">
        <f t="shared" si="28"/>
        <v>41</v>
      </c>
      <c r="Z58" s="15">
        <f t="shared" si="29"/>
        <v>22</v>
      </c>
      <c r="AA58" s="19">
        <v>10</v>
      </c>
      <c r="AB58" s="19">
        <v>4</v>
      </c>
      <c r="AC58" s="19">
        <v>11</v>
      </c>
      <c r="AD58" s="19">
        <v>2</v>
      </c>
      <c r="AE58" s="19">
        <v>4</v>
      </c>
      <c r="AF58" s="19">
        <v>1</v>
      </c>
      <c r="AG58" s="36">
        <f t="shared" si="41"/>
        <v>12</v>
      </c>
      <c r="AH58" s="36">
        <f t="shared" si="40"/>
        <v>0</v>
      </c>
      <c r="AI58" s="36">
        <f t="shared" si="40"/>
        <v>28</v>
      </c>
      <c r="AJ58" s="36">
        <f t="shared" si="39"/>
        <v>4</v>
      </c>
      <c r="AK58" s="36">
        <f t="shared" si="39"/>
        <v>0</v>
      </c>
      <c r="AL58" s="36">
        <f t="shared" si="39"/>
        <v>9</v>
      </c>
      <c r="AM58" s="7">
        <v>22</v>
      </c>
      <c r="AN58" s="7">
        <v>4</v>
      </c>
      <c r="AO58" s="7">
        <v>39</v>
      </c>
      <c r="AP58" s="7">
        <v>6</v>
      </c>
      <c r="AQ58" s="7">
        <v>4</v>
      </c>
      <c r="AR58" s="7">
        <v>10</v>
      </c>
      <c r="AS58" s="22">
        <f t="shared" si="36"/>
        <v>63</v>
      </c>
      <c r="AT58" s="22">
        <f t="shared" si="37"/>
        <v>7.3476702508960576</v>
      </c>
      <c r="AU58" s="5">
        <f t="shared" si="12"/>
        <v>32</v>
      </c>
      <c r="AV58" s="5">
        <f t="shared" si="13"/>
        <v>5.7347670250896057</v>
      </c>
      <c r="AW58" s="5">
        <f t="shared" si="14"/>
        <v>21</v>
      </c>
      <c r="AX58" s="5">
        <f t="shared" si="15"/>
        <v>2.150537634408602</v>
      </c>
      <c r="AY58" s="5">
        <f t="shared" si="20"/>
        <v>0</v>
      </c>
      <c r="AZ58" s="5">
        <f t="shared" si="16"/>
        <v>5.0179211469534053</v>
      </c>
      <c r="BA58" s="5">
        <f t="shared" si="17"/>
        <v>0.71684587813620071</v>
      </c>
      <c r="BB58" s="5">
        <f t="shared" si="18"/>
        <v>0</v>
      </c>
      <c r="BC58" s="5">
        <f t="shared" si="19"/>
        <v>1.6129032258064515</v>
      </c>
      <c r="BD58" s="6"/>
      <c r="BE58" s="6"/>
      <c r="BF58" s="59"/>
      <c r="BG58" s="6"/>
      <c r="BH58" s="5"/>
      <c r="BI58" s="5"/>
      <c r="BJ58" s="5" t="s">
        <v>568</v>
      </c>
    </row>
    <row r="59" spans="1:62">
      <c r="A59" s="2" t="s">
        <v>131</v>
      </c>
      <c r="B59" s="3" t="s">
        <v>32</v>
      </c>
      <c r="C59" s="3" t="s">
        <v>32</v>
      </c>
      <c r="D59" s="4">
        <v>94</v>
      </c>
      <c r="E59" s="4">
        <v>79</v>
      </c>
      <c r="F59" s="4">
        <v>2010</v>
      </c>
      <c r="G59" s="39">
        <v>10</v>
      </c>
      <c r="H59" s="28">
        <v>0</v>
      </c>
      <c r="I59" s="28">
        <v>2</v>
      </c>
      <c r="J59" s="12">
        <v>2018</v>
      </c>
      <c r="K59" s="5">
        <v>2024</v>
      </c>
      <c r="L59" s="5">
        <f t="shared" si="42"/>
        <v>5.58</v>
      </c>
      <c r="M59" s="5">
        <v>0</v>
      </c>
      <c r="N59" s="5" t="s">
        <v>144</v>
      </c>
      <c r="O59" s="5" t="s">
        <v>35</v>
      </c>
      <c r="P59" s="5">
        <v>0</v>
      </c>
      <c r="Q59" s="6"/>
      <c r="R59" s="5" t="s">
        <v>30</v>
      </c>
      <c r="S59" s="5" t="s">
        <v>145</v>
      </c>
      <c r="T59" s="6" t="s">
        <v>47</v>
      </c>
      <c r="U59" s="6" t="s">
        <v>559</v>
      </c>
      <c r="V59" s="25">
        <v>6</v>
      </c>
      <c r="W59" s="5">
        <v>17</v>
      </c>
      <c r="X59" s="7">
        <f t="shared" si="27"/>
        <v>143</v>
      </c>
      <c r="Y59" s="22">
        <f t="shared" si="28"/>
        <v>112</v>
      </c>
      <c r="Z59" s="15">
        <f t="shared" si="29"/>
        <v>31</v>
      </c>
      <c r="AA59" s="19">
        <v>7</v>
      </c>
      <c r="AB59" s="19">
        <v>2</v>
      </c>
      <c r="AC59" s="19">
        <v>24</v>
      </c>
      <c r="AD59" s="19">
        <v>0</v>
      </c>
      <c r="AE59" s="19">
        <v>0</v>
      </c>
      <c r="AF59" s="19">
        <v>5</v>
      </c>
      <c r="AG59" s="36">
        <f t="shared" si="41"/>
        <v>45</v>
      </c>
      <c r="AH59" s="36">
        <f t="shared" si="40"/>
        <v>4</v>
      </c>
      <c r="AI59" s="36">
        <f t="shared" si="40"/>
        <v>66</v>
      </c>
      <c r="AJ59" s="36">
        <f t="shared" si="39"/>
        <v>7</v>
      </c>
      <c r="AK59" s="36">
        <f t="shared" si="39"/>
        <v>6</v>
      </c>
      <c r="AL59" s="36">
        <f t="shared" si="39"/>
        <v>29</v>
      </c>
      <c r="AM59" s="7">
        <v>52</v>
      </c>
      <c r="AN59" s="7">
        <v>6</v>
      </c>
      <c r="AO59" s="7">
        <v>90</v>
      </c>
      <c r="AP59" s="7">
        <v>7</v>
      </c>
      <c r="AQ59" s="7">
        <v>6</v>
      </c>
      <c r="AR59" s="7">
        <v>34</v>
      </c>
      <c r="AS59" s="22">
        <f t="shared" si="36"/>
        <v>143</v>
      </c>
      <c r="AT59" s="22">
        <f t="shared" si="37"/>
        <v>20.071684587813621</v>
      </c>
      <c r="AU59" s="5">
        <f t="shared" si="12"/>
        <v>83</v>
      </c>
      <c r="AV59" s="5">
        <f t="shared" si="13"/>
        <v>14.874551971326165</v>
      </c>
      <c r="AW59" s="5">
        <f t="shared" si="14"/>
        <v>26</v>
      </c>
      <c r="AX59" s="5">
        <f t="shared" si="15"/>
        <v>8.064516129032258</v>
      </c>
      <c r="AY59" s="5">
        <f t="shared" si="20"/>
        <v>0.71684587813620071</v>
      </c>
      <c r="AZ59" s="5">
        <f t="shared" si="16"/>
        <v>11.827956989247312</v>
      </c>
      <c r="BA59" s="5">
        <f t="shared" si="17"/>
        <v>1.2544802867383513</v>
      </c>
      <c r="BB59" s="5">
        <f t="shared" si="18"/>
        <v>1.075268817204301</v>
      </c>
      <c r="BC59" s="5">
        <f t="shared" si="19"/>
        <v>5.1971326164874547</v>
      </c>
      <c r="BD59" s="6"/>
      <c r="BE59" s="6"/>
      <c r="BF59" s="59"/>
      <c r="BG59" s="6"/>
      <c r="BH59" s="5"/>
      <c r="BI59" s="5"/>
      <c r="BJ59" s="5" t="s">
        <v>144</v>
      </c>
    </row>
    <row r="60" spans="1:62">
      <c r="A60" s="2" t="s">
        <v>131</v>
      </c>
      <c r="B60" s="3" t="s">
        <v>32</v>
      </c>
      <c r="C60" s="3" t="s">
        <v>32</v>
      </c>
      <c r="D60" s="4">
        <v>94</v>
      </c>
      <c r="E60" s="4">
        <v>79</v>
      </c>
      <c r="F60" s="4">
        <v>2010</v>
      </c>
      <c r="G60" s="39">
        <v>10</v>
      </c>
      <c r="H60" s="28">
        <v>0</v>
      </c>
      <c r="I60" s="28">
        <v>2</v>
      </c>
      <c r="J60" s="5">
        <v>2016</v>
      </c>
      <c r="K60" s="5">
        <v>2023</v>
      </c>
      <c r="L60" s="5">
        <f>(K60-J60)</f>
        <v>7</v>
      </c>
      <c r="M60" s="5">
        <v>1</v>
      </c>
      <c r="N60" s="5" t="s">
        <v>146</v>
      </c>
      <c r="O60" s="5" t="s">
        <v>35</v>
      </c>
      <c r="P60" s="5">
        <v>0</v>
      </c>
      <c r="Q60" s="6"/>
      <c r="R60" s="5" t="s">
        <v>30</v>
      </c>
      <c r="S60" s="5" t="s">
        <v>147</v>
      </c>
      <c r="T60" s="6" t="s">
        <v>47</v>
      </c>
      <c r="U60" s="6">
        <v>0</v>
      </c>
      <c r="V60" s="25">
        <v>14</v>
      </c>
      <c r="W60" s="5">
        <v>5</v>
      </c>
      <c r="X60" s="7">
        <f t="shared" si="27"/>
        <v>19</v>
      </c>
      <c r="Y60" s="22">
        <f t="shared" si="28"/>
        <v>19</v>
      </c>
      <c r="Z60" s="15">
        <f t="shared" si="29"/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36">
        <f t="shared" si="41"/>
        <v>10</v>
      </c>
      <c r="AH60" s="36">
        <f t="shared" si="40"/>
        <v>2</v>
      </c>
      <c r="AI60" s="36">
        <f t="shared" si="40"/>
        <v>12</v>
      </c>
      <c r="AJ60" s="36">
        <f t="shared" si="39"/>
        <v>3</v>
      </c>
      <c r="AK60" s="36">
        <f t="shared" si="39"/>
        <v>0</v>
      </c>
      <c r="AL60" s="36">
        <f t="shared" si="39"/>
        <v>2</v>
      </c>
      <c r="AM60" s="7">
        <v>10</v>
      </c>
      <c r="AN60" s="7">
        <v>2</v>
      </c>
      <c r="AO60" s="7">
        <v>12</v>
      </c>
      <c r="AP60" s="7">
        <v>3</v>
      </c>
      <c r="AQ60" s="7">
        <v>0</v>
      </c>
      <c r="AR60" s="7">
        <v>2</v>
      </c>
      <c r="AS60" s="22">
        <f t="shared" si="36"/>
        <v>19</v>
      </c>
      <c r="AT60" s="22">
        <f t="shared" si="37"/>
        <v>2.7142857142857144</v>
      </c>
      <c r="AU60" s="5">
        <f t="shared" si="12"/>
        <v>17</v>
      </c>
      <c r="AV60" s="5">
        <f t="shared" si="13"/>
        <v>2.4285714285714284</v>
      </c>
      <c r="AW60" s="5">
        <f t="shared" si="14"/>
        <v>0</v>
      </c>
      <c r="AX60" s="5">
        <f t="shared" si="15"/>
        <v>1.4285714285714286</v>
      </c>
      <c r="AY60" s="5">
        <f t="shared" si="20"/>
        <v>0.2857142857142857</v>
      </c>
      <c r="AZ60" s="5">
        <f t="shared" si="16"/>
        <v>1.7142857142857142</v>
      </c>
      <c r="BA60" s="5">
        <f t="shared" si="17"/>
        <v>0.42857142857142855</v>
      </c>
      <c r="BB60" s="5">
        <f t="shared" si="18"/>
        <v>0</v>
      </c>
      <c r="BC60" s="5">
        <f t="shared" si="19"/>
        <v>0.2857142857142857</v>
      </c>
      <c r="BD60" s="6"/>
      <c r="BE60" s="6"/>
      <c r="BF60" s="59">
        <v>0</v>
      </c>
      <c r="BG60" s="6" t="s">
        <v>716</v>
      </c>
      <c r="BH60" s="5"/>
      <c r="BI60" s="5"/>
      <c r="BJ60" s="5" t="s">
        <v>146</v>
      </c>
    </row>
    <row r="61" spans="1:62">
      <c r="A61" s="2" t="s">
        <v>131</v>
      </c>
      <c r="B61" s="3" t="s">
        <v>32</v>
      </c>
      <c r="C61" s="3" t="s">
        <v>32</v>
      </c>
      <c r="D61" s="4">
        <v>94</v>
      </c>
      <c r="E61" s="4">
        <v>79</v>
      </c>
      <c r="F61" s="4">
        <v>2010</v>
      </c>
      <c r="G61" s="39">
        <v>10</v>
      </c>
      <c r="H61" s="28">
        <v>0</v>
      </c>
      <c r="I61" s="28">
        <v>2</v>
      </c>
      <c r="J61" s="5">
        <v>2015</v>
      </c>
      <c r="K61" s="5">
        <v>2023</v>
      </c>
      <c r="L61" s="5">
        <f>(K61-J61)</f>
        <v>8</v>
      </c>
      <c r="M61" s="5">
        <v>1</v>
      </c>
      <c r="N61" s="5" t="s">
        <v>148</v>
      </c>
      <c r="O61" s="5" t="s">
        <v>35</v>
      </c>
      <c r="P61" s="5">
        <v>0</v>
      </c>
      <c r="Q61" s="6"/>
      <c r="R61" s="5" t="s">
        <v>30</v>
      </c>
      <c r="S61" s="5" t="s">
        <v>59</v>
      </c>
      <c r="T61" s="6" t="s">
        <v>101</v>
      </c>
      <c r="U61" s="6">
        <v>0</v>
      </c>
      <c r="V61" s="25">
        <v>37</v>
      </c>
      <c r="W61" s="5">
        <v>4</v>
      </c>
      <c r="X61" s="7">
        <f t="shared" si="27"/>
        <v>25</v>
      </c>
      <c r="Y61" s="22">
        <f t="shared" si="28"/>
        <v>16</v>
      </c>
      <c r="Z61" s="15">
        <f t="shared" si="29"/>
        <v>9</v>
      </c>
      <c r="AA61" s="19">
        <v>2</v>
      </c>
      <c r="AB61" s="19">
        <v>0</v>
      </c>
      <c r="AC61" s="19">
        <v>8</v>
      </c>
      <c r="AD61" s="19">
        <v>0</v>
      </c>
      <c r="AE61" s="19">
        <v>1</v>
      </c>
      <c r="AF61" s="19">
        <v>0</v>
      </c>
      <c r="AG61" s="36">
        <f t="shared" si="41"/>
        <v>1</v>
      </c>
      <c r="AH61" s="36">
        <f t="shared" si="40"/>
        <v>3</v>
      </c>
      <c r="AI61" s="36">
        <f t="shared" si="40"/>
        <v>9</v>
      </c>
      <c r="AJ61" s="36">
        <f t="shared" si="39"/>
        <v>2</v>
      </c>
      <c r="AK61" s="36">
        <f t="shared" si="39"/>
        <v>0</v>
      </c>
      <c r="AL61" s="36">
        <f t="shared" si="39"/>
        <v>2</v>
      </c>
      <c r="AM61" s="7">
        <v>3</v>
      </c>
      <c r="AN61" s="7">
        <v>3</v>
      </c>
      <c r="AO61" s="7">
        <v>17</v>
      </c>
      <c r="AP61" s="7">
        <v>2</v>
      </c>
      <c r="AQ61" s="7">
        <v>1</v>
      </c>
      <c r="AR61" s="7">
        <v>2</v>
      </c>
      <c r="AS61" s="22">
        <f t="shared" si="36"/>
        <v>25</v>
      </c>
      <c r="AT61" s="22">
        <f t="shared" si="37"/>
        <v>2</v>
      </c>
      <c r="AU61" s="5">
        <f t="shared" si="12"/>
        <v>14</v>
      </c>
      <c r="AV61" s="5">
        <f t="shared" si="13"/>
        <v>1.75</v>
      </c>
      <c r="AW61" s="5">
        <f t="shared" si="14"/>
        <v>9</v>
      </c>
      <c r="AX61" s="5">
        <f t="shared" si="15"/>
        <v>0.125</v>
      </c>
      <c r="AY61" s="5">
        <f t="shared" si="20"/>
        <v>0.375</v>
      </c>
      <c r="AZ61" s="5">
        <f t="shared" si="16"/>
        <v>1.125</v>
      </c>
      <c r="BA61" s="5">
        <f t="shared" si="17"/>
        <v>0.25</v>
      </c>
      <c r="BB61" s="5">
        <f t="shared" si="18"/>
        <v>0</v>
      </c>
      <c r="BC61" s="5">
        <f t="shared" si="19"/>
        <v>0.25</v>
      </c>
      <c r="BD61" s="6"/>
      <c r="BE61" s="6"/>
      <c r="BF61" s="59">
        <v>0</v>
      </c>
      <c r="BG61" s="6" t="s">
        <v>717</v>
      </c>
      <c r="BH61" s="5"/>
      <c r="BI61" s="5"/>
      <c r="BJ61" s="5" t="s">
        <v>148</v>
      </c>
    </row>
    <row r="62" spans="1:62">
      <c r="A62" s="2" t="s">
        <v>131</v>
      </c>
      <c r="B62" s="3" t="s">
        <v>32</v>
      </c>
      <c r="C62" s="3" t="s">
        <v>32</v>
      </c>
      <c r="D62" s="4">
        <v>94</v>
      </c>
      <c r="E62" s="4">
        <v>79</v>
      </c>
      <c r="F62" s="4">
        <v>2010</v>
      </c>
      <c r="G62" s="39">
        <v>10</v>
      </c>
      <c r="H62" s="28">
        <v>0</v>
      </c>
      <c r="I62" s="28">
        <v>2</v>
      </c>
      <c r="J62" s="5">
        <v>2018</v>
      </c>
      <c r="K62" s="5">
        <v>2024</v>
      </c>
      <c r="L62" s="5">
        <f>(K62-J62)-0.42</f>
        <v>5.58</v>
      </c>
      <c r="M62" s="5">
        <v>0</v>
      </c>
      <c r="N62" s="5" t="s">
        <v>149</v>
      </c>
      <c r="O62" s="5" t="s">
        <v>35</v>
      </c>
      <c r="P62" s="5">
        <v>0</v>
      </c>
      <c r="Q62" s="6"/>
      <c r="R62" s="5" t="s">
        <v>30</v>
      </c>
      <c r="S62" s="5" t="s">
        <v>150</v>
      </c>
      <c r="T62" s="6" t="s">
        <v>101</v>
      </c>
      <c r="U62" s="6">
        <v>0</v>
      </c>
      <c r="V62" s="25">
        <v>32</v>
      </c>
      <c r="W62" s="5">
        <v>2</v>
      </c>
      <c r="X62" s="7">
        <f t="shared" si="27"/>
        <v>6</v>
      </c>
      <c r="Y62" s="22">
        <f t="shared" si="28"/>
        <v>3</v>
      </c>
      <c r="Z62" s="15">
        <f t="shared" si="29"/>
        <v>3</v>
      </c>
      <c r="AA62" s="19">
        <v>0</v>
      </c>
      <c r="AB62" s="19">
        <v>0</v>
      </c>
      <c r="AC62" s="19">
        <v>2</v>
      </c>
      <c r="AD62" s="19">
        <v>0</v>
      </c>
      <c r="AE62" s="19">
        <v>0</v>
      </c>
      <c r="AF62" s="19">
        <v>1</v>
      </c>
      <c r="AG62" s="36">
        <f t="shared" si="41"/>
        <v>0</v>
      </c>
      <c r="AH62" s="36">
        <f t="shared" si="40"/>
        <v>1</v>
      </c>
      <c r="AI62" s="36">
        <f t="shared" si="40"/>
        <v>2</v>
      </c>
      <c r="AJ62" s="36">
        <f t="shared" si="39"/>
        <v>0</v>
      </c>
      <c r="AK62" s="36">
        <f t="shared" si="39"/>
        <v>0</v>
      </c>
      <c r="AL62" s="36">
        <f t="shared" si="39"/>
        <v>0</v>
      </c>
      <c r="AM62" s="7">
        <v>0</v>
      </c>
      <c r="AN62" s="7">
        <v>1</v>
      </c>
      <c r="AO62" s="7">
        <v>4</v>
      </c>
      <c r="AP62" s="7">
        <v>0</v>
      </c>
      <c r="AQ62" s="7">
        <v>0</v>
      </c>
      <c r="AR62" s="7">
        <v>1</v>
      </c>
      <c r="AS62" s="22">
        <f t="shared" si="36"/>
        <v>6</v>
      </c>
      <c r="AT62" s="22">
        <f t="shared" si="37"/>
        <v>0.5376344086021505</v>
      </c>
      <c r="AU62" s="5">
        <f t="shared" si="12"/>
        <v>3</v>
      </c>
      <c r="AV62" s="5">
        <f t="shared" si="13"/>
        <v>0.5376344086021505</v>
      </c>
      <c r="AW62" s="5">
        <f t="shared" si="14"/>
        <v>2</v>
      </c>
      <c r="AX62" s="5">
        <f t="shared" si="15"/>
        <v>0</v>
      </c>
      <c r="AY62" s="5">
        <f t="shared" si="20"/>
        <v>0.17921146953405018</v>
      </c>
      <c r="AZ62" s="5">
        <f t="shared" si="16"/>
        <v>0.35842293906810035</v>
      </c>
      <c r="BA62" s="5">
        <f t="shared" si="17"/>
        <v>0</v>
      </c>
      <c r="BB62" s="5">
        <f t="shared" si="18"/>
        <v>0</v>
      </c>
      <c r="BC62" s="5">
        <f t="shared" si="19"/>
        <v>0</v>
      </c>
      <c r="BD62" s="6"/>
      <c r="BE62" s="6"/>
      <c r="BF62" s="59"/>
      <c r="BG62" s="6"/>
      <c r="BH62" s="5"/>
      <c r="BI62" s="5"/>
      <c r="BJ62" s="5" t="s">
        <v>149</v>
      </c>
    </row>
    <row r="63" spans="1:62">
      <c r="A63" s="2" t="s">
        <v>131</v>
      </c>
      <c r="B63" s="3" t="s">
        <v>32</v>
      </c>
      <c r="C63" s="3" t="s">
        <v>32</v>
      </c>
      <c r="D63" s="4">
        <v>94</v>
      </c>
      <c r="E63" s="4">
        <v>79</v>
      </c>
      <c r="F63" s="4">
        <v>2010</v>
      </c>
      <c r="G63" s="39">
        <v>10</v>
      </c>
      <c r="H63" s="28">
        <v>0</v>
      </c>
      <c r="I63" s="28">
        <v>2</v>
      </c>
      <c r="J63" s="5">
        <v>2018</v>
      </c>
      <c r="K63" s="5">
        <v>2024</v>
      </c>
      <c r="L63" s="5">
        <f>(K63-J63)-0.42</f>
        <v>5.58</v>
      </c>
      <c r="M63" s="5">
        <v>0</v>
      </c>
      <c r="N63" s="5" t="s">
        <v>151</v>
      </c>
      <c r="O63" s="5" t="s">
        <v>35</v>
      </c>
      <c r="P63" s="5">
        <v>0</v>
      </c>
      <c r="Q63" s="6"/>
      <c r="R63" s="5" t="s">
        <v>30</v>
      </c>
      <c r="S63" s="5" t="s">
        <v>288</v>
      </c>
      <c r="T63" s="6" t="s">
        <v>47</v>
      </c>
      <c r="U63" s="6" t="s">
        <v>559</v>
      </c>
      <c r="V63" s="25">
        <v>3</v>
      </c>
      <c r="W63" s="5">
        <v>4</v>
      </c>
      <c r="X63" s="7">
        <f t="shared" si="27"/>
        <v>14</v>
      </c>
      <c r="Y63" s="22">
        <f t="shared" si="28"/>
        <v>13</v>
      </c>
      <c r="Z63" s="15">
        <f t="shared" si="29"/>
        <v>1</v>
      </c>
      <c r="AA63" s="19">
        <v>0</v>
      </c>
      <c r="AB63" s="19">
        <v>0</v>
      </c>
      <c r="AC63" s="19">
        <v>1</v>
      </c>
      <c r="AD63" s="19">
        <v>0</v>
      </c>
      <c r="AE63" s="19">
        <v>0</v>
      </c>
      <c r="AF63" s="19">
        <v>0</v>
      </c>
      <c r="AG63" s="36">
        <f t="shared" si="41"/>
        <v>4</v>
      </c>
      <c r="AH63" s="36">
        <f t="shared" si="40"/>
        <v>1</v>
      </c>
      <c r="AI63" s="36">
        <f t="shared" si="40"/>
        <v>7</v>
      </c>
      <c r="AJ63" s="36">
        <f t="shared" si="39"/>
        <v>0</v>
      </c>
      <c r="AK63" s="36">
        <f t="shared" si="39"/>
        <v>2</v>
      </c>
      <c r="AL63" s="36">
        <f t="shared" si="39"/>
        <v>3</v>
      </c>
      <c r="AM63" s="7">
        <v>4</v>
      </c>
      <c r="AN63" s="7">
        <v>1</v>
      </c>
      <c r="AO63" s="7">
        <v>8</v>
      </c>
      <c r="AP63" s="7">
        <v>0</v>
      </c>
      <c r="AQ63" s="7">
        <v>2</v>
      </c>
      <c r="AR63" s="7">
        <v>3</v>
      </c>
      <c r="AS63" s="22">
        <f t="shared" si="36"/>
        <v>14</v>
      </c>
      <c r="AT63" s="22">
        <f t="shared" si="37"/>
        <v>2.3297491039426523</v>
      </c>
      <c r="AU63" s="5">
        <f t="shared" si="12"/>
        <v>10</v>
      </c>
      <c r="AV63" s="5">
        <f t="shared" si="13"/>
        <v>1.7921146953405018</v>
      </c>
      <c r="AW63" s="5">
        <f t="shared" si="14"/>
        <v>1</v>
      </c>
      <c r="AX63" s="5">
        <f t="shared" si="15"/>
        <v>0.71684587813620071</v>
      </c>
      <c r="AY63" s="5">
        <f t="shared" si="20"/>
        <v>0.17921146953405018</v>
      </c>
      <c r="AZ63" s="5">
        <f t="shared" si="16"/>
        <v>1.2544802867383513</v>
      </c>
      <c r="BA63" s="5">
        <f t="shared" si="17"/>
        <v>0</v>
      </c>
      <c r="BB63" s="5">
        <f t="shared" si="18"/>
        <v>0.35842293906810035</v>
      </c>
      <c r="BC63" s="5">
        <f t="shared" si="19"/>
        <v>0.5376344086021505</v>
      </c>
      <c r="BD63" s="6"/>
      <c r="BE63" s="6"/>
      <c r="BF63" s="59"/>
      <c r="BG63" s="6"/>
      <c r="BH63" s="5"/>
      <c r="BI63" s="5"/>
      <c r="BJ63" s="5" t="s">
        <v>151</v>
      </c>
    </row>
    <row r="64" spans="1:62">
      <c r="A64" s="2" t="s">
        <v>131</v>
      </c>
      <c r="B64" s="3" t="s">
        <v>32</v>
      </c>
      <c r="C64" s="3" t="s">
        <v>32</v>
      </c>
      <c r="D64" s="4">
        <v>94</v>
      </c>
      <c r="E64" s="4">
        <v>79</v>
      </c>
      <c r="F64" s="4">
        <v>2010</v>
      </c>
      <c r="G64" s="39">
        <v>10</v>
      </c>
      <c r="H64" s="28">
        <v>0</v>
      </c>
      <c r="I64" s="28">
        <v>2</v>
      </c>
      <c r="J64" s="5">
        <v>2016</v>
      </c>
      <c r="K64" s="5">
        <v>2022</v>
      </c>
      <c r="L64" s="5">
        <f>(K64-J64)</f>
        <v>6</v>
      </c>
      <c r="M64" s="5">
        <v>1</v>
      </c>
      <c r="N64" s="39" t="s">
        <v>569</v>
      </c>
      <c r="O64" s="5" t="s">
        <v>35</v>
      </c>
      <c r="P64" s="5">
        <v>0</v>
      </c>
      <c r="Q64" s="6"/>
      <c r="R64" s="5" t="s">
        <v>39</v>
      </c>
      <c r="S64" s="5" t="s">
        <v>288</v>
      </c>
      <c r="T64" s="6" t="s">
        <v>47</v>
      </c>
      <c r="U64" s="6" t="s">
        <v>559</v>
      </c>
      <c r="V64" s="25">
        <v>3</v>
      </c>
      <c r="W64" s="5">
        <v>6</v>
      </c>
      <c r="X64" s="7">
        <f t="shared" si="27"/>
        <v>13</v>
      </c>
      <c r="Y64" s="22">
        <f t="shared" si="28"/>
        <v>13</v>
      </c>
      <c r="Z64" s="15">
        <f t="shared" si="29"/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36">
        <f t="shared" si="41"/>
        <v>5</v>
      </c>
      <c r="AH64" s="36">
        <f t="shared" si="40"/>
        <v>0</v>
      </c>
      <c r="AI64" s="36">
        <f t="shared" si="40"/>
        <v>5</v>
      </c>
      <c r="AJ64" s="36">
        <f t="shared" si="39"/>
        <v>4</v>
      </c>
      <c r="AK64" s="36">
        <f t="shared" si="39"/>
        <v>4</v>
      </c>
      <c r="AL64" s="36">
        <f t="shared" si="39"/>
        <v>0</v>
      </c>
      <c r="AM64" s="45">
        <v>5</v>
      </c>
      <c r="AN64" s="45">
        <v>0</v>
      </c>
      <c r="AO64" s="45">
        <v>5</v>
      </c>
      <c r="AP64" s="45">
        <v>4</v>
      </c>
      <c r="AQ64" s="45">
        <v>4</v>
      </c>
      <c r="AR64" s="45">
        <v>0</v>
      </c>
      <c r="AS64" s="22">
        <f t="shared" si="36"/>
        <v>13</v>
      </c>
      <c r="AT64" s="22">
        <f t="shared" si="37"/>
        <v>2.1666666666666665</v>
      </c>
      <c r="AU64" s="5">
        <f t="shared" si="12"/>
        <v>13</v>
      </c>
      <c r="AV64" s="5">
        <f t="shared" si="13"/>
        <v>2.1666666666666665</v>
      </c>
      <c r="AW64" s="5">
        <f t="shared" si="14"/>
        <v>0</v>
      </c>
      <c r="AX64" s="5">
        <f t="shared" si="15"/>
        <v>0.83333333333333337</v>
      </c>
      <c r="AY64" s="5">
        <f t="shared" si="20"/>
        <v>0</v>
      </c>
      <c r="AZ64" s="5">
        <f t="shared" si="16"/>
        <v>0.83333333333333337</v>
      </c>
      <c r="BA64" s="5">
        <f t="shared" si="17"/>
        <v>0.66666666666666663</v>
      </c>
      <c r="BB64" s="5">
        <f t="shared" si="18"/>
        <v>0.66666666666666663</v>
      </c>
      <c r="BC64" s="5">
        <f t="shared" si="19"/>
        <v>0</v>
      </c>
      <c r="BD64" s="6"/>
      <c r="BE64" s="6"/>
      <c r="BF64" s="59">
        <v>0</v>
      </c>
      <c r="BG64" s="6" t="s">
        <v>570</v>
      </c>
      <c r="BH64" s="5"/>
      <c r="BI64" s="5"/>
      <c r="BJ64" s="39" t="s">
        <v>569</v>
      </c>
    </row>
    <row r="65" spans="1:62" s="5" customFormat="1">
      <c r="A65" s="2" t="s">
        <v>131</v>
      </c>
      <c r="B65" s="3" t="s">
        <v>32</v>
      </c>
      <c r="C65" s="3" t="s">
        <v>32</v>
      </c>
      <c r="D65" s="4">
        <v>94</v>
      </c>
      <c r="E65" s="4">
        <v>79</v>
      </c>
      <c r="F65" s="4">
        <v>2010</v>
      </c>
      <c r="G65" s="39">
        <v>10</v>
      </c>
      <c r="H65" s="28">
        <v>0</v>
      </c>
      <c r="I65" s="28">
        <v>2</v>
      </c>
      <c r="J65" s="5">
        <v>2015</v>
      </c>
      <c r="K65" s="5">
        <v>2022</v>
      </c>
      <c r="L65" s="5">
        <v>6</v>
      </c>
      <c r="M65" s="5">
        <v>1</v>
      </c>
      <c r="N65" s="39" t="s">
        <v>696</v>
      </c>
      <c r="O65" s="5" t="s">
        <v>35</v>
      </c>
      <c r="P65" s="5">
        <v>0</v>
      </c>
      <c r="Q65" s="6"/>
      <c r="R65" s="5" t="s">
        <v>30</v>
      </c>
      <c r="S65" s="5" t="s">
        <v>697</v>
      </c>
      <c r="T65" s="6" t="s">
        <v>47</v>
      </c>
      <c r="U65" s="6">
        <v>0</v>
      </c>
      <c r="V65" s="25">
        <v>11</v>
      </c>
      <c r="W65" s="5">
        <v>11</v>
      </c>
      <c r="X65" s="7">
        <f t="shared" ref="X65" si="43">SUM(Y65:Z65)</f>
        <v>18</v>
      </c>
      <c r="Y65" s="22">
        <f t="shared" ref="Y65" si="44">AS65-Z65</f>
        <v>12</v>
      </c>
      <c r="Z65" s="15">
        <f t="shared" ref="Z65" si="45">SUM(AB65:AF65)</f>
        <v>6</v>
      </c>
      <c r="AA65" s="47">
        <v>1</v>
      </c>
      <c r="AB65" s="47">
        <v>4</v>
      </c>
      <c r="AC65" s="47">
        <v>1</v>
      </c>
      <c r="AD65" s="47">
        <v>0</v>
      </c>
      <c r="AE65" s="47">
        <v>1</v>
      </c>
      <c r="AF65" s="47">
        <v>0</v>
      </c>
      <c r="AG65" s="36">
        <f t="shared" si="41"/>
        <v>6</v>
      </c>
      <c r="AH65" s="36">
        <f t="shared" si="40"/>
        <v>1</v>
      </c>
      <c r="AI65" s="36">
        <f t="shared" si="40"/>
        <v>2</v>
      </c>
      <c r="AJ65" s="36">
        <f t="shared" si="39"/>
        <v>0</v>
      </c>
      <c r="AK65" s="36">
        <f t="shared" si="39"/>
        <v>4</v>
      </c>
      <c r="AL65" s="36">
        <f t="shared" si="39"/>
        <v>5</v>
      </c>
      <c r="AM65" s="45">
        <v>7</v>
      </c>
      <c r="AN65" s="45">
        <v>5</v>
      </c>
      <c r="AO65" s="45">
        <v>3</v>
      </c>
      <c r="AP65" s="45">
        <v>0</v>
      </c>
      <c r="AQ65" s="45">
        <v>5</v>
      </c>
      <c r="AR65" s="45">
        <v>5</v>
      </c>
      <c r="AS65" s="22">
        <f t="shared" ref="AS65" si="46">AN65+AO65+AP65+AQ65+AR65</f>
        <v>18</v>
      </c>
      <c r="AT65" s="22">
        <f t="shared" si="37"/>
        <v>2</v>
      </c>
      <c r="AU65" s="5">
        <f t="shared" si="12"/>
        <v>7</v>
      </c>
      <c r="AV65" s="5">
        <f t="shared" si="13"/>
        <v>1.1666666666666667</v>
      </c>
      <c r="AW65" s="5">
        <f t="shared" si="14"/>
        <v>6</v>
      </c>
      <c r="AX65" s="5">
        <f t="shared" si="15"/>
        <v>1</v>
      </c>
      <c r="AY65" s="5">
        <f t="shared" si="20"/>
        <v>0.16666666666666666</v>
      </c>
      <c r="AZ65" s="5">
        <f t="shared" si="16"/>
        <v>0.33333333333333331</v>
      </c>
      <c r="BA65" s="5">
        <f t="shared" si="17"/>
        <v>0</v>
      </c>
      <c r="BB65" s="5">
        <f t="shared" si="18"/>
        <v>0.66666666666666663</v>
      </c>
      <c r="BC65" s="5">
        <f t="shared" si="19"/>
        <v>0.83333333333333337</v>
      </c>
      <c r="BD65" s="5">
        <v>4</v>
      </c>
      <c r="BF65" s="59">
        <v>1</v>
      </c>
      <c r="BG65" s="5" t="s">
        <v>698</v>
      </c>
      <c r="BJ65" s="39" t="s">
        <v>696</v>
      </c>
    </row>
    <row r="66" spans="1:62">
      <c r="A66" s="2" t="s">
        <v>152</v>
      </c>
      <c r="B66" s="3" t="s">
        <v>32</v>
      </c>
      <c r="C66" s="3" t="s">
        <v>32</v>
      </c>
      <c r="D66" s="4">
        <v>97</v>
      </c>
      <c r="E66" s="4">
        <v>82</v>
      </c>
      <c r="F66" s="4">
        <v>2014</v>
      </c>
      <c r="G66" s="39">
        <v>5</v>
      </c>
      <c r="H66" s="28">
        <v>0</v>
      </c>
      <c r="I66" s="28">
        <v>1</v>
      </c>
      <c r="J66" s="5">
        <v>2022</v>
      </c>
      <c r="K66" s="5">
        <v>2024</v>
      </c>
      <c r="L66" s="5">
        <f>(K66-J66)-0.42</f>
        <v>1.58</v>
      </c>
      <c r="M66" s="5">
        <v>0</v>
      </c>
      <c r="N66" s="5" t="s">
        <v>153</v>
      </c>
      <c r="O66" s="5" t="s">
        <v>28</v>
      </c>
      <c r="P66" s="5">
        <v>0</v>
      </c>
      <c r="Q66" s="6"/>
      <c r="R66" s="5" t="s">
        <v>30</v>
      </c>
      <c r="S66" s="5" t="s">
        <v>288</v>
      </c>
      <c r="T66" s="6" t="s">
        <v>47</v>
      </c>
      <c r="U66" s="6" t="s">
        <v>559</v>
      </c>
      <c r="V66" s="25">
        <v>3</v>
      </c>
      <c r="W66" s="5">
        <v>6</v>
      </c>
      <c r="X66" s="7">
        <f>SUM(Y66:Z66)</f>
        <v>7</v>
      </c>
      <c r="Y66" s="22">
        <f>AS66-Z66</f>
        <v>2</v>
      </c>
      <c r="Z66" s="15">
        <f>SUM(AB66:AF66)</f>
        <v>5</v>
      </c>
      <c r="AA66" s="19">
        <v>3</v>
      </c>
      <c r="AB66" s="19">
        <v>0</v>
      </c>
      <c r="AC66" s="19">
        <v>3</v>
      </c>
      <c r="AD66" s="19">
        <v>0</v>
      </c>
      <c r="AE66" s="19">
        <v>2</v>
      </c>
      <c r="AF66" s="19">
        <v>0</v>
      </c>
      <c r="AG66" s="36">
        <f t="shared" si="41"/>
        <v>2</v>
      </c>
      <c r="AH66" s="36">
        <f t="shared" si="40"/>
        <v>0</v>
      </c>
      <c r="AI66" s="36">
        <f t="shared" si="40"/>
        <v>2</v>
      </c>
      <c r="AJ66" s="36">
        <f t="shared" si="39"/>
        <v>0</v>
      </c>
      <c r="AK66" s="36">
        <f t="shared" si="39"/>
        <v>0</v>
      </c>
      <c r="AL66" s="36">
        <f t="shared" si="39"/>
        <v>0</v>
      </c>
      <c r="AM66" s="7">
        <v>5</v>
      </c>
      <c r="AN66" s="7">
        <v>0</v>
      </c>
      <c r="AO66" s="7">
        <v>5</v>
      </c>
      <c r="AP66" s="7">
        <v>0</v>
      </c>
      <c r="AQ66" s="7">
        <v>2</v>
      </c>
      <c r="AR66" s="7">
        <v>0</v>
      </c>
      <c r="AS66" s="22">
        <f>AN66+AO66+AP66+AQ66+AR66</f>
        <v>7</v>
      </c>
      <c r="AT66" s="22">
        <f t="shared" si="37"/>
        <v>1.2658227848101264</v>
      </c>
      <c r="AU66" s="5">
        <f t="shared" si="12"/>
        <v>2</v>
      </c>
      <c r="AV66" s="5">
        <f t="shared" si="13"/>
        <v>1.2658227848101264</v>
      </c>
      <c r="AW66" s="5">
        <f t="shared" si="14"/>
        <v>5</v>
      </c>
      <c r="AX66" s="5">
        <f t="shared" si="15"/>
        <v>1.2658227848101264</v>
      </c>
      <c r="AY66" s="5">
        <f t="shared" si="20"/>
        <v>0</v>
      </c>
      <c r="AZ66" s="5">
        <f t="shared" si="16"/>
        <v>1.2658227848101264</v>
      </c>
      <c r="BA66" s="5">
        <f t="shared" si="17"/>
        <v>0</v>
      </c>
      <c r="BB66" s="5">
        <f t="shared" si="18"/>
        <v>0</v>
      </c>
      <c r="BC66" s="5">
        <f t="shared" si="19"/>
        <v>0</v>
      </c>
      <c r="BD66" s="6"/>
      <c r="BE66" s="6"/>
      <c r="BF66" s="59"/>
      <c r="BG66" s="6"/>
      <c r="BH66" s="5"/>
      <c r="BI66" s="5"/>
      <c r="BJ66" s="5" t="s">
        <v>153</v>
      </c>
    </row>
    <row r="67" spans="1:62">
      <c r="A67" s="2" t="s">
        <v>152</v>
      </c>
      <c r="B67" s="3" t="s">
        <v>32</v>
      </c>
      <c r="C67" s="3" t="s">
        <v>32</v>
      </c>
      <c r="D67" s="4">
        <v>97</v>
      </c>
      <c r="E67" s="4">
        <v>82</v>
      </c>
      <c r="F67" s="4">
        <v>2014</v>
      </c>
      <c r="G67" s="39">
        <v>5</v>
      </c>
      <c r="H67" s="28">
        <v>0</v>
      </c>
      <c r="I67" s="28">
        <v>1</v>
      </c>
      <c r="J67" s="5">
        <v>2021</v>
      </c>
      <c r="K67" s="5">
        <v>2024</v>
      </c>
      <c r="L67" s="5">
        <f>(K67-J67)-0.42</f>
        <v>2.58</v>
      </c>
      <c r="M67" s="5">
        <v>0</v>
      </c>
      <c r="N67" s="5" t="s">
        <v>154</v>
      </c>
      <c r="O67" s="5" t="s">
        <v>28</v>
      </c>
      <c r="P67" s="5">
        <v>0</v>
      </c>
      <c r="Q67" s="6"/>
      <c r="R67" s="5" t="s">
        <v>30</v>
      </c>
      <c r="S67" s="5" t="s">
        <v>104</v>
      </c>
      <c r="T67" s="6" t="s">
        <v>101</v>
      </c>
      <c r="U67" s="6">
        <v>0</v>
      </c>
      <c r="V67" s="25">
        <v>22</v>
      </c>
      <c r="W67" s="5">
        <v>10</v>
      </c>
      <c r="X67" s="7">
        <f t="shared" ref="X67:X131" si="47">SUM(Y67:Z67)</f>
        <v>32</v>
      </c>
      <c r="Y67" s="22">
        <f t="shared" ref="Y67:Y131" si="48">AS67-Z67</f>
        <v>8</v>
      </c>
      <c r="Z67" s="15">
        <f t="shared" ref="Z67:Z112" si="49">SUM(AB67:AF67)</f>
        <v>24</v>
      </c>
      <c r="AA67" s="19">
        <v>11</v>
      </c>
      <c r="AB67" s="19">
        <v>1</v>
      </c>
      <c r="AC67" s="19">
        <v>12</v>
      </c>
      <c r="AD67" s="19">
        <v>1</v>
      </c>
      <c r="AE67" s="19">
        <v>4</v>
      </c>
      <c r="AF67" s="19">
        <v>6</v>
      </c>
      <c r="AG67" s="36">
        <f t="shared" si="41"/>
        <v>3</v>
      </c>
      <c r="AH67" s="36">
        <f t="shared" si="40"/>
        <v>0</v>
      </c>
      <c r="AI67" s="36">
        <f t="shared" si="40"/>
        <v>7</v>
      </c>
      <c r="AJ67" s="36">
        <f t="shared" si="39"/>
        <v>0</v>
      </c>
      <c r="AK67" s="36">
        <f t="shared" si="39"/>
        <v>1</v>
      </c>
      <c r="AL67" s="36">
        <f t="shared" si="39"/>
        <v>0</v>
      </c>
      <c r="AM67" s="7">
        <v>14</v>
      </c>
      <c r="AN67" s="7">
        <v>1</v>
      </c>
      <c r="AO67" s="7">
        <v>19</v>
      </c>
      <c r="AP67" s="7">
        <v>1</v>
      </c>
      <c r="AQ67" s="7">
        <v>5</v>
      </c>
      <c r="AR67" s="7">
        <v>6</v>
      </c>
      <c r="AS67" s="22">
        <f t="shared" ref="AS67:AS131" si="50">AN67+AO67+AP67+AQ67+AR67</f>
        <v>32</v>
      </c>
      <c r="AT67" s="22">
        <f t="shared" ref="AT67:AT131" si="51">Y67/L67</f>
        <v>3.1007751937984493</v>
      </c>
      <c r="AU67" s="5">
        <f t="shared" si="12"/>
        <v>8</v>
      </c>
      <c r="AV67" s="5">
        <f t="shared" si="13"/>
        <v>3.1007751937984493</v>
      </c>
      <c r="AW67" s="5">
        <f t="shared" si="14"/>
        <v>18</v>
      </c>
      <c r="AX67" s="5">
        <f t="shared" si="15"/>
        <v>1.1627906976744187</v>
      </c>
      <c r="AY67" s="5">
        <f t="shared" si="20"/>
        <v>0</v>
      </c>
      <c r="AZ67" s="5">
        <f t="shared" si="16"/>
        <v>2.7131782945736433</v>
      </c>
      <c r="BA67" s="5">
        <f t="shared" si="17"/>
        <v>0</v>
      </c>
      <c r="BB67" s="5">
        <f t="shared" si="18"/>
        <v>0.38759689922480617</v>
      </c>
      <c r="BC67" s="5">
        <f t="shared" si="19"/>
        <v>0</v>
      </c>
      <c r="BD67" s="6"/>
      <c r="BE67" s="6"/>
      <c r="BF67" s="59"/>
      <c r="BG67" s="6"/>
      <c r="BH67" s="5"/>
      <c r="BI67" s="5"/>
      <c r="BJ67" s="5" t="s">
        <v>154</v>
      </c>
    </row>
    <row r="68" spans="1:62">
      <c r="A68" s="2" t="s">
        <v>152</v>
      </c>
      <c r="B68" s="3" t="s">
        <v>32</v>
      </c>
      <c r="C68" s="3" t="s">
        <v>32</v>
      </c>
      <c r="D68" s="4">
        <v>97</v>
      </c>
      <c r="E68" s="4">
        <v>82</v>
      </c>
      <c r="F68" s="4">
        <v>2014</v>
      </c>
      <c r="G68" s="39">
        <v>5</v>
      </c>
      <c r="H68" s="28">
        <v>0</v>
      </c>
      <c r="I68" s="28">
        <v>1</v>
      </c>
      <c r="J68" s="5">
        <v>2020</v>
      </c>
      <c r="K68" s="5">
        <v>2024</v>
      </c>
      <c r="L68" s="5">
        <f>(K68-J68)-0.42</f>
        <v>3.58</v>
      </c>
      <c r="M68" s="5">
        <v>0</v>
      </c>
      <c r="N68" s="5" t="s">
        <v>155</v>
      </c>
      <c r="O68" s="5" t="s">
        <v>28</v>
      </c>
      <c r="P68" s="5">
        <v>0</v>
      </c>
      <c r="Q68" s="6"/>
      <c r="R68" s="5" t="s">
        <v>156</v>
      </c>
      <c r="S68" s="5" t="s">
        <v>157</v>
      </c>
      <c r="T68" s="6" t="s">
        <v>47</v>
      </c>
      <c r="U68" s="6">
        <v>0</v>
      </c>
      <c r="V68" s="25">
        <v>10</v>
      </c>
      <c r="W68" s="5">
        <v>10</v>
      </c>
      <c r="X68" s="7">
        <f t="shared" si="47"/>
        <v>14</v>
      </c>
      <c r="Y68" s="22">
        <f t="shared" si="48"/>
        <v>3</v>
      </c>
      <c r="Z68" s="15">
        <f t="shared" si="49"/>
        <v>11</v>
      </c>
      <c r="AA68" s="19">
        <v>4</v>
      </c>
      <c r="AB68" s="19">
        <v>10</v>
      </c>
      <c r="AC68" s="19">
        <v>0</v>
      </c>
      <c r="AD68" s="19">
        <v>0</v>
      </c>
      <c r="AE68" s="19">
        <v>0</v>
      </c>
      <c r="AF68" s="19">
        <v>1</v>
      </c>
      <c r="AG68" s="36">
        <f t="shared" si="41"/>
        <v>0</v>
      </c>
      <c r="AH68" s="36">
        <f t="shared" si="40"/>
        <v>2</v>
      </c>
      <c r="AI68" s="36">
        <f t="shared" si="40"/>
        <v>1</v>
      </c>
      <c r="AJ68" s="36">
        <f t="shared" si="39"/>
        <v>0</v>
      </c>
      <c r="AK68" s="36">
        <f t="shared" si="39"/>
        <v>0</v>
      </c>
      <c r="AL68" s="36">
        <f t="shared" si="39"/>
        <v>0</v>
      </c>
      <c r="AM68" s="7">
        <v>4</v>
      </c>
      <c r="AN68" s="7">
        <v>12</v>
      </c>
      <c r="AO68" s="7">
        <v>1</v>
      </c>
      <c r="AP68" s="7">
        <v>0</v>
      </c>
      <c r="AQ68" s="7">
        <v>0</v>
      </c>
      <c r="AR68" s="7">
        <v>1</v>
      </c>
      <c r="AS68" s="22">
        <f t="shared" si="50"/>
        <v>14</v>
      </c>
      <c r="AT68" s="22">
        <f t="shared" si="51"/>
        <v>0.83798882681564246</v>
      </c>
      <c r="AU68" s="5">
        <f t="shared" si="12"/>
        <v>3</v>
      </c>
      <c r="AV68" s="5">
        <f t="shared" si="13"/>
        <v>0.83798882681564246</v>
      </c>
      <c r="AW68" s="5">
        <f t="shared" si="14"/>
        <v>10</v>
      </c>
      <c r="AX68" s="5">
        <f t="shared" si="15"/>
        <v>0</v>
      </c>
      <c r="AY68" s="5">
        <f t="shared" si="20"/>
        <v>0.55865921787709494</v>
      </c>
      <c r="AZ68" s="5">
        <f t="shared" si="16"/>
        <v>0.27932960893854747</v>
      </c>
      <c r="BA68" s="5">
        <f t="shared" si="17"/>
        <v>0</v>
      </c>
      <c r="BB68" s="5">
        <f t="shared" si="18"/>
        <v>0</v>
      </c>
      <c r="BC68" s="5">
        <f t="shared" si="19"/>
        <v>0</v>
      </c>
      <c r="BD68" s="6"/>
      <c r="BE68" s="6"/>
      <c r="BF68" s="59"/>
      <c r="BG68" s="6"/>
      <c r="BH68" s="5"/>
      <c r="BI68" s="5"/>
      <c r="BJ68" s="5" t="s">
        <v>155</v>
      </c>
    </row>
    <row r="69" spans="1:62">
      <c r="A69" s="2" t="s">
        <v>152</v>
      </c>
      <c r="B69" s="3" t="s">
        <v>32</v>
      </c>
      <c r="C69" s="3" t="s">
        <v>32</v>
      </c>
      <c r="D69" s="4">
        <v>97</v>
      </c>
      <c r="E69" s="4">
        <v>82</v>
      </c>
      <c r="F69" s="4">
        <v>2014</v>
      </c>
      <c r="G69" s="39">
        <v>5</v>
      </c>
      <c r="H69" s="28">
        <v>0</v>
      </c>
      <c r="I69" s="28">
        <v>1</v>
      </c>
      <c r="J69" s="5">
        <v>2019</v>
      </c>
      <c r="K69" s="5">
        <v>2024</v>
      </c>
      <c r="L69" s="5">
        <f>(K69-J69)-0.42</f>
        <v>4.58</v>
      </c>
      <c r="M69" s="5">
        <v>0</v>
      </c>
      <c r="N69" s="5" t="s">
        <v>158</v>
      </c>
      <c r="O69" s="5" t="s">
        <v>28</v>
      </c>
      <c r="P69" s="5">
        <v>0</v>
      </c>
      <c r="Q69" s="6"/>
      <c r="R69" s="5" t="s">
        <v>30</v>
      </c>
      <c r="S69" s="5" t="s">
        <v>159</v>
      </c>
      <c r="T69" s="6" t="s">
        <v>84</v>
      </c>
      <c r="U69" s="6">
        <v>0</v>
      </c>
      <c r="V69" s="25">
        <v>53</v>
      </c>
      <c r="W69" s="5">
        <v>1</v>
      </c>
      <c r="X69" s="7">
        <f t="shared" si="47"/>
        <v>13</v>
      </c>
      <c r="Y69" s="22">
        <f t="shared" si="48"/>
        <v>8</v>
      </c>
      <c r="Z69" s="15">
        <f t="shared" si="49"/>
        <v>5</v>
      </c>
      <c r="AA69" s="19">
        <v>1</v>
      </c>
      <c r="AB69" s="19">
        <v>4</v>
      </c>
      <c r="AC69" s="19">
        <v>0</v>
      </c>
      <c r="AD69" s="19">
        <v>0</v>
      </c>
      <c r="AE69" s="19">
        <v>0</v>
      </c>
      <c r="AF69" s="19">
        <v>1</v>
      </c>
      <c r="AG69" s="36">
        <f t="shared" si="41"/>
        <v>2</v>
      </c>
      <c r="AH69" s="36">
        <f t="shared" si="40"/>
        <v>0</v>
      </c>
      <c r="AI69" s="36">
        <f t="shared" si="40"/>
        <v>4</v>
      </c>
      <c r="AJ69" s="36">
        <f t="shared" si="39"/>
        <v>1</v>
      </c>
      <c r="AK69" s="36">
        <f t="shared" si="39"/>
        <v>0</v>
      </c>
      <c r="AL69" s="36">
        <f t="shared" si="39"/>
        <v>3</v>
      </c>
      <c r="AM69" s="7">
        <v>3</v>
      </c>
      <c r="AN69" s="7">
        <v>4</v>
      </c>
      <c r="AO69" s="7">
        <v>4</v>
      </c>
      <c r="AP69" s="7">
        <v>1</v>
      </c>
      <c r="AQ69" s="7">
        <v>0</v>
      </c>
      <c r="AR69" s="7">
        <v>4</v>
      </c>
      <c r="AS69" s="22">
        <f t="shared" si="50"/>
        <v>13</v>
      </c>
      <c r="AT69" s="22">
        <f t="shared" si="51"/>
        <v>1.7467248908296944</v>
      </c>
      <c r="AU69" s="5">
        <f t="shared" ref="AU69:AU133" si="52">Y69-AL69</f>
        <v>5</v>
      </c>
      <c r="AV69" s="5">
        <f t="shared" ref="AV69:AV133" si="53">AU69/L69</f>
        <v>1.0917030567685588</v>
      </c>
      <c r="AW69" s="5">
        <f t="shared" ref="AW69:AW133" si="54">Z69-AF69</f>
        <v>4</v>
      </c>
      <c r="AX69" s="5">
        <f t="shared" ref="AX69:AX133" si="55">AG69/L69</f>
        <v>0.4366812227074236</v>
      </c>
      <c r="AY69" s="5">
        <f t="shared" ref="AY69:AY133" si="56">AH69/L69</f>
        <v>0</v>
      </c>
      <c r="AZ69" s="5">
        <f t="shared" ref="AZ69:AZ133" si="57">AI69/L69</f>
        <v>0.8733624454148472</v>
      </c>
      <c r="BA69" s="5">
        <f t="shared" ref="BA69:BA133" si="58">AJ69/L69</f>
        <v>0.2183406113537118</v>
      </c>
      <c r="BB69" s="5">
        <f t="shared" ref="BB69:BB133" si="59">AK69/L69</f>
        <v>0</v>
      </c>
      <c r="BC69" s="5">
        <f t="shared" ref="BC69:BC133" si="60">AL69/L69</f>
        <v>0.65502183406113534</v>
      </c>
      <c r="BD69" s="6"/>
      <c r="BE69" s="6"/>
      <c r="BF69" s="59"/>
      <c r="BG69" s="6"/>
      <c r="BH69" s="5"/>
      <c r="BI69" s="5"/>
      <c r="BJ69" s="5" t="s">
        <v>158</v>
      </c>
    </row>
    <row r="70" spans="1:62">
      <c r="A70" s="2" t="s">
        <v>152</v>
      </c>
      <c r="B70" s="3" t="s">
        <v>32</v>
      </c>
      <c r="C70" s="3" t="s">
        <v>32</v>
      </c>
      <c r="D70" s="4">
        <v>97</v>
      </c>
      <c r="E70" s="4">
        <v>82</v>
      </c>
      <c r="F70" s="4">
        <v>2014</v>
      </c>
      <c r="G70" s="39">
        <v>5</v>
      </c>
      <c r="H70" s="28">
        <v>0</v>
      </c>
      <c r="I70" s="28">
        <v>1</v>
      </c>
      <c r="J70" s="5">
        <v>2017</v>
      </c>
      <c r="K70" s="5">
        <v>2024</v>
      </c>
      <c r="L70" s="5">
        <f>(K70-J70)-0.42</f>
        <v>6.58</v>
      </c>
      <c r="M70" s="5">
        <v>0</v>
      </c>
      <c r="N70" s="5" t="s">
        <v>160</v>
      </c>
      <c r="O70" s="5" t="s">
        <v>35</v>
      </c>
      <c r="P70" s="5">
        <v>0</v>
      </c>
      <c r="Q70" s="6"/>
      <c r="R70" s="5" t="s">
        <v>30</v>
      </c>
      <c r="S70" s="5" t="s">
        <v>114</v>
      </c>
      <c r="T70" s="6" t="s">
        <v>101</v>
      </c>
      <c r="U70" s="6">
        <v>0</v>
      </c>
      <c r="V70" s="25">
        <v>24</v>
      </c>
      <c r="W70" s="5">
        <v>9</v>
      </c>
      <c r="X70" s="7">
        <f t="shared" si="47"/>
        <v>74</v>
      </c>
      <c r="Y70" s="22">
        <f t="shared" si="48"/>
        <v>72</v>
      </c>
      <c r="Z70" s="15">
        <f t="shared" si="49"/>
        <v>2</v>
      </c>
      <c r="AA70" s="19">
        <v>1</v>
      </c>
      <c r="AB70" s="19">
        <v>0</v>
      </c>
      <c r="AC70" s="19">
        <v>1</v>
      </c>
      <c r="AD70" s="19">
        <v>1</v>
      </c>
      <c r="AE70" s="19">
        <v>0</v>
      </c>
      <c r="AF70" s="19">
        <v>0</v>
      </c>
      <c r="AG70" s="36">
        <f t="shared" si="41"/>
        <v>22</v>
      </c>
      <c r="AH70" s="36">
        <f t="shared" si="40"/>
        <v>10</v>
      </c>
      <c r="AI70" s="36">
        <f t="shared" si="40"/>
        <v>43</v>
      </c>
      <c r="AJ70" s="36">
        <f t="shared" si="39"/>
        <v>1</v>
      </c>
      <c r="AK70" s="36">
        <f t="shared" si="39"/>
        <v>5</v>
      </c>
      <c r="AL70" s="36">
        <f t="shared" si="39"/>
        <v>13</v>
      </c>
      <c r="AM70" s="7">
        <v>23</v>
      </c>
      <c r="AN70" s="7">
        <v>10</v>
      </c>
      <c r="AO70" s="7">
        <v>44</v>
      </c>
      <c r="AP70" s="7">
        <v>2</v>
      </c>
      <c r="AQ70" s="7">
        <v>5</v>
      </c>
      <c r="AR70" s="7">
        <v>13</v>
      </c>
      <c r="AS70" s="22">
        <f t="shared" si="50"/>
        <v>74</v>
      </c>
      <c r="AT70" s="22">
        <f t="shared" si="51"/>
        <v>10.94224924012158</v>
      </c>
      <c r="AU70" s="5">
        <f t="shared" si="52"/>
        <v>59</v>
      </c>
      <c r="AV70" s="5">
        <f t="shared" si="53"/>
        <v>8.9665653495440729</v>
      </c>
      <c r="AW70" s="5">
        <f t="shared" si="54"/>
        <v>2</v>
      </c>
      <c r="AX70" s="5">
        <f t="shared" si="55"/>
        <v>3.3434650455927053</v>
      </c>
      <c r="AY70" s="5">
        <f t="shared" si="56"/>
        <v>1.519756838905775</v>
      </c>
      <c r="AZ70" s="5">
        <f t="shared" si="57"/>
        <v>6.5349544072948325</v>
      </c>
      <c r="BA70" s="5">
        <f t="shared" si="58"/>
        <v>0.1519756838905775</v>
      </c>
      <c r="BB70" s="5">
        <f t="shared" si="59"/>
        <v>0.75987841945288748</v>
      </c>
      <c r="BC70" s="5">
        <f t="shared" si="60"/>
        <v>1.9756838905775076</v>
      </c>
      <c r="BD70" s="6"/>
      <c r="BE70" s="6"/>
      <c r="BF70" s="59"/>
      <c r="BG70" s="6"/>
      <c r="BH70" s="5"/>
      <c r="BI70" s="5"/>
      <c r="BJ70" s="5" t="s">
        <v>160</v>
      </c>
    </row>
    <row r="71" spans="1:62" ht="31">
      <c r="A71" s="2" t="s">
        <v>152</v>
      </c>
      <c r="B71" s="3" t="s">
        <v>32</v>
      </c>
      <c r="C71" s="3" t="s">
        <v>32</v>
      </c>
      <c r="D71" s="4">
        <v>97</v>
      </c>
      <c r="E71" s="4">
        <v>82</v>
      </c>
      <c r="F71" s="4">
        <v>2014</v>
      </c>
      <c r="G71" s="39">
        <v>5</v>
      </c>
      <c r="H71" s="28">
        <v>0</v>
      </c>
      <c r="I71" s="28">
        <v>1</v>
      </c>
      <c r="J71" s="5">
        <v>2017</v>
      </c>
      <c r="K71" s="5">
        <v>2023</v>
      </c>
      <c r="L71" s="5">
        <f>(K71-J71)</f>
        <v>6</v>
      </c>
      <c r="M71" s="5">
        <v>1</v>
      </c>
      <c r="N71" s="5" t="s">
        <v>161</v>
      </c>
      <c r="O71" s="5" t="s">
        <v>28</v>
      </c>
      <c r="P71" s="5">
        <v>0</v>
      </c>
      <c r="Q71" s="6"/>
      <c r="R71" s="5" t="s">
        <v>156</v>
      </c>
      <c r="S71" s="11" t="s">
        <v>162</v>
      </c>
      <c r="T71" s="6" t="s">
        <v>84</v>
      </c>
      <c r="U71" s="6">
        <v>0</v>
      </c>
      <c r="V71" s="25">
        <v>51</v>
      </c>
      <c r="W71" s="5">
        <v>8</v>
      </c>
      <c r="X71" s="7">
        <f t="shared" si="47"/>
        <v>38</v>
      </c>
      <c r="Y71" s="22">
        <f t="shared" si="48"/>
        <v>22</v>
      </c>
      <c r="Z71" s="15">
        <f t="shared" si="49"/>
        <v>16</v>
      </c>
      <c r="AA71" s="19">
        <v>7</v>
      </c>
      <c r="AB71" s="19">
        <v>0</v>
      </c>
      <c r="AC71" s="19">
        <v>11</v>
      </c>
      <c r="AD71" s="19">
        <v>0</v>
      </c>
      <c r="AE71" s="19">
        <v>2</v>
      </c>
      <c r="AF71" s="19">
        <v>3</v>
      </c>
      <c r="AG71" s="36">
        <f t="shared" si="41"/>
        <v>3</v>
      </c>
      <c r="AH71" s="36">
        <f t="shared" si="40"/>
        <v>4</v>
      </c>
      <c r="AI71" s="36">
        <f t="shared" si="40"/>
        <v>14</v>
      </c>
      <c r="AJ71" s="36">
        <f t="shared" si="39"/>
        <v>2</v>
      </c>
      <c r="AK71" s="36">
        <f t="shared" si="39"/>
        <v>2</v>
      </c>
      <c r="AL71" s="36">
        <f t="shared" si="39"/>
        <v>0</v>
      </c>
      <c r="AM71" s="7">
        <v>10</v>
      </c>
      <c r="AN71" s="7">
        <v>4</v>
      </c>
      <c r="AO71" s="7">
        <v>25</v>
      </c>
      <c r="AP71" s="7">
        <v>2</v>
      </c>
      <c r="AQ71" s="7">
        <v>4</v>
      </c>
      <c r="AR71" s="7">
        <v>3</v>
      </c>
      <c r="AS71" s="22">
        <f t="shared" si="50"/>
        <v>38</v>
      </c>
      <c r="AT71" s="22">
        <f t="shared" si="51"/>
        <v>3.6666666666666665</v>
      </c>
      <c r="AU71" s="5">
        <f t="shared" si="52"/>
        <v>22</v>
      </c>
      <c r="AV71" s="5">
        <f t="shared" si="53"/>
        <v>3.6666666666666665</v>
      </c>
      <c r="AW71" s="5">
        <f t="shared" si="54"/>
        <v>13</v>
      </c>
      <c r="AX71" s="5">
        <f t="shared" si="55"/>
        <v>0.5</v>
      </c>
      <c r="AY71" s="5">
        <f t="shared" si="56"/>
        <v>0.66666666666666663</v>
      </c>
      <c r="AZ71" s="5">
        <f t="shared" si="57"/>
        <v>2.3333333333333335</v>
      </c>
      <c r="BA71" s="5">
        <f t="shared" si="58"/>
        <v>0.33333333333333331</v>
      </c>
      <c r="BB71" s="5">
        <f t="shared" si="59"/>
        <v>0.33333333333333331</v>
      </c>
      <c r="BC71" s="5">
        <f t="shared" si="60"/>
        <v>0</v>
      </c>
      <c r="BD71" s="6">
        <v>3</v>
      </c>
      <c r="BE71" s="6"/>
      <c r="BF71" s="59">
        <v>1</v>
      </c>
      <c r="BG71" s="6" t="s">
        <v>718</v>
      </c>
      <c r="BH71" s="5"/>
      <c r="BI71" s="5"/>
      <c r="BJ71" s="5" t="s">
        <v>161</v>
      </c>
    </row>
    <row r="72" spans="1:62">
      <c r="A72" s="2" t="s">
        <v>152</v>
      </c>
      <c r="B72" s="3" t="s">
        <v>32</v>
      </c>
      <c r="C72" s="3" t="s">
        <v>32</v>
      </c>
      <c r="D72" s="4">
        <v>97</v>
      </c>
      <c r="E72" s="4">
        <v>82</v>
      </c>
      <c r="F72" s="4">
        <v>2014</v>
      </c>
      <c r="G72" s="39">
        <v>5</v>
      </c>
      <c r="H72" s="28">
        <v>0</v>
      </c>
      <c r="I72" s="28">
        <v>1</v>
      </c>
      <c r="J72" s="5">
        <v>2018</v>
      </c>
      <c r="K72" s="5">
        <v>2024</v>
      </c>
      <c r="L72" s="5">
        <f t="shared" ref="L72:L78" si="61">(K72-J72)-0.42</f>
        <v>5.58</v>
      </c>
      <c r="M72" s="5">
        <v>0</v>
      </c>
      <c r="N72" s="5" t="s">
        <v>165</v>
      </c>
      <c r="O72" s="5" t="s">
        <v>35</v>
      </c>
      <c r="P72" s="5">
        <v>0</v>
      </c>
      <c r="Q72" s="6"/>
      <c r="R72" s="5" t="s">
        <v>30</v>
      </c>
      <c r="S72" s="6" t="s">
        <v>55</v>
      </c>
      <c r="T72" s="6" t="s">
        <v>47</v>
      </c>
      <c r="U72" s="6" t="s">
        <v>559</v>
      </c>
      <c r="V72" s="25">
        <v>5</v>
      </c>
      <c r="W72" s="5">
        <v>3</v>
      </c>
      <c r="X72" s="7">
        <f t="shared" si="47"/>
        <v>13</v>
      </c>
      <c r="Y72" s="22">
        <f t="shared" si="48"/>
        <v>12</v>
      </c>
      <c r="Z72" s="15">
        <f t="shared" si="49"/>
        <v>1</v>
      </c>
      <c r="AA72" s="19">
        <v>1</v>
      </c>
      <c r="AB72" s="19">
        <v>0</v>
      </c>
      <c r="AC72" s="19">
        <v>0</v>
      </c>
      <c r="AD72" s="19">
        <v>1</v>
      </c>
      <c r="AE72" s="19">
        <v>0</v>
      </c>
      <c r="AF72" s="19">
        <v>0</v>
      </c>
      <c r="AG72" s="36">
        <f t="shared" si="41"/>
        <v>1</v>
      </c>
      <c r="AH72" s="36">
        <f t="shared" si="40"/>
        <v>4</v>
      </c>
      <c r="AI72" s="36">
        <f t="shared" si="40"/>
        <v>5</v>
      </c>
      <c r="AJ72" s="36">
        <f t="shared" si="39"/>
        <v>1</v>
      </c>
      <c r="AK72" s="36">
        <f t="shared" si="39"/>
        <v>2</v>
      </c>
      <c r="AL72" s="36">
        <f t="shared" si="39"/>
        <v>0</v>
      </c>
      <c r="AM72" s="7">
        <v>2</v>
      </c>
      <c r="AN72" s="7">
        <v>4</v>
      </c>
      <c r="AO72" s="7">
        <v>5</v>
      </c>
      <c r="AP72" s="7">
        <v>2</v>
      </c>
      <c r="AQ72" s="7">
        <v>2</v>
      </c>
      <c r="AR72" s="7">
        <v>0</v>
      </c>
      <c r="AS72" s="22">
        <f t="shared" si="50"/>
        <v>13</v>
      </c>
      <c r="AT72" s="22">
        <f t="shared" si="51"/>
        <v>2.150537634408602</v>
      </c>
      <c r="AU72" s="5">
        <f t="shared" si="52"/>
        <v>12</v>
      </c>
      <c r="AV72" s="5">
        <f t="shared" si="53"/>
        <v>2.150537634408602</v>
      </c>
      <c r="AW72" s="5">
        <f t="shared" si="54"/>
        <v>1</v>
      </c>
      <c r="AX72" s="5">
        <f t="shared" si="55"/>
        <v>0.17921146953405018</v>
      </c>
      <c r="AY72" s="5">
        <f t="shared" si="56"/>
        <v>0.71684587813620071</v>
      </c>
      <c r="AZ72" s="5">
        <f t="shared" si="57"/>
        <v>0.89605734767025091</v>
      </c>
      <c r="BA72" s="5">
        <f t="shared" si="58"/>
        <v>0.17921146953405018</v>
      </c>
      <c r="BB72" s="5">
        <f t="shared" si="59"/>
        <v>0.35842293906810035</v>
      </c>
      <c r="BC72" s="5">
        <f t="shared" si="60"/>
        <v>0</v>
      </c>
      <c r="BD72" s="6"/>
      <c r="BE72" s="6"/>
      <c r="BF72" s="59"/>
      <c r="BG72" s="6"/>
      <c r="BH72" s="5"/>
      <c r="BI72" s="5"/>
      <c r="BJ72" s="5" t="s">
        <v>165</v>
      </c>
    </row>
    <row r="73" spans="1:62">
      <c r="A73" s="2" t="s">
        <v>166</v>
      </c>
      <c r="B73" s="3" t="s">
        <v>85</v>
      </c>
      <c r="C73" s="3" t="s">
        <v>33</v>
      </c>
      <c r="D73" s="4">
        <v>65</v>
      </c>
      <c r="E73" s="4">
        <v>97</v>
      </c>
      <c r="F73" s="4">
        <v>2012</v>
      </c>
      <c r="G73" s="39">
        <v>19</v>
      </c>
      <c r="H73" s="28">
        <v>0</v>
      </c>
      <c r="I73" s="28">
        <v>2</v>
      </c>
      <c r="J73" s="5">
        <v>2022</v>
      </c>
      <c r="K73" s="5">
        <v>2024</v>
      </c>
      <c r="L73" s="5">
        <f t="shared" si="61"/>
        <v>1.58</v>
      </c>
      <c r="M73" s="5">
        <v>0</v>
      </c>
      <c r="N73" s="5" t="s">
        <v>167</v>
      </c>
      <c r="O73" s="5" t="s">
        <v>43</v>
      </c>
      <c r="P73" s="5">
        <v>0</v>
      </c>
      <c r="Q73" s="6"/>
      <c r="R73" s="5" t="s">
        <v>30</v>
      </c>
      <c r="S73" s="5" t="s">
        <v>104</v>
      </c>
      <c r="T73" s="6" t="s">
        <v>101</v>
      </c>
      <c r="U73" s="6">
        <v>0</v>
      </c>
      <c r="V73" s="25">
        <v>22</v>
      </c>
      <c r="W73" s="5">
        <v>3</v>
      </c>
      <c r="X73" s="7">
        <f t="shared" si="47"/>
        <v>19</v>
      </c>
      <c r="Y73" s="22">
        <f t="shared" si="48"/>
        <v>9</v>
      </c>
      <c r="Z73" s="15">
        <f t="shared" si="49"/>
        <v>10</v>
      </c>
      <c r="AA73" s="19">
        <v>2</v>
      </c>
      <c r="AB73" s="19">
        <v>0</v>
      </c>
      <c r="AC73" s="19">
        <v>8</v>
      </c>
      <c r="AD73" s="19">
        <v>0</v>
      </c>
      <c r="AE73" s="19">
        <v>1</v>
      </c>
      <c r="AF73" s="19">
        <v>1</v>
      </c>
      <c r="AG73" s="36">
        <f t="shared" si="41"/>
        <v>9</v>
      </c>
      <c r="AH73" s="36">
        <f t="shared" si="40"/>
        <v>0</v>
      </c>
      <c r="AI73" s="36">
        <f t="shared" si="40"/>
        <v>8</v>
      </c>
      <c r="AJ73" s="36">
        <f t="shared" si="39"/>
        <v>0</v>
      </c>
      <c r="AK73" s="36">
        <f t="shared" si="39"/>
        <v>0</v>
      </c>
      <c r="AL73" s="36">
        <f t="shared" si="39"/>
        <v>1</v>
      </c>
      <c r="AM73" s="7">
        <v>11</v>
      </c>
      <c r="AN73" s="7">
        <v>0</v>
      </c>
      <c r="AO73" s="7">
        <v>16</v>
      </c>
      <c r="AP73" s="7">
        <v>0</v>
      </c>
      <c r="AQ73" s="7">
        <v>1</v>
      </c>
      <c r="AR73" s="7">
        <v>2</v>
      </c>
      <c r="AS73" s="22">
        <f t="shared" si="50"/>
        <v>19</v>
      </c>
      <c r="AT73" s="22">
        <f t="shared" si="51"/>
        <v>5.6962025316455698</v>
      </c>
      <c r="AU73" s="5">
        <f t="shared" si="52"/>
        <v>8</v>
      </c>
      <c r="AV73" s="5">
        <f t="shared" si="53"/>
        <v>5.0632911392405058</v>
      </c>
      <c r="AW73" s="5">
        <f t="shared" si="54"/>
        <v>9</v>
      </c>
      <c r="AX73" s="5">
        <f t="shared" si="55"/>
        <v>5.6962025316455698</v>
      </c>
      <c r="AY73" s="5">
        <f t="shared" si="56"/>
        <v>0</v>
      </c>
      <c r="AZ73" s="5">
        <f t="shared" si="57"/>
        <v>5.0632911392405058</v>
      </c>
      <c r="BA73" s="5">
        <f t="shared" si="58"/>
        <v>0</v>
      </c>
      <c r="BB73" s="5">
        <f t="shared" si="59"/>
        <v>0</v>
      </c>
      <c r="BC73" s="5">
        <f t="shared" si="60"/>
        <v>0.63291139240506322</v>
      </c>
      <c r="BD73" s="6"/>
      <c r="BE73" s="6"/>
      <c r="BF73" s="59"/>
      <c r="BG73" s="6"/>
      <c r="BH73" s="5"/>
      <c r="BI73" s="5"/>
      <c r="BJ73" s="5" t="s">
        <v>167</v>
      </c>
    </row>
    <row r="74" spans="1:62">
      <c r="A74" s="2" t="s">
        <v>166</v>
      </c>
      <c r="B74" s="3" t="s">
        <v>85</v>
      </c>
      <c r="C74" s="3" t="s">
        <v>33</v>
      </c>
      <c r="D74" s="4">
        <v>65</v>
      </c>
      <c r="E74" s="4">
        <v>97</v>
      </c>
      <c r="F74" s="4">
        <v>2012</v>
      </c>
      <c r="G74" s="39">
        <v>19</v>
      </c>
      <c r="H74" s="28">
        <v>0</v>
      </c>
      <c r="I74" s="28">
        <v>2</v>
      </c>
      <c r="J74" s="5">
        <v>2021</v>
      </c>
      <c r="K74" s="5">
        <v>2024</v>
      </c>
      <c r="L74" s="5">
        <f t="shared" si="61"/>
        <v>2.58</v>
      </c>
      <c r="M74" s="5">
        <v>0</v>
      </c>
      <c r="N74" s="5" t="s">
        <v>168</v>
      </c>
      <c r="O74" s="5" t="s">
        <v>28</v>
      </c>
      <c r="P74" s="5">
        <v>0</v>
      </c>
      <c r="Q74" s="6"/>
      <c r="R74" s="5" t="s">
        <v>30</v>
      </c>
      <c r="S74" s="5" t="s">
        <v>169</v>
      </c>
      <c r="T74" s="6" t="s">
        <v>84</v>
      </c>
      <c r="U74" s="6">
        <v>0</v>
      </c>
      <c r="V74" s="25">
        <v>82</v>
      </c>
      <c r="W74" s="5">
        <v>15</v>
      </c>
      <c r="X74" s="7">
        <f t="shared" si="47"/>
        <v>48</v>
      </c>
      <c r="Y74" s="22">
        <f t="shared" si="48"/>
        <v>17</v>
      </c>
      <c r="Z74" s="15">
        <f t="shared" si="49"/>
        <v>31</v>
      </c>
      <c r="AA74" s="19">
        <v>13</v>
      </c>
      <c r="AB74" s="19">
        <v>1</v>
      </c>
      <c r="AC74" s="19">
        <v>27</v>
      </c>
      <c r="AD74" s="19">
        <v>0</v>
      </c>
      <c r="AE74" s="19">
        <v>3</v>
      </c>
      <c r="AF74" s="19">
        <v>0</v>
      </c>
      <c r="AG74" s="36">
        <f t="shared" si="41"/>
        <v>11</v>
      </c>
      <c r="AH74" s="36">
        <f t="shared" si="40"/>
        <v>0</v>
      </c>
      <c r="AI74" s="36">
        <f t="shared" si="40"/>
        <v>14</v>
      </c>
      <c r="AJ74" s="36">
        <f t="shared" si="39"/>
        <v>0</v>
      </c>
      <c r="AK74" s="36">
        <f t="shared" si="39"/>
        <v>0</v>
      </c>
      <c r="AL74" s="36">
        <f t="shared" si="39"/>
        <v>3</v>
      </c>
      <c r="AM74" s="7">
        <v>24</v>
      </c>
      <c r="AN74" s="7">
        <v>1</v>
      </c>
      <c r="AO74" s="7">
        <v>41</v>
      </c>
      <c r="AP74" s="7">
        <v>0</v>
      </c>
      <c r="AQ74" s="7">
        <v>3</v>
      </c>
      <c r="AR74" s="7">
        <v>3</v>
      </c>
      <c r="AS74" s="22">
        <f t="shared" si="50"/>
        <v>48</v>
      </c>
      <c r="AT74" s="22">
        <f t="shared" si="51"/>
        <v>6.5891472868217056</v>
      </c>
      <c r="AU74" s="5">
        <f t="shared" si="52"/>
        <v>14</v>
      </c>
      <c r="AV74" s="5">
        <f t="shared" si="53"/>
        <v>5.4263565891472867</v>
      </c>
      <c r="AW74" s="5">
        <f t="shared" si="54"/>
        <v>31</v>
      </c>
      <c r="AX74" s="5">
        <f t="shared" si="55"/>
        <v>4.2635658914728678</v>
      </c>
      <c r="AY74" s="5">
        <f t="shared" si="56"/>
        <v>0</v>
      </c>
      <c r="AZ74" s="5">
        <f t="shared" si="57"/>
        <v>5.4263565891472867</v>
      </c>
      <c r="BA74" s="5">
        <f t="shared" si="58"/>
        <v>0</v>
      </c>
      <c r="BB74" s="5">
        <f t="shared" si="59"/>
        <v>0</v>
      </c>
      <c r="BC74" s="5">
        <f t="shared" si="60"/>
        <v>1.1627906976744187</v>
      </c>
      <c r="BD74" s="6"/>
      <c r="BE74" s="6"/>
      <c r="BF74" s="59"/>
      <c r="BG74" s="6"/>
      <c r="BH74" s="5"/>
      <c r="BI74" s="5"/>
      <c r="BJ74" s="5" t="s">
        <v>168</v>
      </c>
    </row>
    <row r="75" spans="1:62">
      <c r="A75" s="2" t="s">
        <v>166</v>
      </c>
      <c r="B75" s="3" t="s">
        <v>85</v>
      </c>
      <c r="C75" s="3" t="s">
        <v>33</v>
      </c>
      <c r="D75" s="4">
        <v>65</v>
      </c>
      <c r="E75" s="4">
        <v>97</v>
      </c>
      <c r="F75" s="4">
        <v>2012</v>
      </c>
      <c r="G75" s="39">
        <v>19</v>
      </c>
      <c r="H75" s="28">
        <v>0</v>
      </c>
      <c r="I75" s="28">
        <v>2</v>
      </c>
      <c r="J75" s="5">
        <v>2020</v>
      </c>
      <c r="K75" s="5">
        <v>2024</v>
      </c>
      <c r="L75" s="5">
        <f t="shared" si="61"/>
        <v>3.58</v>
      </c>
      <c r="M75" s="5">
        <v>0</v>
      </c>
      <c r="N75" s="5" t="s">
        <v>170</v>
      </c>
      <c r="O75" s="5" t="s">
        <v>43</v>
      </c>
      <c r="P75" s="5">
        <v>0</v>
      </c>
      <c r="Q75" s="5"/>
      <c r="R75" s="5" t="s">
        <v>30</v>
      </c>
      <c r="S75" s="5" t="s">
        <v>171</v>
      </c>
      <c r="T75" s="6" t="s">
        <v>101</v>
      </c>
      <c r="U75" s="6">
        <v>0</v>
      </c>
      <c r="V75" s="25">
        <v>22</v>
      </c>
      <c r="W75" s="5">
        <v>1</v>
      </c>
      <c r="X75" s="7">
        <f t="shared" si="47"/>
        <v>4</v>
      </c>
      <c r="Y75" s="22">
        <f t="shared" si="48"/>
        <v>4</v>
      </c>
      <c r="Z75" s="15">
        <f t="shared" si="49"/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36">
        <f t="shared" si="41"/>
        <v>1</v>
      </c>
      <c r="AH75" s="36">
        <f t="shared" si="40"/>
        <v>0</v>
      </c>
      <c r="AI75" s="36">
        <f t="shared" si="40"/>
        <v>3</v>
      </c>
      <c r="AJ75" s="36">
        <f t="shared" si="39"/>
        <v>0</v>
      </c>
      <c r="AK75" s="36">
        <f t="shared" si="39"/>
        <v>0</v>
      </c>
      <c r="AL75" s="36">
        <f t="shared" si="39"/>
        <v>1</v>
      </c>
      <c r="AM75" s="7">
        <v>1</v>
      </c>
      <c r="AN75" s="7">
        <v>0</v>
      </c>
      <c r="AO75" s="7">
        <v>3</v>
      </c>
      <c r="AP75" s="7">
        <v>0</v>
      </c>
      <c r="AQ75" s="7">
        <v>0</v>
      </c>
      <c r="AR75" s="7">
        <v>1</v>
      </c>
      <c r="AS75" s="22">
        <f t="shared" si="50"/>
        <v>4</v>
      </c>
      <c r="AT75" s="22">
        <f t="shared" si="51"/>
        <v>1.1173184357541899</v>
      </c>
      <c r="AU75" s="5">
        <f t="shared" si="52"/>
        <v>3</v>
      </c>
      <c r="AV75" s="5">
        <f t="shared" si="53"/>
        <v>0.83798882681564246</v>
      </c>
      <c r="AW75" s="5">
        <f t="shared" si="54"/>
        <v>0</v>
      </c>
      <c r="AX75" s="5">
        <f t="shared" si="55"/>
        <v>0.27932960893854747</v>
      </c>
      <c r="AY75" s="5">
        <f t="shared" si="56"/>
        <v>0</v>
      </c>
      <c r="AZ75" s="5">
        <f t="shared" si="57"/>
        <v>0.83798882681564246</v>
      </c>
      <c r="BA75" s="5">
        <f t="shared" si="58"/>
        <v>0</v>
      </c>
      <c r="BB75" s="5">
        <f t="shared" si="59"/>
        <v>0</v>
      </c>
      <c r="BC75" s="5">
        <f t="shared" si="60"/>
        <v>0.27932960893854747</v>
      </c>
      <c r="BD75" s="6"/>
      <c r="BE75" s="6"/>
      <c r="BF75" s="59"/>
      <c r="BG75" s="6"/>
      <c r="BH75" s="5"/>
      <c r="BI75" s="5"/>
      <c r="BJ75" s="5" t="s">
        <v>170</v>
      </c>
    </row>
    <row r="76" spans="1:62">
      <c r="A76" s="2" t="s">
        <v>166</v>
      </c>
      <c r="B76" s="3" t="s">
        <v>85</v>
      </c>
      <c r="C76" s="3" t="s">
        <v>33</v>
      </c>
      <c r="D76" s="4">
        <v>65</v>
      </c>
      <c r="E76" s="4">
        <v>97</v>
      </c>
      <c r="F76" s="4">
        <v>2012</v>
      </c>
      <c r="G76" s="39">
        <v>19</v>
      </c>
      <c r="H76" s="28">
        <v>0</v>
      </c>
      <c r="I76" s="28">
        <v>2</v>
      </c>
      <c r="J76" s="5">
        <v>2019</v>
      </c>
      <c r="K76" s="5">
        <v>2024</v>
      </c>
      <c r="L76" s="5">
        <f t="shared" si="61"/>
        <v>4.58</v>
      </c>
      <c r="M76" s="5">
        <v>0</v>
      </c>
      <c r="N76" s="5" t="s">
        <v>172</v>
      </c>
      <c r="O76" s="5" t="s">
        <v>43</v>
      </c>
      <c r="P76" s="5">
        <v>0</v>
      </c>
      <c r="Q76" s="5"/>
      <c r="R76" s="5" t="s">
        <v>30</v>
      </c>
      <c r="S76" s="5" t="s">
        <v>489</v>
      </c>
      <c r="T76" s="6" t="s">
        <v>47</v>
      </c>
      <c r="U76" s="6" t="s">
        <v>559</v>
      </c>
      <c r="V76" s="25">
        <v>9</v>
      </c>
      <c r="W76" s="5">
        <v>2</v>
      </c>
      <c r="X76" s="7">
        <f t="shared" si="47"/>
        <v>7</v>
      </c>
      <c r="Y76" s="22">
        <f t="shared" si="48"/>
        <v>4</v>
      </c>
      <c r="Z76" s="15">
        <f t="shared" si="49"/>
        <v>3</v>
      </c>
      <c r="AA76" s="19">
        <v>2</v>
      </c>
      <c r="AB76" s="19">
        <v>3</v>
      </c>
      <c r="AC76" s="19">
        <v>0</v>
      </c>
      <c r="AD76" s="19">
        <v>0</v>
      </c>
      <c r="AE76" s="19">
        <v>0</v>
      </c>
      <c r="AF76" s="19">
        <v>0</v>
      </c>
      <c r="AG76" s="36">
        <f t="shared" si="41"/>
        <v>0</v>
      </c>
      <c r="AH76" s="36">
        <f t="shared" si="40"/>
        <v>1</v>
      </c>
      <c r="AI76" s="36">
        <f t="shared" si="40"/>
        <v>3</v>
      </c>
      <c r="AJ76" s="36">
        <f t="shared" si="39"/>
        <v>0</v>
      </c>
      <c r="AK76" s="36">
        <f t="shared" si="39"/>
        <v>0</v>
      </c>
      <c r="AL76" s="36">
        <f t="shared" si="39"/>
        <v>0</v>
      </c>
      <c r="AM76" s="7">
        <v>2</v>
      </c>
      <c r="AN76" s="7">
        <v>4</v>
      </c>
      <c r="AO76" s="7">
        <v>3</v>
      </c>
      <c r="AP76" s="7">
        <v>0</v>
      </c>
      <c r="AQ76" s="7">
        <v>0</v>
      </c>
      <c r="AR76" s="7">
        <v>0</v>
      </c>
      <c r="AS76" s="22">
        <f t="shared" si="50"/>
        <v>7</v>
      </c>
      <c r="AT76" s="22">
        <f t="shared" si="51"/>
        <v>0.8733624454148472</v>
      </c>
      <c r="AU76" s="5">
        <f t="shared" si="52"/>
        <v>4</v>
      </c>
      <c r="AV76" s="5">
        <f t="shared" si="53"/>
        <v>0.8733624454148472</v>
      </c>
      <c r="AW76" s="5">
        <f t="shared" si="54"/>
        <v>3</v>
      </c>
      <c r="AX76" s="5">
        <f t="shared" si="55"/>
        <v>0</v>
      </c>
      <c r="AY76" s="5">
        <f t="shared" si="56"/>
        <v>0.2183406113537118</v>
      </c>
      <c r="AZ76" s="5">
        <f t="shared" si="57"/>
        <v>0.65502183406113534</v>
      </c>
      <c r="BA76" s="5">
        <f t="shared" si="58"/>
        <v>0</v>
      </c>
      <c r="BB76" s="5">
        <f t="shared" si="59"/>
        <v>0</v>
      </c>
      <c r="BC76" s="5">
        <f t="shared" si="60"/>
        <v>0</v>
      </c>
      <c r="BD76" s="6"/>
      <c r="BE76" s="6"/>
      <c r="BF76" s="59"/>
      <c r="BG76" s="6"/>
      <c r="BH76" s="5"/>
      <c r="BI76" s="5"/>
      <c r="BJ76" s="5" t="s">
        <v>172</v>
      </c>
    </row>
    <row r="77" spans="1:62">
      <c r="A77" s="2" t="s">
        <v>166</v>
      </c>
      <c r="B77" s="3" t="s">
        <v>85</v>
      </c>
      <c r="C77" s="3" t="s">
        <v>33</v>
      </c>
      <c r="D77" s="4">
        <v>65</v>
      </c>
      <c r="E77" s="4">
        <v>97</v>
      </c>
      <c r="F77" s="4">
        <v>2012</v>
      </c>
      <c r="G77" s="39">
        <v>19</v>
      </c>
      <c r="H77" s="28">
        <v>0</v>
      </c>
      <c r="I77" s="28">
        <v>2</v>
      </c>
      <c r="J77" s="5">
        <v>2018</v>
      </c>
      <c r="K77" s="5">
        <v>2024</v>
      </c>
      <c r="L77" s="5">
        <f t="shared" si="61"/>
        <v>5.58</v>
      </c>
      <c r="M77" s="5">
        <v>0</v>
      </c>
      <c r="N77" s="5" t="s">
        <v>173</v>
      </c>
      <c r="O77" s="5" t="s">
        <v>35</v>
      </c>
      <c r="P77" s="5">
        <v>0</v>
      </c>
      <c r="Q77" s="5"/>
      <c r="R77" s="5" t="s">
        <v>30</v>
      </c>
      <c r="S77" s="5" t="s">
        <v>174</v>
      </c>
      <c r="T77" s="6" t="s">
        <v>101</v>
      </c>
      <c r="U77" s="6">
        <v>0</v>
      </c>
      <c r="V77" s="25">
        <v>32</v>
      </c>
      <c r="W77" s="5">
        <v>3</v>
      </c>
      <c r="X77" s="7">
        <f t="shared" si="47"/>
        <v>7</v>
      </c>
      <c r="Y77" s="22">
        <f t="shared" si="48"/>
        <v>6</v>
      </c>
      <c r="Z77" s="15">
        <f t="shared" si="49"/>
        <v>1</v>
      </c>
      <c r="AA77" s="19">
        <v>0</v>
      </c>
      <c r="AB77" s="19">
        <v>0</v>
      </c>
      <c r="AC77" s="19">
        <v>1</v>
      </c>
      <c r="AD77" s="19">
        <v>0</v>
      </c>
      <c r="AE77" s="19">
        <v>0</v>
      </c>
      <c r="AF77" s="19">
        <v>0</v>
      </c>
      <c r="AG77" s="36">
        <f t="shared" si="41"/>
        <v>5</v>
      </c>
      <c r="AH77" s="36">
        <f t="shared" si="40"/>
        <v>0</v>
      </c>
      <c r="AI77" s="36">
        <f t="shared" si="40"/>
        <v>1</v>
      </c>
      <c r="AJ77" s="36">
        <f t="shared" si="39"/>
        <v>0</v>
      </c>
      <c r="AK77" s="36">
        <f t="shared" si="39"/>
        <v>2</v>
      </c>
      <c r="AL77" s="36">
        <f t="shared" si="39"/>
        <v>3</v>
      </c>
      <c r="AM77" s="7">
        <v>5</v>
      </c>
      <c r="AN77" s="7">
        <v>0</v>
      </c>
      <c r="AO77" s="7">
        <v>2</v>
      </c>
      <c r="AP77" s="7">
        <v>0</v>
      </c>
      <c r="AQ77" s="7">
        <v>2</v>
      </c>
      <c r="AR77" s="7">
        <v>3</v>
      </c>
      <c r="AS77" s="22">
        <f t="shared" si="50"/>
        <v>7</v>
      </c>
      <c r="AT77" s="22">
        <f t="shared" si="51"/>
        <v>1.075268817204301</v>
      </c>
      <c r="AU77" s="5">
        <f t="shared" si="52"/>
        <v>3</v>
      </c>
      <c r="AV77" s="5">
        <f t="shared" si="53"/>
        <v>0.5376344086021505</v>
      </c>
      <c r="AW77" s="5">
        <f t="shared" si="54"/>
        <v>1</v>
      </c>
      <c r="AX77" s="5">
        <f t="shared" si="55"/>
        <v>0.89605734767025091</v>
      </c>
      <c r="AY77" s="5">
        <f t="shared" si="56"/>
        <v>0</v>
      </c>
      <c r="AZ77" s="5">
        <f t="shared" si="57"/>
        <v>0.17921146953405018</v>
      </c>
      <c r="BA77" s="5">
        <f t="shared" si="58"/>
        <v>0</v>
      </c>
      <c r="BB77" s="5">
        <f t="shared" si="59"/>
        <v>0.35842293906810035</v>
      </c>
      <c r="BC77" s="5">
        <f t="shared" si="60"/>
        <v>0.5376344086021505</v>
      </c>
      <c r="BD77" s="6"/>
      <c r="BE77" s="6"/>
      <c r="BF77" s="59"/>
      <c r="BG77" s="6"/>
      <c r="BH77" s="5"/>
      <c r="BI77" s="5" t="s">
        <v>175</v>
      </c>
      <c r="BJ77" s="5" t="s">
        <v>173</v>
      </c>
    </row>
    <row r="78" spans="1:62">
      <c r="A78" s="2" t="s">
        <v>166</v>
      </c>
      <c r="B78" s="3" t="s">
        <v>85</v>
      </c>
      <c r="C78" s="3" t="s">
        <v>33</v>
      </c>
      <c r="D78" s="4">
        <v>65</v>
      </c>
      <c r="E78" s="4">
        <v>97</v>
      </c>
      <c r="F78" s="4">
        <v>2012</v>
      </c>
      <c r="G78" s="39">
        <v>19</v>
      </c>
      <c r="H78" s="28">
        <v>0</v>
      </c>
      <c r="I78" s="28">
        <v>2</v>
      </c>
      <c r="J78" s="5">
        <v>2016</v>
      </c>
      <c r="K78" s="5">
        <v>2024</v>
      </c>
      <c r="L78" s="5">
        <f t="shared" si="61"/>
        <v>7.58</v>
      </c>
      <c r="M78" s="5">
        <v>0</v>
      </c>
      <c r="N78" s="5" t="s">
        <v>176</v>
      </c>
      <c r="O78" s="5" t="s">
        <v>35</v>
      </c>
      <c r="P78" s="5">
        <v>0</v>
      </c>
      <c r="Q78" s="5"/>
      <c r="R78" s="5" t="s">
        <v>30</v>
      </c>
      <c r="S78" s="5" t="s">
        <v>571</v>
      </c>
      <c r="T78" s="6" t="s">
        <v>84</v>
      </c>
      <c r="U78" s="6">
        <v>0</v>
      </c>
      <c r="V78" s="25">
        <v>41</v>
      </c>
      <c r="W78" s="5">
        <v>8</v>
      </c>
      <c r="X78" s="7">
        <f t="shared" si="47"/>
        <v>31</v>
      </c>
      <c r="Y78" s="22">
        <f t="shared" si="48"/>
        <v>27</v>
      </c>
      <c r="Z78" s="15">
        <f t="shared" si="49"/>
        <v>4</v>
      </c>
      <c r="AA78" s="19">
        <v>0</v>
      </c>
      <c r="AB78" s="19">
        <v>0</v>
      </c>
      <c r="AC78" s="19">
        <v>4</v>
      </c>
      <c r="AD78" s="19">
        <v>0</v>
      </c>
      <c r="AE78" s="19">
        <v>0</v>
      </c>
      <c r="AF78" s="19">
        <v>0</v>
      </c>
      <c r="AG78" s="36">
        <f t="shared" si="41"/>
        <v>20</v>
      </c>
      <c r="AH78" s="36">
        <f t="shared" si="40"/>
        <v>0</v>
      </c>
      <c r="AI78" s="36">
        <f t="shared" si="40"/>
        <v>16</v>
      </c>
      <c r="AJ78" s="36">
        <f t="shared" si="39"/>
        <v>7</v>
      </c>
      <c r="AK78" s="36">
        <f t="shared" si="39"/>
        <v>1</v>
      </c>
      <c r="AL78" s="36">
        <f t="shared" si="39"/>
        <v>3</v>
      </c>
      <c r="AM78" s="7">
        <v>20</v>
      </c>
      <c r="AN78" s="7">
        <v>0</v>
      </c>
      <c r="AO78" s="7">
        <v>20</v>
      </c>
      <c r="AP78" s="7">
        <v>7</v>
      </c>
      <c r="AQ78" s="7">
        <v>1</v>
      </c>
      <c r="AR78" s="7">
        <v>3</v>
      </c>
      <c r="AS78" s="22">
        <f t="shared" si="50"/>
        <v>31</v>
      </c>
      <c r="AT78" s="22">
        <f t="shared" si="51"/>
        <v>3.5620052770448547</v>
      </c>
      <c r="AU78" s="5">
        <f t="shared" si="52"/>
        <v>24</v>
      </c>
      <c r="AV78" s="5">
        <f t="shared" si="53"/>
        <v>3.1662269129287597</v>
      </c>
      <c r="AW78" s="5">
        <f t="shared" si="54"/>
        <v>4</v>
      </c>
      <c r="AX78" s="5">
        <f t="shared" si="55"/>
        <v>2.6385224274406331</v>
      </c>
      <c r="AY78" s="5">
        <f t="shared" si="56"/>
        <v>0</v>
      </c>
      <c r="AZ78" s="5">
        <f t="shared" si="57"/>
        <v>2.1108179419525066</v>
      </c>
      <c r="BA78" s="5">
        <f t="shared" si="58"/>
        <v>0.92348284960422167</v>
      </c>
      <c r="BB78" s="5">
        <f t="shared" si="59"/>
        <v>0.13192612137203166</v>
      </c>
      <c r="BC78" s="5">
        <f t="shared" si="60"/>
        <v>0.39577836411609496</v>
      </c>
      <c r="BD78" s="6"/>
      <c r="BE78" s="6"/>
      <c r="BF78" s="59"/>
      <c r="BG78" s="6"/>
      <c r="BH78" s="5"/>
      <c r="BI78" s="5"/>
      <c r="BJ78" s="5" t="s">
        <v>176</v>
      </c>
    </row>
    <row r="79" spans="1:62">
      <c r="A79" s="2" t="s">
        <v>166</v>
      </c>
      <c r="B79" s="3" t="s">
        <v>85</v>
      </c>
      <c r="C79" s="3" t="s">
        <v>33</v>
      </c>
      <c r="D79" s="4">
        <v>65</v>
      </c>
      <c r="E79" s="4">
        <v>97</v>
      </c>
      <c r="F79" s="4">
        <v>2012</v>
      </c>
      <c r="G79" s="39">
        <v>19</v>
      </c>
      <c r="H79" s="28">
        <v>0</v>
      </c>
      <c r="I79" s="28">
        <v>2</v>
      </c>
      <c r="J79" s="5">
        <v>2017</v>
      </c>
      <c r="K79" s="5">
        <v>2023</v>
      </c>
      <c r="L79" s="5">
        <f>(K79-J79)</f>
        <v>6</v>
      </c>
      <c r="M79" s="5">
        <v>1</v>
      </c>
      <c r="N79" s="5" t="s">
        <v>572</v>
      </c>
      <c r="O79" s="5" t="s">
        <v>28</v>
      </c>
      <c r="P79" s="5">
        <v>0</v>
      </c>
      <c r="Q79" s="5"/>
      <c r="R79" s="5" t="s">
        <v>30</v>
      </c>
      <c r="S79" s="5" t="s">
        <v>177</v>
      </c>
      <c r="T79" s="6" t="s">
        <v>84</v>
      </c>
      <c r="U79" s="6">
        <v>0</v>
      </c>
      <c r="V79" s="25">
        <v>64</v>
      </c>
      <c r="W79" s="5">
        <v>1</v>
      </c>
      <c r="X79" s="7">
        <f t="shared" si="47"/>
        <v>6</v>
      </c>
      <c r="Y79" s="22">
        <f t="shared" si="48"/>
        <v>6</v>
      </c>
      <c r="Z79" s="15">
        <f t="shared" si="49"/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36">
        <f t="shared" si="41"/>
        <v>6</v>
      </c>
      <c r="AH79" s="36">
        <f t="shared" si="40"/>
        <v>0</v>
      </c>
      <c r="AI79" s="36">
        <f t="shared" si="40"/>
        <v>0</v>
      </c>
      <c r="AJ79" s="36">
        <f t="shared" si="39"/>
        <v>2</v>
      </c>
      <c r="AK79" s="36">
        <f t="shared" si="39"/>
        <v>3</v>
      </c>
      <c r="AL79" s="36">
        <f t="shared" si="39"/>
        <v>1</v>
      </c>
      <c r="AM79" s="7">
        <v>6</v>
      </c>
      <c r="AN79" s="7">
        <v>0</v>
      </c>
      <c r="AO79" s="7">
        <v>0</v>
      </c>
      <c r="AP79" s="7">
        <v>2</v>
      </c>
      <c r="AQ79" s="7">
        <v>3</v>
      </c>
      <c r="AR79" s="7">
        <v>1</v>
      </c>
      <c r="AS79" s="22">
        <f t="shared" si="50"/>
        <v>6</v>
      </c>
      <c r="AT79" s="22">
        <f t="shared" si="51"/>
        <v>1</v>
      </c>
      <c r="AU79" s="5">
        <f t="shared" si="52"/>
        <v>5</v>
      </c>
      <c r="AV79" s="5">
        <f t="shared" si="53"/>
        <v>0.83333333333333337</v>
      </c>
      <c r="AW79" s="5">
        <f t="shared" si="54"/>
        <v>0</v>
      </c>
      <c r="AX79" s="5">
        <f t="shared" si="55"/>
        <v>1</v>
      </c>
      <c r="AY79" s="5">
        <f t="shared" si="56"/>
        <v>0</v>
      </c>
      <c r="AZ79" s="5">
        <f t="shared" si="57"/>
        <v>0</v>
      </c>
      <c r="BA79" s="5">
        <f t="shared" si="58"/>
        <v>0.33333333333333331</v>
      </c>
      <c r="BB79" s="5">
        <f t="shared" si="59"/>
        <v>0.5</v>
      </c>
      <c r="BC79" s="5">
        <f t="shared" si="60"/>
        <v>0.16666666666666666</v>
      </c>
      <c r="BD79" s="6">
        <v>0</v>
      </c>
      <c r="BE79" s="6"/>
      <c r="BF79" s="59">
        <v>2</v>
      </c>
      <c r="BG79" s="6" t="s">
        <v>719</v>
      </c>
      <c r="BH79" s="5"/>
      <c r="BI79" s="5"/>
      <c r="BJ79" s="5" t="s">
        <v>572</v>
      </c>
    </row>
    <row r="80" spans="1:62">
      <c r="A80" s="2" t="s">
        <v>166</v>
      </c>
      <c r="B80" s="3" t="s">
        <v>85</v>
      </c>
      <c r="C80" s="3" t="s">
        <v>33</v>
      </c>
      <c r="D80" s="4">
        <v>65</v>
      </c>
      <c r="E80" s="4">
        <v>97</v>
      </c>
      <c r="F80" s="4">
        <v>2012</v>
      </c>
      <c r="G80" s="39">
        <v>19</v>
      </c>
      <c r="H80" s="28">
        <v>0</v>
      </c>
      <c r="I80" s="28">
        <v>2</v>
      </c>
      <c r="J80" s="5">
        <v>2017</v>
      </c>
      <c r="K80" s="5">
        <v>2023</v>
      </c>
      <c r="L80" s="5">
        <f>(K80-J80)</f>
        <v>6</v>
      </c>
      <c r="M80" s="5">
        <v>1</v>
      </c>
      <c r="N80" s="5" t="s">
        <v>178</v>
      </c>
      <c r="O80" s="5" t="s">
        <v>35</v>
      </c>
      <c r="P80" s="5">
        <v>0</v>
      </c>
      <c r="Q80" s="5"/>
      <c r="R80" s="5" t="s">
        <v>30</v>
      </c>
      <c r="S80" s="5" t="s">
        <v>573</v>
      </c>
      <c r="T80" s="6" t="s">
        <v>84</v>
      </c>
      <c r="U80" s="6">
        <v>0</v>
      </c>
      <c r="V80" s="25">
        <v>56</v>
      </c>
      <c r="W80" s="5">
        <v>1</v>
      </c>
      <c r="X80" s="7">
        <f t="shared" si="47"/>
        <v>1</v>
      </c>
      <c r="Y80" s="22">
        <f t="shared" si="48"/>
        <v>1</v>
      </c>
      <c r="Z80" s="15">
        <f t="shared" si="49"/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36">
        <f t="shared" si="41"/>
        <v>1</v>
      </c>
      <c r="AH80" s="36">
        <f t="shared" si="40"/>
        <v>0</v>
      </c>
      <c r="AI80" s="36">
        <f t="shared" si="40"/>
        <v>0</v>
      </c>
      <c r="AJ80" s="36">
        <f t="shared" si="39"/>
        <v>0</v>
      </c>
      <c r="AK80" s="36">
        <f t="shared" si="39"/>
        <v>1</v>
      </c>
      <c r="AL80" s="36">
        <f t="shared" si="39"/>
        <v>0</v>
      </c>
      <c r="AM80" s="7">
        <v>1</v>
      </c>
      <c r="AN80" s="7">
        <v>0</v>
      </c>
      <c r="AO80" s="7">
        <v>0</v>
      </c>
      <c r="AP80" s="7">
        <v>0</v>
      </c>
      <c r="AQ80" s="7">
        <v>1</v>
      </c>
      <c r="AR80" s="7">
        <v>0</v>
      </c>
      <c r="AS80" s="22">
        <f t="shared" si="50"/>
        <v>1</v>
      </c>
      <c r="AT80" s="22">
        <f t="shared" si="51"/>
        <v>0.16666666666666666</v>
      </c>
      <c r="AU80" s="5">
        <f t="shared" si="52"/>
        <v>1</v>
      </c>
      <c r="AV80" s="5">
        <f t="shared" si="53"/>
        <v>0.16666666666666666</v>
      </c>
      <c r="AW80" s="5">
        <f t="shared" si="54"/>
        <v>0</v>
      </c>
      <c r="AX80" s="5">
        <f t="shared" si="55"/>
        <v>0.16666666666666666</v>
      </c>
      <c r="AY80" s="5">
        <f t="shared" si="56"/>
        <v>0</v>
      </c>
      <c r="AZ80" s="5">
        <f t="shared" si="57"/>
        <v>0</v>
      </c>
      <c r="BA80" s="5">
        <f t="shared" si="58"/>
        <v>0</v>
      </c>
      <c r="BB80" s="5">
        <f t="shared" si="59"/>
        <v>0.16666666666666666</v>
      </c>
      <c r="BC80" s="5">
        <f t="shared" si="60"/>
        <v>0</v>
      </c>
      <c r="BD80" s="6">
        <v>0</v>
      </c>
      <c r="BE80" s="6"/>
      <c r="BF80" s="59">
        <v>1</v>
      </c>
      <c r="BG80" s="6" t="s">
        <v>720</v>
      </c>
      <c r="BH80" s="5"/>
      <c r="BI80" s="5"/>
      <c r="BJ80" s="5" t="s">
        <v>178</v>
      </c>
    </row>
    <row r="81" spans="1:62">
      <c r="A81" s="2" t="s">
        <v>166</v>
      </c>
      <c r="B81" s="3" t="s">
        <v>85</v>
      </c>
      <c r="C81" s="3" t="s">
        <v>33</v>
      </c>
      <c r="D81" s="4">
        <v>65</v>
      </c>
      <c r="E81" s="4">
        <v>97</v>
      </c>
      <c r="F81" s="4">
        <v>2012</v>
      </c>
      <c r="G81" s="39">
        <v>19</v>
      </c>
      <c r="H81" s="28">
        <v>0</v>
      </c>
      <c r="I81" s="28">
        <v>2</v>
      </c>
      <c r="J81" s="5">
        <v>2015</v>
      </c>
      <c r="K81" s="5">
        <v>2022</v>
      </c>
      <c r="L81" s="5">
        <f>(K81-J81)</f>
        <v>7</v>
      </c>
      <c r="M81" s="5">
        <v>1</v>
      </c>
      <c r="N81" s="5" t="s">
        <v>574</v>
      </c>
      <c r="O81" s="5" t="s">
        <v>28</v>
      </c>
      <c r="P81" s="5">
        <v>0</v>
      </c>
      <c r="Q81" s="5"/>
      <c r="R81" s="5" t="s">
        <v>39</v>
      </c>
      <c r="S81" s="5" t="s">
        <v>264</v>
      </c>
      <c r="T81" s="6" t="s">
        <v>218</v>
      </c>
      <c r="U81" s="6">
        <v>0</v>
      </c>
      <c r="V81" s="25">
        <v>13</v>
      </c>
      <c r="W81" s="5">
        <v>13</v>
      </c>
      <c r="X81" s="7">
        <f t="shared" si="47"/>
        <v>45</v>
      </c>
      <c r="Y81" s="22">
        <f t="shared" si="48"/>
        <v>37</v>
      </c>
      <c r="Z81" s="15">
        <f t="shared" si="49"/>
        <v>8</v>
      </c>
      <c r="AA81" s="47">
        <v>4</v>
      </c>
      <c r="AB81" s="47">
        <v>1</v>
      </c>
      <c r="AC81" s="47">
        <v>5</v>
      </c>
      <c r="AD81" s="47">
        <v>1</v>
      </c>
      <c r="AE81" s="47">
        <v>1</v>
      </c>
      <c r="AF81" s="47">
        <v>0</v>
      </c>
      <c r="AG81" s="36">
        <f t="shared" si="41"/>
        <v>20</v>
      </c>
      <c r="AH81" s="36">
        <f t="shared" si="40"/>
        <v>5</v>
      </c>
      <c r="AI81" s="36">
        <f t="shared" si="40"/>
        <v>18</v>
      </c>
      <c r="AJ81" s="36">
        <f t="shared" si="39"/>
        <v>5</v>
      </c>
      <c r="AK81" s="36">
        <f t="shared" si="39"/>
        <v>2</v>
      </c>
      <c r="AL81" s="36">
        <f t="shared" si="39"/>
        <v>7</v>
      </c>
      <c r="AM81" s="45">
        <v>24</v>
      </c>
      <c r="AN81" s="45">
        <v>6</v>
      </c>
      <c r="AO81" s="45">
        <v>23</v>
      </c>
      <c r="AP81" s="45">
        <v>6</v>
      </c>
      <c r="AQ81" s="45">
        <v>3</v>
      </c>
      <c r="AR81" s="45">
        <v>7</v>
      </c>
      <c r="AS81" s="22">
        <f t="shared" si="50"/>
        <v>45</v>
      </c>
      <c r="AT81" s="22">
        <f t="shared" si="51"/>
        <v>5.2857142857142856</v>
      </c>
      <c r="AU81" s="5">
        <f t="shared" si="52"/>
        <v>30</v>
      </c>
      <c r="AV81" s="5">
        <f t="shared" si="53"/>
        <v>4.2857142857142856</v>
      </c>
      <c r="AW81" s="5">
        <f t="shared" si="54"/>
        <v>8</v>
      </c>
      <c r="AX81" s="5">
        <f t="shared" si="55"/>
        <v>2.8571428571428572</v>
      </c>
      <c r="AY81" s="5">
        <f t="shared" si="56"/>
        <v>0.7142857142857143</v>
      </c>
      <c r="AZ81" s="5">
        <f t="shared" si="57"/>
        <v>2.5714285714285716</v>
      </c>
      <c r="BA81" s="5">
        <f t="shared" si="58"/>
        <v>0.7142857142857143</v>
      </c>
      <c r="BB81" s="5">
        <f t="shared" si="59"/>
        <v>0.2857142857142857</v>
      </c>
      <c r="BC81" s="5">
        <f t="shared" si="60"/>
        <v>1</v>
      </c>
      <c r="BD81" s="6">
        <v>1</v>
      </c>
      <c r="BE81" s="6"/>
      <c r="BF81" s="59">
        <v>1</v>
      </c>
      <c r="BG81" s="6" t="s">
        <v>639</v>
      </c>
      <c r="BH81" s="5"/>
      <c r="BI81" s="5"/>
      <c r="BJ81" s="5" t="s">
        <v>574</v>
      </c>
    </row>
    <row r="82" spans="1:62">
      <c r="A82" s="2" t="s">
        <v>166</v>
      </c>
      <c r="B82" s="3" t="s">
        <v>85</v>
      </c>
      <c r="C82" s="3" t="s">
        <v>33</v>
      </c>
      <c r="D82" s="4">
        <v>65</v>
      </c>
      <c r="E82" s="4">
        <v>97</v>
      </c>
      <c r="F82" s="4">
        <v>2012</v>
      </c>
      <c r="G82" s="39">
        <v>19</v>
      </c>
      <c r="H82" s="28">
        <v>0</v>
      </c>
      <c r="I82" s="28">
        <v>2</v>
      </c>
      <c r="J82" s="5">
        <v>2016</v>
      </c>
      <c r="K82" s="5">
        <v>2022</v>
      </c>
      <c r="L82" s="5">
        <f>(K82-J82)</f>
        <v>6</v>
      </c>
      <c r="M82" s="5">
        <v>1</v>
      </c>
      <c r="N82" s="5" t="s">
        <v>575</v>
      </c>
      <c r="O82" s="5" t="s">
        <v>28</v>
      </c>
      <c r="P82" s="5">
        <v>0</v>
      </c>
      <c r="Q82" s="5"/>
      <c r="R82" s="5" t="s">
        <v>30</v>
      </c>
      <c r="S82" s="6" t="s">
        <v>450</v>
      </c>
      <c r="T82" s="6" t="s">
        <v>84</v>
      </c>
      <c r="U82" s="6">
        <v>0</v>
      </c>
      <c r="V82" s="25">
        <v>47</v>
      </c>
      <c r="W82" s="5">
        <v>2</v>
      </c>
      <c r="X82" s="7">
        <f t="shared" si="47"/>
        <v>6</v>
      </c>
      <c r="Y82" s="22">
        <f t="shared" si="48"/>
        <v>6</v>
      </c>
      <c r="Z82" s="15">
        <f t="shared" si="49"/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36">
        <f t="shared" si="41"/>
        <v>3</v>
      </c>
      <c r="AH82" s="36">
        <f t="shared" si="40"/>
        <v>0</v>
      </c>
      <c r="AI82" s="36">
        <f t="shared" si="40"/>
        <v>3</v>
      </c>
      <c r="AJ82" s="36">
        <f t="shared" si="39"/>
        <v>1</v>
      </c>
      <c r="AK82" s="36">
        <f t="shared" si="39"/>
        <v>0</v>
      </c>
      <c r="AL82" s="36">
        <f t="shared" si="39"/>
        <v>2</v>
      </c>
      <c r="AM82" s="45">
        <v>3</v>
      </c>
      <c r="AN82" s="45">
        <v>0</v>
      </c>
      <c r="AO82" s="45">
        <v>3</v>
      </c>
      <c r="AP82" s="45">
        <v>1</v>
      </c>
      <c r="AQ82" s="45">
        <v>0</v>
      </c>
      <c r="AR82" s="45">
        <v>2</v>
      </c>
      <c r="AS82" s="22">
        <f t="shared" si="50"/>
        <v>6</v>
      </c>
      <c r="AT82" s="22">
        <f t="shared" si="51"/>
        <v>1</v>
      </c>
      <c r="AU82" s="5">
        <f t="shared" si="52"/>
        <v>4</v>
      </c>
      <c r="AV82" s="5">
        <f t="shared" si="53"/>
        <v>0.66666666666666663</v>
      </c>
      <c r="AW82" s="5">
        <f t="shared" si="54"/>
        <v>0</v>
      </c>
      <c r="AX82" s="5">
        <f t="shared" si="55"/>
        <v>0.5</v>
      </c>
      <c r="AY82" s="5">
        <f t="shared" si="56"/>
        <v>0</v>
      </c>
      <c r="AZ82" s="5">
        <f t="shared" si="57"/>
        <v>0.5</v>
      </c>
      <c r="BA82" s="5">
        <f t="shared" si="58"/>
        <v>0.16666666666666666</v>
      </c>
      <c r="BB82" s="5">
        <f t="shared" si="59"/>
        <v>0</v>
      </c>
      <c r="BC82" s="5">
        <f t="shared" si="60"/>
        <v>0.33333333333333331</v>
      </c>
      <c r="BD82" s="6"/>
      <c r="BE82" s="6"/>
      <c r="BF82" s="59">
        <v>1</v>
      </c>
      <c r="BG82" s="6" t="s">
        <v>631</v>
      </c>
      <c r="BH82" s="5"/>
      <c r="BI82" s="5"/>
      <c r="BJ82" s="5" t="s">
        <v>575</v>
      </c>
    </row>
    <row r="83" spans="1:62">
      <c r="A83" s="2" t="s">
        <v>166</v>
      </c>
      <c r="B83" s="3" t="s">
        <v>85</v>
      </c>
      <c r="C83" s="3" t="s">
        <v>33</v>
      </c>
      <c r="D83" s="4">
        <v>65</v>
      </c>
      <c r="E83" s="4">
        <v>97</v>
      </c>
      <c r="F83" s="4">
        <v>2012</v>
      </c>
      <c r="G83" s="39">
        <v>19</v>
      </c>
      <c r="H83" s="28">
        <v>0</v>
      </c>
      <c r="I83" s="28">
        <v>2</v>
      </c>
      <c r="J83" s="5">
        <v>2015</v>
      </c>
      <c r="K83" s="5">
        <v>2021</v>
      </c>
      <c r="L83" s="5">
        <f>(K83-J83)</f>
        <v>6</v>
      </c>
      <c r="M83" s="5">
        <v>1</v>
      </c>
      <c r="N83" s="5" t="s">
        <v>633</v>
      </c>
      <c r="O83" s="5" t="s">
        <v>28</v>
      </c>
      <c r="P83" s="5">
        <v>0</v>
      </c>
      <c r="Q83" s="5"/>
      <c r="R83" s="5" t="s">
        <v>30</v>
      </c>
      <c r="S83" s="5" t="s">
        <v>324</v>
      </c>
      <c r="T83" s="6" t="s">
        <v>37</v>
      </c>
      <c r="U83" s="6">
        <v>0</v>
      </c>
      <c r="V83" s="25">
        <v>35</v>
      </c>
      <c r="W83" s="5">
        <v>2</v>
      </c>
      <c r="X83" s="7">
        <f t="shared" si="47"/>
        <v>9</v>
      </c>
      <c r="Y83" s="22">
        <f t="shared" si="48"/>
        <v>7</v>
      </c>
      <c r="Z83" s="15">
        <f t="shared" si="49"/>
        <v>2</v>
      </c>
      <c r="AA83" s="47">
        <v>0</v>
      </c>
      <c r="AB83" s="47">
        <v>0</v>
      </c>
      <c r="AC83" s="47">
        <v>1</v>
      </c>
      <c r="AD83" s="47">
        <v>0</v>
      </c>
      <c r="AE83" s="47">
        <v>1</v>
      </c>
      <c r="AF83" s="47">
        <v>0</v>
      </c>
      <c r="AG83" s="36">
        <f t="shared" si="41"/>
        <v>4</v>
      </c>
      <c r="AH83" s="36">
        <f t="shared" si="40"/>
        <v>0</v>
      </c>
      <c r="AI83" s="36">
        <f t="shared" si="40"/>
        <v>4</v>
      </c>
      <c r="AJ83" s="36">
        <f t="shared" si="39"/>
        <v>0</v>
      </c>
      <c r="AK83" s="36">
        <f t="shared" si="39"/>
        <v>3</v>
      </c>
      <c r="AL83" s="36">
        <f t="shared" si="39"/>
        <v>0</v>
      </c>
      <c r="AM83" s="45">
        <v>4</v>
      </c>
      <c r="AN83" s="45">
        <v>0</v>
      </c>
      <c r="AO83" s="45">
        <v>5</v>
      </c>
      <c r="AP83" s="45">
        <v>0</v>
      </c>
      <c r="AQ83" s="45">
        <v>4</v>
      </c>
      <c r="AR83" s="45">
        <v>0</v>
      </c>
      <c r="AS83" s="22">
        <f t="shared" si="50"/>
        <v>9</v>
      </c>
      <c r="AT83" s="22">
        <f t="shared" si="51"/>
        <v>1.1666666666666667</v>
      </c>
      <c r="AU83" s="5">
        <f t="shared" si="52"/>
        <v>7</v>
      </c>
      <c r="AV83" s="5">
        <f t="shared" si="53"/>
        <v>1.1666666666666667</v>
      </c>
      <c r="AW83" s="5">
        <f t="shared" si="54"/>
        <v>2</v>
      </c>
      <c r="AX83" s="5">
        <f t="shared" si="55"/>
        <v>0.66666666666666663</v>
      </c>
      <c r="AY83" s="5">
        <f t="shared" si="56"/>
        <v>0</v>
      </c>
      <c r="AZ83" s="5">
        <f t="shared" si="57"/>
        <v>0.66666666666666663</v>
      </c>
      <c r="BA83" s="5">
        <f t="shared" si="58"/>
        <v>0</v>
      </c>
      <c r="BB83" s="5">
        <f t="shared" si="59"/>
        <v>0.5</v>
      </c>
      <c r="BC83" s="5">
        <f t="shared" si="60"/>
        <v>0</v>
      </c>
      <c r="BD83" s="6">
        <v>3</v>
      </c>
      <c r="BE83" s="6"/>
      <c r="BF83" s="59">
        <v>1</v>
      </c>
      <c r="BG83" s="6" t="s">
        <v>632</v>
      </c>
      <c r="BH83" s="5"/>
      <c r="BI83" s="5"/>
      <c r="BJ83" s="5" t="s">
        <v>633</v>
      </c>
    </row>
    <row r="84" spans="1:62">
      <c r="A84" s="2" t="s">
        <v>179</v>
      </c>
      <c r="B84" s="3" t="s">
        <v>32</v>
      </c>
      <c r="C84" s="3" t="s">
        <v>32</v>
      </c>
      <c r="D84" s="4">
        <v>29</v>
      </c>
      <c r="E84" s="4">
        <v>74</v>
      </c>
      <c r="F84" s="4">
        <v>2014</v>
      </c>
      <c r="G84" s="38">
        <v>1000</v>
      </c>
      <c r="H84" s="28">
        <v>0</v>
      </c>
      <c r="I84" s="28">
        <v>2</v>
      </c>
      <c r="J84" s="5">
        <v>2022</v>
      </c>
      <c r="K84" s="5">
        <v>2024</v>
      </c>
      <c r="L84" s="5">
        <f t="shared" ref="L84:L89" si="62">(K84-J84)-0.42</f>
        <v>1.58</v>
      </c>
      <c r="M84" s="5">
        <v>0</v>
      </c>
      <c r="N84" s="5" t="s">
        <v>180</v>
      </c>
      <c r="O84" s="5" t="s">
        <v>28</v>
      </c>
      <c r="P84" s="5">
        <v>0</v>
      </c>
      <c r="Q84" s="5"/>
      <c r="R84" s="5" t="s">
        <v>30</v>
      </c>
      <c r="S84" s="5" t="s">
        <v>181</v>
      </c>
      <c r="T84" s="6" t="s">
        <v>101</v>
      </c>
      <c r="U84" s="6">
        <v>0</v>
      </c>
      <c r="V84" s="25">
        <v>33</v>
      </c>
      <c r="W84" s="5">
        <v>2</v>
      </c>
      <c r="X84" s="7">
        <f t="shared" si="47"/>
        <v>8</v>
      </c>
      <c r="Y84" s="22">
        <f t="shared" si="48"/>
        <v>4</v>
      </c>
      <c r="Z84" s="15">
        <f t="shared" si="49"/>
        <v>4</v>
      </c>
      <c r="AA84" s="19">
        <v>3</v>
      </c>
      <c r="AB84" s="19">
        <v>0</v>
      </c>
      <c r="AC84" s="19">
        <v>1</v>
      </c>
      <c r="AD84" s="19">
        <v>3</v>
      </c>
      <c r="AE84" s="19">
        <v>0</v>
      </c>
      <c r="AF84" s="19">
        <v>0</v>
      </c>
      <c r="AG84" s="36">
        <f t="shared" si="41"/>
        <v>3</v>
      </c>
      <c r="AH84" s="36">
        <f t="shared" si="40"/>
        <v>0</v>
      </c>
      <c r="AI84" s="36">
        <f t="shared" si="40"/>
        <v>2</v>
      </c>
      <c r="AJ84" s="36">
        <f t="shared" si="39"/>
        <v>2</v>
      </c>
      <c r="AK84" s="36">
        <f t="shared" si="39"/>
        <v>0</v>
      </c>
      <c r="AL84" s="36">
        <f t="shared" si="39"/>
        <v>0</v>
      </c>
      <c r="AM84" s="7">
        <v>6</v>
      </c>
      <c r="AN84" s="7">
        <v>0</v>
      </c>
      <c r="AO84" s="7">
        <v>3</v>
      </c>
      <c r="AP84" s="7">
        <v>5</v>
      </c>
      <c r="AQ84" s="7">
        <v>0</v>
      </c>
      <c r="AR84" s="7">
        <v>0</v>
      </c>
      <c r="AS84" s="22">
        <f t="shared" si="50"/>
        <v>8</v>
      </c>
      <c r="AT84" s="22">
        <f t="shared" si="51"/>
        <v>2.5316455696202529</v>
      </c>
      <c r="AU84" s="5">
        <f t="shared" si="52"/>
        <v>4</v>
      </c>
      <c r="AV84" s="5">
        <f t="shared" si="53"/>
        <v>2.5316455696202529</v>
      </c>
      <c r="AW84" s="5">
        <f t="shared" si="54"/>
        <v>4</v>
      </c>
      <c r="AX84" s="5">
        <f t="shared" si="55"/>
        <v>1.8987341772151898</v>
      </c>
      <c r="AY84" s="5">
        <f t="shared" si="56"/>
        <v>0</v>
      </c>
      <c r="AZ84" s="5">
        <f t="shared" si="57"/>
        <v>1.2658227848101264</v>
      </c>
      <c r="BA84" s="5">
        <f t="shared" si="58"/>
        <v>1.2658227848101264</v>
      </c>
      <c r="BB84" s="5">
        <f t="shared" si="59"/>
        <v>0</v>
      </c>
      <c r="BC84" s="5">
        <f t="shared" si="60"/>
        <v>0</v>
      </c>
      <c r="BD84" s="6"/>
      <c r="BE84" s="6"/>
      <c r="BF84" s="59"/>
      <c r="BG84" s="6"/>
      <c r="BH84" s="5"/>
      <c r="BI84" s="5"/>
      <c r="BJ84" s="5" t="s">
        <v>180</v>
      </c>
    </row>
    <row r="85" spans="1:62">
      <c r="A85" s="2" t="s">
        <v>179</v>
      </c>
      <c r="B85" s="3" t="s">
        <v>32</v>
      </c>
      <c r="C85" s="3" t="s">
        <v>32</v>
      </c>
      <c r="D85" s="4">
        <v>29</v>
      </c>
      <c r="E85" s="4">
        <v>74</v>
      </c>
      <c r="F85" s="4">
        <v>2014</v>
      </c>
      <c r="G85" s="38">
        <v>1000</v>
      </c>
      <c r="H85" s="28">
        <v>0</v>
      </c>
      <c r="I85" s="28">
        <v>2</v>
      </c>
      <c r="J85" s="5">
        <v>2021</v>
      </c>
      <c r="K85" s="5">
        <v>2024</v>
      </c>
      <c r="L85" s="5">
        <f t="shared" si="62"/>
        <v>2.58</v>
      </c>
      <c r="M85" s="5">
        <v>0</v>
      </c>
      <c r="N85" s="5" t="s">
        <v>182</v>
      </c>
      <c r="O85" s="5" t="s">
        <v>28</v>
      </c>
      <c r="P85" s="5">
        <v>0</v>
      </c>
      <c r="Q85" s="5"/>
      <c r="R85" s="5" t="s">
        <v>30</v>
      </c>
      <c r="S85" s="5" t="s">
        <v>183</v>
      </c>
      <c r="T85" s="6" t="s">
        <v>84</v>
      </c>
      <c r="U85" s="6">
        <v>0</v>
      </c>
      <c r="V85" s="25">
        <v>101</v>
      </c>
      <c r="W85" s="5">
        <v>1</v>
      </c>
      <c r="X85" s="7">
        <f t="shared" si="47"/>
        <v>5</v>
      </c>
      <c r="Y85" s="22">
        <f t="shared" si="48"/>
        <v>2</v>
      </c>
      <c r="Z85" s="15">
        <f t="shared" si="49"/>
        <v>3</v>
      </c>
      <c r="AA85" s="19">
        <v>2</v>
      </c>
      <c r="AB85" s="19">
        <v>0</v>
      </c>
      <c r="AC85" s="19">
        <v>1</v>
      </c>
      <c r="AD85" s="19">
        <v>0</v>
      </c>
      <c r="AE85" s="19">
        <v>2</v>
      </c>
      <c r="AF85" s="19">
        <v>0</v>
      </c>
      <c r="AG85" s="36">
        <f t="shared" si="41"/>
        <v>1</v>
      </c>
      <c r="AH85" s="36">
        <f t="shared" si="40"/>
        <v>0</v>
      </c>
      <c r="AI85" s="36">
        <f t="shared" si="40"/>
        <v>1</v>
      </c>
      <c r="AJ85" s="36">
        <f t="shared" si="39"/>
        <v>0</v>
      </c>
      <c r="AK85" s="36">
        <f t="shared" si="39"/>
        <v>1</v>
      </c>
      <c r="AL85" s="36">
        <f t="shared" si="39"/>
        <v>0</v>
      </c>
      <c r="AM85" s="7">
        <v>3</v>
      </c>
      <c r="AN85" s="7">
        <v>0</v>
      </c>
      <c r="AO85" s="7">
        <v>2</v>
      </c>
      <c r="AP85" s="7">
        <v>0</v>
      </c>
      <c r="AQ85" s="7">
        <v>3</v>
      </c>
      <c r="AR85" s="7">
        <v>0</v>
      </c>
      <c r="AS85" s="22">
        <f t="shared" si="50"/>
        <v>5</v>
      </c>
      <c r="AT85" s="22">
        <f t="shared" si="51"/>
        <v>0.77519379844961234</v>
      </c>
      <c r="AU85" s="5">
        <f t="shared" si="52"/>
        <v>2</v>
      </c>
      <c r="AV85" s="5">
        <f t="shared" si="53"/>
        <v>0.77519379844961234</v>
      </c>
      <c r="AW85" s="5">
        <f t="shared" si="54"/>
        <v>3</v>
      </c>
      <c r="AX85" s="5">
        <f t="shared" si="55"/>
        <v>0.38759689922480617</v>
      </c>
      <c r="AY85" s="5">
        <f t="shared" si="56"/>
        <v>0</v>
      </c>
      <c r="AZ85" s="5">
        <f t="shared" si="57"/>
        <v>0.38759689922480617</v>
      </c>
      <c r="BA85" s="5">
        <f t="shared" si="58"/>
        <v>0</v>
      </c>
      <c r="BB85" s="5">
        <f t="shared" si="59"/>
        <v>0.38759689922480617</v>
      </c>
      <c r="BC85" s="5">
        <f t="shared" si="60"/>
        <v>0</v>
      </c>
      <c r="BD85" s="6"/>
      <c r="BE85" s="6"/>
      <c r="BF85" s="59"/>
      <c r="BG85" s="6"/>
      <c r="BH85" s="5"/>
      <c r="BI85" s="5"/>
      <c r="BJ85" s="5" t="s">
        <v>182</v>
      </c>
    </row>
    <row r="86" spans="1:62">
      <c r="A86" s="2" t="s">
        <v>179</v>
      </c>
      <c r="B86" s="3" t="s">
        <v>32</v>
      </c>
      <c r="C86" s="3" t="s">
        <v>32</v>
      </c>
      <c r="D86" s="4">
        <v>29</v>
      </c>
      <c r="E86" s="4">
        <v>74</v>
      </c>
      <c r="F86" s="4">
        <v>2014</v>
      </c>
      <c r="G86" s="38">
        <v>1000</v>
      </c>
      <c r="H86" s="28">
        <v>0</v>
      </c>
      <c r="I86" s="28">
        <v>2</v>
      </c>
      <c r="J86" s="5">
        <v>2018</v>
      </c>
      <c r="K86" s="5">
        <v>2024</v>
      </c>
      <c r="L86" s="5">
        <f t="shared" si="62"/>
        <v>5.58</v>
      </c>
      <c r="M86" s="5">
        <v>0</v>
      </c>
      <c r="N86" s="5" t="s">
        <v>184</v>
      </c>
      <c r="O86" s="5" t="s">
        <v>28</v>
      </c>
      <c r="P86" s="5">
        <v>0</v>
      </c>
      <c r="Q86" s="5"/>
      <c r="R86" s="5" t="s">
        <v>30</v>
      </c>
      <c r="S86" s="5" t="s">
        <v>185</v>
      </c>
      <c r="T86" s="6" t="s">
        <v>84</v>
      </c>
      <c r="U86" s="6">
        <v>0</v>
      </c>
      <c r="V86" s="25">
        <v>68</v>
      </c>
      <c r="W86" s="5">
        <v>2</v>
      </c>
      <c r="X86" s="7">
        <f t="shared" si="47"/>
        <v>24</v>
      </c>
      <c r="Y86" s="22">
        <f t="shared" si="48"/>
        <v>21</v>
      </c>
      <c r="Z86" s="15">
        <f t="shared" si="49"/>
        <v>3</v>
      </c>
      <c r="AA86" s="19">
        <v>1</v>
      </c>
      <c r="AB86" s="19">
        <v>1</v>
      </c>
      <c r="AC86" s="19">
        <v>1</v>
      </c>
      <c r="AD86" s="19">
        <v>0</v>
      </c>
      <c r="AE86" s="19">
        <v>1</v>
      </c>
      <c r="AF86" s="19">
        <v>0</v>
      </c>
      <c r="AG86" s="36">
        <f t="shared" si="41"/>
        <v>5</v>
      </c>
      <c r="AH86" s="36">
        <f t="shared" si="40"/>
        <v>2</v>
      </c>
      <c r="AI86" s="36">
        <f t="shared" si="40"/>
        <v>12</v>
      </c>
      <c r="AJ86" s="36">
        <f t="shared" si="39"/>
        <v>2</v>
      </c>
      <c r="AK86" s="36">
        <f t="shared" si="39"/>
        <v>0</v>
      </c>
      <c r="AL86" s="36">
        <f t="shared" si="39"/>
        <v>5</v>
      </c>
      <c r="AM86" s="7">
        <v>6</v>
      </c>
      <c r="AN86" s="7">
        <v>3</v>
      </c>
      <c r="AO86" s="7">
        <v>13</v>
      </c>
      <c r="AP86" s="7">
        <v>2</v>
      </c>
      <c r="AQ86" s="7">
        <v>1</v>
      </c>
      <c r="AR86" s="7">
        <v>5</v>
      </c>
      <c r="AS86" s="22">
        <f t="shared" si="50"/>
        <v>24</v>
      </c>
      <c r="AT86" s="22">
        <f t="shared" si="51"/>
        <v>3.7634408602150535</v>
      </c>
      <c r="AU86" s="5">
        <f t="shared" si="52"/>
        <v>16</v>
      </c>
      <c r="AV86" s="5">
        <f t="shared" si="53"/>
        <v>2.8673835125448028</v>
      </c>
      <c r="AW86" s="5">
        <f t="shared" si="54"/>
        <v>3</v>
      </c>
      <c r="AX86" s="5">
        <f t="shared" si="55"/>
        <v>0.89605734767025091</v>
      </c>
      <c r="AY86" s="5">
        <f t="shared" si="56"/>
        <v>0.35842293906810035</v>
      </c>
      <c r="AZ86" s="5">
        <f t="shared" si="57"/>
        <v>2.150537634408602</v>
      </c>
      <c r="BA86" s="5">
        <f t="shared" si="58"/>
        <v>0.35842293906810035</v>
      </c>
      <c r="BB86" s="5">
        <f t="shared" si="59"/>
        <v>0</v>
      </c>
      <c r="BC86" s="5">
        <f t="shared" si="60"/>
        <v>0.89605734767025091</v>
      </c>
      <c r="BD86" s="6"/>
      <c r="BE86" s="6"/>
      <c r="BF86" s="59"/>
      <c r="BG86" s="6"/>
      <c r="BH86" s="5"/>
      <c r="BI86" s="5"/>
      <c r="BJ86" s="5" t="s">
        <v>184</v>
      </c>
    </row>
    <row r="87" spans="1:62">
      <c r="A87" s="2" t="s">
        <v>179</v>
      </c>
      <c r="B87" s="3" t="s">
        <v>32</v>
      </c>
      <c r="C87" s="3" t="s">
        <v>32</v>
      </c>
      <c r="D87" s="4">
        <v>29</v>
      </c>
      <c r="E87" s="4">
        <v>74</v>
      </c>
      <c r="F87" s="4">
        <v>2014</v>
      </c>
      <c r="G87" s="38">
        <v>1000</v>
      </c>
      <c r="H87" s="28">
        <v>0</v>
      </c>
      <c r="I87" s="28">
        <v>2</v>
      </c>
      <c r="J87" s="5">
        <v>2020</v>
      </c>
      <c r="K87" s="5">
        <v>2024</v>
      </c>
      <c r="L87" s="5">
        <f t="shared" si="62"/>
        <v>3.58</v>
      </c>
      <c r="M87" s="5">
        <v>0</v>
      </c>
      <c r="N87" s="5" t="s">
        <v>186</v>
      </c>
      <c r="O87" s="5" t="s">
        <v>43</v>
      </c>
      <c r="P87" s="5">
        <v>0</v>
      </c>
      <c r="Q87" s="5"/>
      <c r="R87" s="5" t="s">
        <v>30</v>
      </c>
      <c r="S87" s="5" t="s">
        <v>187</v>
      </c>
      <c r="T87" s="6" t="s">
        <v>84</v>
      </c>
      <c r="U87" s="6">
        <v>0</v>
      </c>
      <c r="V87" s="25">
        <v>85</v>
      </c>
      <c r="W87" s="5">
        <v>0</v>
      </c>
      <c r="X87" s="7">
        <f t="shared" si="47"/>
        <v>1</v>
      </c>
      <c r="Y87" s="22">
        <f t="shared" si="48"/>
        <v>0</v>
      </c>
      <c r="Z87" s="15">
        <f t="shared" si="49"/>
        <v>1</v>
      </c>
      <c r="AA87" s="19">
        <v>0</v>
      </c>
      <c r="AB87" s="19">
        <v>0</v>
      </c>
      <c r="AC87" s="19">
        <v>0</v>
      </c>
      <c r="AD87" s="19">
        <v>1</v>
      </c>
      <c r="AE87" s="19">
        <v>0</v>
      </c>
      <c r="AF87" s="19">
        <v>0</v>
      </c>
      <c r="AG87" s="36">
        <f t="shared" si="41"/>
        <v>0</v>
      </c>
      <c r="AH87" s="36">
        <f t="shared" si="40"/>
        <v>0</v>
      </c>
      <c r="AI87" s="36">
        <f t="shared" si="40"/>
        <v>0</v>
      </c>
      <c r="AJ87" s="36">
        <f t="shared" si="39"/>
        <v>0</v>
      </c>
      <c r="AK87" s="36">
        <f t="shared" si="39"/>
        <v>0</v>
      </c>
      <c r="AL87" s="36">
        <f t="shared" si="39"/>
        <v>0</v>
      </c>
      <c r="AM87" s="7">
        <v>0</v>
      </c>
      <c r="AN87" s="7">
        <v>0</v>
      </c>
      <c r="AO87" s="7">
        <v>0</v>
      </c>
      <c r="AP87" s="7">
        <v>1</v>
      </c>
      <c r="AQ87" s="7">
        <v>0</v>
      </c>
      <c r="AR87" s="7">
        <v>0</v>
      </c>
      <c r="AS87" s="22">
        <f t="shared" si="50"/>
        <v>1</v>
      </c>
      <c r="AT87" s="22">
        <f t="shared" si="51"/>
        <v>0</v>
      </c>
      <c r="AU87" s="5">
        <f t="shared" si="52"/>
        <v>0</v>
      </c>
      <c r="AV87" s="5">
        <f t="shared" si="53"/>
        <v>0</v>
      </c>
      <c r="AW87" s="5">
        <f t="shared" si="54"/>
        <v>1</v>
      </c>
      <c r="AX87" s="5">
        <f t="shared" si="55"/>
        <v>0</v>
      </c>
      <c r="AY87" s="5">
        <f t="shared" si="56"/>
        <v>0</v>
      </c>
      <c r="AZ87" s="5">
        <f t="shared" si="57"/>
        <v>0</v>
      </c>
      <c r="BA87" s="5">
        <f t="shared" si="58"/>
        <v>0</v>
      </c>
      <c r="BB87" s="5">
        <f t="shared" si="59"/>
        <v>0</v>
      </c>
      <c r="BC87" s="5">
        <f t="shared" si="60"/>
        <v>0</v>
      </c>
      <c r="BD87" s="6"/>
      <c r="BE87" s="6"/>
      <c r="BF87" s="59"/>
      <c r="BG87" s="6"/>
      <c r="BH87" s="5"/>
      <c r="BI87" s="5"/>
      <c r="BJ87" s="5" t="s">
        <v>186</v>
      </c>
    </row>
    <row r="88" spans="1:62">
      <c r="A88" s="2" t="s">
        <v>179</v>
      </c>
      <c r="B88" s="3" t="s">
        <v>32</v>
      </c>
      <c r="C88" s="3" t="s">
        <v>32</v>
      </c>
      <c r="D88" s="4">
        <v>29</v>
      </c>
      <c r="E88" s="4">
        <v>74</v>
      </c>
      <c r="F88" s="4">
        <v>2014</v>
      </c>
      <c r="G88" s="38">
        <v>1000</v>
      </c>
      <c r="H88" s="28">
        <v>0</v>
      </c>
      <c r="I88" s="28">
        <v>2</v>
      </c>
      <c r="J88" s="5">
        <v>2019</v>
      </c>
      <c r="K88" s="5">
        <v>2024</v>
      </c>
      <c r="L88" s="5">
        <f t="shared" si="62"/>
        <v>4.58</v>
      </c>
      <c r="M88" s="5">
        <v>0</v>
      </c>
      <c r="N88" s="5" t="s">
        <v>188</v>
      </c>
      <c r="O88" s="5" t="s">
        <v>43</v>
      </c>
      <c r="P88" s="5">
        <v>0</v>
      </c>
      <c r="Q88" s="5"/>
      <c r="R88" s="5" t="s">
        <v>30</v>
      </c>
      <c r="S88" s="5" t="s">
        <v>181</v>
      </c>
      <c r="T88" s="6" t="s">
        <v>101</v>
      </c>
      <c r="U88" s="6">
        <v>0</v>
      </c>
      <c r="V88" s="25">
        <v>33</v>
      </c>
      <c r="W88" s="5">
        <v>5</v>
      </c>
      <c r="X88" s="7">
        <f t="shared" si="47"/>
        <v>7</v>
      </c>
      <c r="Y88" s="22">
        <f t="shared" si="48"/>
        <v>1</v>
      </c>
      <c r="Z88" s="15">
        <f t="shared" si="49"/>
        <v>6</v>
      </c>
      <c r="AA88" s="19">
        <v>0</v>
      </c>
      <c r="AB88" s="19">
        <v>2</v>
      </c>
      <c r="AC88" s="19">
        <v>3</v>
      </c>
      <c r="AD88" s="19">
        <v>1</v>
      </c>
      <c r="AE88" s="19">
        <v>0</v>
      </c>
      <c r="AF88" s="19">
        <v>0</v>
      </c>
      <c r="AG88" s="36">
        <f t="shared" si="41"/>
        <v>1</v>
      </c>
      <c r="AH88" s="36">
        <f t="shared" si="40"/>
        <v>0</v>
      </c>
      <c r="AI88" s="36">
        <f t="shared" si="40"/>
        <v>0</v>
      </c>
      <c r="AJ88" s="36">
        <f t="shared" si="39"/>
        <v>0</v>
      </c>
      <c r="AK88" s="36">
        <f t="shared" si="39"/>
        <v>1</v>
      </c>
      <c r="AL88" s="36">
        <f t="shared" si="39"/>
        <v>0</v>
      </c>
      <c r="AM88" s="7">
        <v>1</v>
      </c>
      <c r="AN88" s="7">
        <v>2</v>
      </c>
      <c r="AO88" s="7">
        <v>3</v>
      </c>
      <c r="AP88" s="7">
        <v>1</v>
      </c>
      <c r="AQ88" s="7">
        <v>1</v>
      </c>
      <c r="AR88" s="7">
        <v>0</v>
      </c>
      <c r="AS88" s="22">
        <f t="shared" si="50"/>
        <v>7</v>
      </c>
      <c r="AT88" s="22">
        <f t="shared" si="51"/>
        <v>0.2183406113537118</v>
      </c>
      <c r="AU88" s="5">
        <f t="shared" si="52"/>
        <v>1</v>
      </c>
      <c r="AV88" s="5">
        <f t="shared" si="53"/>
        <v>0.2183406113537118</v>
      </c>
      <c r="AW88" s="5">
        <f t="shared" si="54"/>
        <v>6</v>
      </c>
      <c r="AX88" s="5">
        <f t="shared" si="55"/>
        <v>0.2183406113537118</v>
      </c>
      <c r="AY88" s="5">
        <f t="shared" si="56"/>
        <v>0</v>
      </c>
      <c r="AZ88" s="5">
        <f t="shared" si="57"/>
        <v>0</v>
      </c>
      <c r="BA88" s="5">
        <f t="shared" si="58"/>
        <v>0</v>
      </c>
      <c r="BB88" s="5">
        <f t="shared" si="59"/>
        <v>0.2183406113537118</v>
      </c>
      <c r="BC88" s="5">
        <f t="shared" si="60"/>
        <v>0</v>
      </c>
      <c r="BD88" s="6"/>
      <c r="BE88" s="6"/>
      <c r="BF88" s="59"/>
      <c r="BG88" s="6"/>
      <c r="BH88" s="5"/>
      <c r="BI88" s="5"/>
      <c r="BJ88" s="5" t="s">
        <v>188</v>
      </c>
    </row>
    <row r="89" spans="1:62">
      <c r="A89" s="2" t="s">
        <v>179</v>
      </c>
      <c r="B89" s="3" t="s">
        <v>32</v>
      </c>
      <c r="C89" s="3" t="s">
        <v>32</v>
      </c>
      <c r="D89" s="4">
        <v>29</v>
      </c>
      <c r="E89" s="4">
        <v>74</v>
      </c>
      <c r="F89" s="4">
        <v>2014</v>
      </c>
      <c r="G89" s="38">
        <v>1000</v>
      </c>
      <c r="H89" s="28">
        <v>0</v>
      </c>
      <c r="I89" s="28">
        <v>2</v>
      </c>
      <c r="J89" s="5">
        <v>2018</v>
      </c>
      <c r="K89" s="5">
        <v>2024</v>
      </c>
      <c r="L89" s="5">
        <f t="shared" si="62"/>
        <v>5.58</v>
      </c>
      <c r="M89" s="5">
        <v>0</v>
      </c>
      <c r="N89" s="5" t="s">
        <v>189</v>
      </c>
      <c r="O89" s="5" t="s">
        <v>43</v>
      </c>
      <c r="P89" s="5">
        <v>0</v>
      </c>
      <c r="Q89" s="5"/>
      <c r="R89" s="5" t="s">
        <v>39</v>
      </c>
      <c r="S89" s="5" t="s">
        <v>185</v>
      </c>
      <c r="T89" s="6" t="s">
        <v>84</v>
      </c>
      <c r="U89" s="6">
        <v>0</v>
      </c>
      <c r="V89" s="25">
        <v>68</v>
      </c>
      <c r="W89" s="5">
        <v>4</v>
      </c>
      <c r="X89" s="7">
        <f t="shared" si="47"/>
        <v>11</v>
      </c>
      <c r="Y89" s="22">
        <f t="shared" si="48"/>
        <v>9</v>
      </c>
      <c r="Z89" s="15">
        <f t="shared" si="49"/>
        <v>2</v>
      </c>
      <c r="AA89" s="19">
        <v>1</v>
      </c>
      <c r="AB89" s="19">
        <v>1</v>
      </c>
      <c r="AC89" s="19">
        <v>0</v>
      </c>
      <c r="AD89" s="19">
        <v>0</v>
      </c>
      <c r="AE89" s="19">
        <v>1</v>
      </c>
      <c r="AF89" s="19">
        <v>0</v>
      </c>
      <c r="AG89" s="36">
        <f t="shared" si="41"/>
        <v>3</v>
      </c>
      <c r="AH89" s="36">
        <f t="shared" si="40"/>
        <v>0</v>
      </c>
      <c r="AI89" s="36">
        <f t="shared" si="40"/>
        <v>2</v>
      </c>
      <c r="AJ89" s="36">
        <f t="shared" si="39"/>
        <v>4</v>
      </c>
      <c r="AK89" s="36">
        <f t="shared" si="39"/>
        <v>2</v>
      </c>
      <c r="AL89" s="36">
        <f t="shared" si="39"/>
        <v>1</v>
      </c>
      <c r="AM89" s="7">
        <v>4</v>
      </c>
      <c r="AN89" s="7">
        <v>1</v>
      </c>
      <c r="AO89" s="7">
        <v>2</v>
      </c>
      <c r="AP89" s="7">
        <v>4</v>
      </c>
      <c r="AQ89" s="7">
        <v>3</v>
      </c>
      <c r="AR89" s="7">
        <v>1</v>
      </c>
      <c r="AS89" s="22">
        <f t="shared" si="50"/>
        <v>11</v>
      </c>
      <c r="AT89" s="22">
        <f t="shared" si="51"/>
        <v>1.6129032258064515</v>
      </c>
      <c r="AU89" s="5">
        <f t="shared" si="52"/>
        <v>8</v>
      </c>
      <c r="AV89" s="5">
        <f t="shared" si="53"/>
        <v>1.4336917562724014</v>
      </c>
      <c r="AW89" s="5">
        <f t="shared" si="54"/>
        <v>2</v>
      </c>
      <c r="AX89" s="5">
        <f t="shared" si="55"/>
        <v>0.5376344086021505</v>
      </c>
      <c r="AY89" s="5">
        <f t="shared" si="56"/>
        <v>0</v>
      </c>
      <c r="AZ89" s="5">
        <f t="shared" si="57"/>
        <v>0.35842293906810035</v>
      </c>
      <c r="BA89" s="5">
        <f t="shared" si="58"/>
        <v>0.71684587813620071</v>
      </c>
      <c r="BB89" s="5">
        <f t="shared" si="59"/>
        <v>0.35842293906810035</v>
      </c>
      <c r="BC89" s="5">
        <f t="shared" si="60"/>
        <v>0.17921146953405018</v>
      </c>
      <c r="BD89" s="6"/>
      <c r="BE89" s="6"/>
      <c r="BF89" s="59"/>
      <c r="BG89" s="6"/>
      <c r="BH89" s="5"/>
      <c r="BI89" s="5"/>
      <c r="BJ89" s="5" t="s">
        <v>189</v>
      </c>
    </row>
    <row r="90" spans="1:62">
      <c r="A90" s="2" t="s">
        <v>179</v>
      </c>
      <c r="B90" s="3" t="s">
        <v>32</v>
      </c>
      <c r="C90" s="3" t="s">
        <v>32</v>
      </c>
      <c r="D90" s="4">
        <v>29</v>
      </c>
      <c r="E90" s="4">
        <v>74</v>
      </c>
      <c r="F90" s="4">
        <v>2014</v>
      </c>
      <c r="G90" s="38">
        <v>1000</v>
      </c>
      <c r="H90" s="28">
        <v>0</v>
      </c>
      <c r="I90" s="28">
        <v>2</v>
      </c>
      <c r="J90" s="5">
        <v>2017</v>
      </c>
      <c r="K90" s="5">
        <v>2023</v>
      </c>
      <c r="L90" s="5">
        <f>(K90-J90)</f>
        <v>6</v>
      </c>
      <c r="M90" s="5">
        <v>1</v>
      </c>
      <c r="N90" s="5" t="s">
        <v>190</v>
      </c>
      <c r="O90" s="5" t="s">
        <v>43</v>
      </c>
      <c r="P90" s="5">
        <v>0</v>
      </c>
      <c r="Q90" s="5"/>
      <c r="R90" s="5" t="s">
        <v>30</v>
      </c>
      <c r="S90" s="5" t="s">
        <v>183</v>
      </c>
      <c r="T90" s="6" t="s">
        <v>84</v>
      </c>
      <c r="U90" s="6">
        <v>0</v>
      </c>
      <c r="V90" s="25">
        <v>101</v>
      </c>
      <c r="W90" s="5">
        <v>1</v>
      </c>
      <c r="X90" s="7">
        <f t="shared" si="47"/>
        <v>2</v>
      </c>
      <c r="Y90" s="22">
        <f t="shared" si="48"/>
        <v>2</v>
      </c>
      <c r="Z90" s="15">
        <f t="shared" si="49"/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36">
        <f t="shared" si="41"/>
        <v>0</v>
      </c>
      <c r="AH90" s="36">
        <f t="shared" si="40"/>
        <v>0</v>
      </c>
      <c r="AI90" s="36">
        <f t="shared" si="40"/>
        <v>1</v>
      </c>
      <c r="AJ90" s="36">
        <f t="shared" si="39"/>
        <v>1</v>
      </c>
      <c r="AK90" s="36">
        <f t="shared" si="39"/>
        <v>0</v>
      </c>
      <c r="AL90" s="36">
        <f t="shared" si="39"/>
        <v>0</v>
      </c>
      <c r="AM90" s="7">
        <v>0</v>
      </c>
      <c r="AN90" s="7">
        <v>0</v>
      </c>
      <c r="AO90" s="7">
        <v>1</v>
      </c>
      <c r="AP90" s="7">
        <v>1</v>
      </c>
      <c r="AQ90" s="7">
        <v>0</v>
      </c>
      <c r="AR90" s="7">
        <v>0</v>
      </c>
      <c r="AS90" s="22">
        <f t="shared" si="50"/>
        <v>2</v>
      </c>
      <c r="AT90" s="22">
        <f t="shared" si="51"/>
        <v>0.33333333333333331</v>
      </c>
      <c r="AU90" s="5">
        <f t="shared" si="52"/>
        <v>2</v>
      </c>
      <c r="AV90" s="5">
        <f t="shared" si="53"/>
        <v>0.33333333333333331</v>
      </c>
      <c r="AW90" s="5">
        <f t="shared" si="54"/>
        <v>0</v>
      </c>
      <c r="AX90" s="5">
        <f t="shared" si="55"/>
        <v>0</v>
      </c>
      <c r="AY90" s="5">
        <f t="shared" si="56"/>
        <v>0</v>
      </c>
      <c r="AZ90" s="5">
        <f t="shared" si="57"/>
        <v>0.16666666666666666</v>
      </c>
      <c r="BA90" s="5">
        <f t="shared" si="58"/>
        <v>0.16666666666666666</v>
      </c>
      <c r="BB90" s="5">
        <f t="shared" si="59"/>
        <v>0</v>
      </c>
      <c r="BC90" s="5">
        <f t="shared" si="60"/>
        <v>0</v>
      </c>
      <c r="BD90" s="6">
        <v>0</v>
      </c>
      <c r="BE90" s="6"/>
      <c r="BF90" s="59">
        <v>2</v>
      </c>
      <c r="BG90" s="6" t="s">
        <v>721</v>
      </c>
      <c r="BH90" s="5"/>
      <c r="BI90" s="5"/>
      <c r="BJ90" s="5" t="s">
        <v>190</v>
      </c>
    </row>
    <row r="91" spans="1:62">
      <c r="A91" s="2" t="s">
        <v>179</v>
      </c>
      <c r="B91" s="3" t="s">
        <v>32</v>
      </c>
      <c r="C91" s="3" t="s">
        <v>32</v>
      </c>
      <c r="D91" s="4">
        <v>29</v>
      </c>
      <c r="E91" s="4">
        <v>74</v>
      </c>
      <c r="F91" s="4">
        <v>2014</v>
      </c>
      <c r="G91" s="38">
        <v>1000</v>
      </c>
      <c r="H91" s="28">
        <v>0</v>
      </c>
      <c r="I91" s="28">
        <v>2</v>
      </c>
      <c r="J91" s="5">
        <v>2015</v>
      </c>
      <c r="K91" s="5">
        <v>2022</v>
      </c>
      <c r="L91" s="5">
        <f>(K91-J91)</f>
        <v>7</v>
      </c>
      <c r="M91" s="5">
        <v>1</v>
      </c>
      <c r="N91" s="5" t="s">
        <v>191</v>
      </c>
      <c r="O91" s="5" t="s">
        <v>43</v>
      </c>
      <c r="P91" s="5">
        <v>0</v>
      </c>
      <c r="Q91" s="5"/>
      <c r="R91" s="5" t="s">
        <v>30</v>
      </c>
      <c r="S91" s="5" t="s">
        <v>192</v>
      </c>
      <c r="T91" s="6" t="s">
        <v>84</v>
      </c>
      <c r="U91" s="6">
        <v>0</v>
      </c>
      <c r="V91" s="25">
        <v>85</v>
      </c>
      <c r="W91" s="5">
        <v>12</v>
      </c>
      <c r="X91" s="7">
        <f t="shared" si="47"/>
        <v>38</v>
      </c>
      <c r="Y91" s="22">
        <f t="shared" si="48"/>
        <v>38</v>
      </c>
      <c r="Z91" s="15">
        <f t="shared" si="49"/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36">
        <f t="shared" si="41"/>
        <v>1</v>
      </c>
      <c r="AH91" s="36">
        <f t="shared" si="40"/>
        <v>3</v>
      </c>
      <c r="AI91" s="36">
        <f t="shared" si="40"/>
        <v>19</v>
      </c>
      <c r="AJ91" s="36">
        <f t="shared" si="40"/>
        <v>4</v>
      </c>
      <c r="AK91" s="36">
        <f t="shared" si="40"/>
        <v>2</v>
      </c>
      <c r="AL91" s="36">
        <f t="shared" si="40"/>
        <v>10</v>
      </c>
      <c r="AM91" s="7">
        <v>1</v>
      </c>
      <c r="AN91" s="7">
        <v>3</v>
      </c>
      <c r="AO91" s="7">
        <v>19</v>
      </c>
      <c r="AP91" s="7">
        <v>4</v>
      </c>
      <c r="AQ91" s="7">
        <v>2</v>
      </c>
      <c r="AR91" s="7">
        <v>10</v>
      </c>
      <c r="AS91" s="22">
        <f t="shared" si="50"/>
        <v>38</v>
      </c>
      <c r="AT91" s="22">
        <f t="shared" si="51"/>
        <v>5.4285714285714288</v>
      </c>
      <c r="AU91" s="5">
        <f t="shared" si="52"/>
        <v>28</v>
      </c>
      <c r="AV91" s="5">
        <f t="shared" si="53"/>
        <v>4</v>
      </c>
      <c r="AW91" s="5">
        <f t="shared" si="54"/>
        <v>0</v>
      </c>
      <c r="AX91" s="5">
        <f t="shared" si="55"/>
        <v>0.14285714285714285</v>
      </c>
      <c r="AY91" s="5">
        <f t="shared" si="56"/>
        <v>0.42857142857142855</v>
      </c>
      <c r="AZ91" s="5">
        <f t="shared" si="57"/>
        <v>2.7142857142857144</v>
      </c>
      <c r="BA91" s="5">
        <f t="shared" si="58"/>
        <v>0.5714285714285714</v>
      </c>
      <c r="BB91" s="5">
        <f t="shared" si="59"/>
        <v>0.2857142857142857</v>
      </c>
      <c r="BC91" s="5">
        <f t="shared" si="60"/>
        <v>1.4285714285714286</v>
      </c>
      <c r="BD91" s="6">
        <v>4</v>
      </c>
      <c r="BE91" s="6"/>
      <c r="BF91" s="59">
        <v>2</v>
      </c>
      <c r="BG91" s="6" t="s">
        <v>576</v>
      </c>
      <c r="BH91" s="5"/>
      <c r="BI91" s="5"/>
      <c r="BJ91" s="5" t="s">
        <v>191</v>
      </c>
    </row>
    <row r="92" spans="1:62">
      <c r="A92" s="23" t="s">
        <v>38</v>
      </c>
      <c r="B92" s="3" t="s">
        <v>85</v>
      </c>
      <c r="C92" s="3" t="s">
        <v>33</v>
      </c>
      <c r="D92" s="4">
        <v>47</v>
      </c>
      <c r="E92" s="4">
        <v>74</v>
      </c>
      <c r="F92" s="4">
        <v>2013</v>
      </c>
      <c r="G92" s="39">
        <v>39</v>
      </c>
      <c r="H92" s="28">
        <v>0</v>
      </c>
      <c r="I92" s="28">
        <v>0</v>
      </c>
      <c r="J92" s="5">
        <v>2022</v>
      </c>
      <c r="K92" s="5">
        <v>2024</v>
      </c>
      <c r="L92" s="5">
        <f t="shared" ref="L92:L101" si="63">(K92-J92)-0.42</f>
        <v>1.58</v>
      </c>
      <c r="M92" s="5">
        <v>0</v>
      </c>
      <c r="N92" s="5" t="s">
        <v>193</v>
      </c>
      <c r="O92" s="5" t="s">
        <v>43</v>
      </c>
      <c r="P92" s="5">
        <v>0</v>
      </c>
      <c r="Q92" s="5"/>
      <c r="R92" s="5" t="s">
        <v>30</v>
      </c>
      <c r="S92" s="5" t="s">
        <v>150</v>
      </c>
      <c r="T92" s="6" t="s">
        <v>101</v>
      </c>
      <c r="U92" s="6">
        <v>0</v>
      </c>
      <c r="V92" s="25">
        <v>35</v>
      </c>
      <c r="W92" s="5">
        <v>1</v>
      </c>
      <c r="X92" s="7">
        <f t="shared" si="47"/>
        <v>2</v>
      </c>
      <c r="Y92" s="22">
        <f t="shared" si="48"/>
        <v>1</v>
      </c>
      <c r="Z92" s="15">
        <f t="shared" si="49"/>
        <v>1</v>
      </c>
      <c r="AA92" s="19">
        <v>0</v>
      </c>
      <c r="AB92" s="19">
        <v>0</v>
      </c>
      <c r="AC92" s="19">
        <v>0</v>
      </c>
      <c r="AD92" s="19">
        <v>0</v>
      </c>
      <c r="AE92" s="19">
        <v>1</v>
      </c>
      <c r="AF92" s="19">
        <v>0</v>
      </c>
      <c r="AG92" s="36">
        <f t="shared" si="41"/>
        <v>0</v>
      </c>
      <c r="AH92" s="36">
        <f t="shared" si="41"/>
        <v>0</v>
      </c>
      <c r="AI92" s="36">
        <f t="shared" si="41"/>
        <v>1</v>
      </c>
      <c r="AJ92" s="36">
        <f t="shared" si="41"/>
        <v>0</v>
      </c>
      <c r="AK92" s="36">
        <f t="shared" si="41"/>
        <v>0</v>
      </c>
      <c r="AL92" s="36">
        <f t="shared" si="41"/>
        <v>0</v>
      </c>
      <c r="AM92" s="7">
        <v>0</v>
      </c>
      <c r="AN92" s="7">
        <v>0</v>
      </c>
      <c r="AO92" s="7">
        <v>1</v>
      </c>
      <c r="AP92" s="7">
        <v>0</v>
      </c>
      <c r="AQ92" s="7">
        <v>1</v>
      </c>
      <c r="AR92" s="7">
        <v>0</v>
      </c>
      <c r="AS92" s="22">
        <f t="shared" si="50"/>
        <v>2</v>
      </c>
      <c r="AT92" s="22">
        <f t="shared" si="51"/>
        <v>0.63291139240506322</v>
      </c>
      <c r="AU92" s="5">
        <f t="shared" si="52"/>
        <v>1</v>
      </c>
      <c r="AV92" s="5">
        <f t="shared" si="53"/>
        <v>0.63291139240506322</v>
      </c>
      <c r="AW92" s="5">
        <f t="shared" si="54"/>
        <v>1</v>
      </c>
      <c r="AX92" s="5">
        <f t="shared" si="55"/>
        <v>0</v>
      </c>
      <c r="AY92" s="5">
        <f t="shared" si="56"/>
        <v>0</v>
      </c>
      <c r="AZ92" s="5">
        <f t="shared" si="57"/>
        <v>0.63291139240506322</v>
      </c>
      <c r="BA92" s="5">
        <f t="shared" si="58"/>
        <v>0</v>
      </c>
      <c r="BB92" s="5">
        <f t="shared" si="59"/>
        <v>0</v>
      </c>
      <c r="BC92" s="5">
        <f t="shared" si="60"/>
        <v>0</v>
      </c>
      <c r="BD92" s="6"/>
      <c r="BE92" s="6"/>
      <c r="BF92" s="59"/>
      <c r="BG92" s="6"/>
      <c r="BH92" s="5"/>
      <c r="BI92" s="5"/>
      <c r="BJ92" s="5" t="s">
        <v>193</v>
      </c>
    </row>
    <row r="93" spans="1:62">
      <c r="A93" s="2" t="s">
        <v>38</v>
      </c>
      <c r="B93" s="3" t="s">
        <v>85</v>
      </c>
      <c r="C93" s="3" t="s">
        <v>33</v>
      </c>
      <c r="D93" s="4">
        <v>47</v>
      </c>
      <c r="E93" s="4">
        <v>74</v>
      </c>
      <c r="F93" s="4">
        <v>2013</v>
      </c>
      <c r="G93" s="39">
        <v>39</v>
      </c>
      <c r="H93" s="28">
        <v>0</v>
      </c>
      <c r="I93" s="28">
        <v>0</v>
      </c>
      <c r="J93" s="5">
        <v>2021</v>
      </c>
      <c r="K93" s="5">
        <v>2024</v>
      </c>
      <c r="L93" s="5">
        <f t="shared" si="63"/>
        <v>2.58</v>
      </c>
      <c r="M93" s="5">
        <v>0</v>
      </c>
      <c r="N93" s="5" t="s">
        <v>194</v>
      </c>
      <c r="O93" s="5" t="s">
        <v>28</v>
      </c>
      <c r="P93" s="5">
        <v>0</v>
      </c>
      <c r="Q93" s="5"/>
      <c r="R93" s="5" t="s">
        <v>30</v>
      </c>
      <c r="S93" s="5" t="s">
        <v>577</v>
      </c>
      <c r="T93" s="6" t="s">
        <v>84</v>
      </c>
      <c r="U93" s="6">
        <v>0</v>
      </c>
      <c r="V93" s="25">
        <v>42</v>
      </c>
      <c r="W93" s="5">
        <v>2</v>
      </c>
      <c r="X93" s="7">
        <f t="shared" si="47"/>
        <v>6</v>
      </c>
      <c r="Y93" s="22">
        <f t="shared" si="48"/>
        <v>3</v>
      </c>
      <c r="Z93" s="15">
        <f t="shared" si="49"/>
        <v>3</v>
      </c>
      <c r="AA93" s="19">
        <v>1</v>
      </c>
      <c r="AB93" s="19">
        <v>2</v>
      </c>
      <c r="AC93" s="19">
        <v>1</v>
      </c>
      <c r="AD93" s="19">
        <v>0</v>
      </c>
      <c r="AE93" s="19">
        <v>0</v>
      </c>
      <c r="AF93" s="19">
        <v>0</v>
      </c>
      <c r="AG93" s="36">
        <f t="shared" si="41"/>
        <v>1</v>
      </c>
      <c r="AH93" s="36">
        <f t="shared" si="41"/>
        <v>0</v>
      </c>
      <c r="AI93" s="36">
        <f t="shared" si="41"/>
        <v>2</v>
      </c>
      <c r="AJ93" s="36">
        <f t="shared" si="41"/>
        <v>0</v>
      </c>
      <c r="AK93" s="36">
        <f t="shared" si="41"/>
        <v>0</v>
      </c>
      <c r="AL93" s="36">
        <f t="shared" si="41"/>
        <v>1</v>
      </c>
      <c r="AM93" s="7">
        <v>2</v>
      </c>
      <c r="AN93" s="7">
        <v>2</v>
      </c>
      <c r="AO93" s="7">
        <v>3</v>
      </c>
      <c r="AP93" s="7">
        <v>0</v>
      </c>
      <c r="AQ93" s="7">
        <v>0</v>
      </c>
      <c r="AR93" s="7">
        <v>1</v>
      </c>
      <c r="AS93" s="22">
        <f t="shared" si="50"/>
        <v>6</v>
      </c>
      <c r="AT93" s="22">
        <f t="shared" si="51"/>
        <v>1.1627906976744187</v>
      </c>
      <c r="AU93" s="5">
        <f t="shared" si="52"/>
        <v>2</v>
      </c>
      <c r="AV93" s="5">
        <f t="shared" si="53"/>
        <v>0.77519379844961234</v>
      </c>
      <c r="AW93" s="5">
        <f t="shared" si="54"/>
        <v>3</v>
      </c>
      <c r="AX93" s="5">
        <f t="shared" si="55"/>
        <v>0.38759689922480617</v>
      </c>
      <c r="AY93" s="5">
        <f t="shared" si="56"/>
        <v>0</v>
      </c>
      <c r="AZ93" s="5">
        <f t="shared" si="57"/>
        <v>0.77519379844961234</v>
      </c>
      <c r="BA93" s="5">
        <f t="shared" si="58"/>
        <v>0</v>
      </c>
      <c r="BB93" s="5">
        <f t="shared" si="59"/>
        <v>0</v>
      </c>
      <c r="BC93" s="5">
        <f t="shared" si="60"/>
        <v>0.38759689922480617</v>
      </c>
      <c r="BD93" s="6"/>
      <c r="BE93" s="6"/>
      <c r="BF93" s="59"/>
      <c r="BG93" s="6"/>
      <c r="BH93" s="5"/>
      <c r="BI93" s="5"/>
      <c r="BJ93" s="5" t="s">
        <v>194</v>
      </c>
    </row>
    <row r="94" spans="1:62">
      <c r="A94" s="2" t="s">
        <v>38</v>
      </c>
      <c r="B94" s="3" t="s">
        <v>85</v>
      </c>
      <c r="C94" s="3" t="s">
        <v>33</v>
      </c>
      <c r="D94" s="4">
        <v>47</v>
      </c>
      <c r="E94" s="4">
        <v>74</v>
      </c>
      <c r="F94" s="4">
        <v>2013</v>
      </c>
      <c r="G94" s="39">
        <v>39</v>
      </c>
      <c r="H94" s="28">
        <v>0</v>
      </c>
      <c r="I94" s="28">
        <v>0</v>
      </c>
      <c r="J94" s="5">
        <v>2020</v>
      </c>
      <c r="K94" s="5">
        <v>2024</v>
      </c>
      <c r="L94" s="5">
        <f t="shared" si="63"/>
        <v>3.58</v>
      </c>
      <c r="M94" s="5">
        <v>0</v>
      </c>
      <c r="N94" s="5" t="s">
        <v>195</v>
      </c>
      <c r="O94" s="5" t="s">
        <v>28</v>
      </c>
      <c r="P94" s="5">
        <v>0</v>
      </c>
      <c r="Q94" s="5"/>
      <c r="R94" s="5" t="s">
        <v>30</v>
      </c>
      <c r="S94" s="5" t="s">
        <v>577</v>
      </c>
      <c r="T94" s="6" t="s">
        <v>84</v>
      </c>
      <c r="U94" s="6">
        <v>0</v>
      </c>
      <c r="V94" s="25">
        <v>42</v>
      </c>
      <c r="W94" s="5">
        <v>1</v>
      </c>
      <c r="X94" s="7">
        <f t="shared" si="47"/>
        <v>3</v>
      </c>
      <c r="Y94" s="22">
        <f t="shared" si="48"/>
        <v>3</v>
      </c>
      <c r="Z94" s="15">
        <f t="shared" si="49"/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36">
        <f t="shared" si="41"/>
        <v>2</v>
      </c>
      <c r="AH94" s="36">
        <f t="shared" si="41"/>
        <v>0</v>
      </c>
      <c r="AI94" s="36">
        <f t="shared" si="41"/>
        <v>1</v>
      </c>
      <c r="AJ94" s="36">
        <f t="shared" si="41"/>
        <v>0</v>
      </c>
      <c r="AK94" s="36">
        <f t="shared" si="41"/>
        <v>0</v>
      </c>
      <c r="AL94" s="36">
        <f t="shared" si="41"/>
        <v>2</v>
      </c>
      <c r="AM94" s="7">
        <v>2</v>
      </c>
      <c r="AN94" s="7">
        <v>0</v>
      </c>
      <c r="AO94" s="7">
        <v>1</v>
      </c>
      <c r="AP94" s="7">
        <v>0</v>
      </c>
      <c r="AQ94" s="7">
        <v>0</v>
      </c>
      <c r="AR94" s="7">
        <v>2</v>
      </c>
      <c r="AS94" s="22">
        <f t="shared" si="50"/>
        <v>3</v>
      </c>
      <c r="AT94" s="22">
        <f t="shared" si="51"/>
        <v>0.83798882681564246</v>
      </c>
      <c r="AU94" s="5">
        <f t="shared" si="52"/>
        <v>1</v>
      </c>
      <c r="AV94" s="5">
        <f t="shared" si="53"/>
        <v>0.27932960893854747</v>
      </c>
      <c r="AW94" s="5">
        <f t="shared" si="54"/>
        <v>0</v>
      </c>
      <c r="AX94" s="5">
        <f t="shared" si="55"/>
        <v>0.55865921787709494</v>
      </c>
      <c r="AY94" s="5">
        <f t="shared" si="56"/>
        <v>0</v>
      </c>
      <c r="AZ94" s="5">
        <f t="shared" si="57"/>
        <v>0.27932960893854747</v>
      </c>
      <c r="BA94" s="5">
        <f t="shared" si="58"/>
        <v>0</v>
      </c>
      <c r="BB94" s="5">
        <f t="shared" si="59"/>
        <v>0</v>
      </c>
      <c r="BC94" s="5">
        <f t="shared" si="60"/>
        <v>0.55865921787709494</v>
      </c>
      <c r="BD94" s="6"/>
      <c r="BE94" s="6"/>
      <c r="BF94" s="59"/>
      <c r="BG94" s="6"/>
      <c r="BH94" s="5"/>
      <c r="BI94" s="5"/>
      <c r="BJ94" s="5" t="s">
        <v>195</v>
      </c>
    </row>
    <row r="95" spans="1:62">
      <c r="A95" s="2" t="s">
        <v>38</v>
      </c>
      <c r="B95" s="3" t="s">
        <v>85</v>
      </c>
      <c r="C95" s="3" t="s">
        <v>33</v>
      </c>
      <c r="D95" s="4">
        <v>47</v>
      </c>
      <c r="E95" s="4">
        <v>74</v>
      </c>
      <c r="F95" s="4">
        <v>2013</v>
      </c>
      <c r="G95" s="39">
        <v>39</v>
      </c>
      <c r="H95" s="28">
        <v>0</v>
      </c>
      <c r="I95" s="28">
        <v>0</v>
      </c>
      <c r="J95" s="5">
        <v>2019</v>
      </c>
      <c r="K95" s="5">
        <v>2024</v>
      </c>
      <c r="L95" s="5">
        <f t="shared" si="63"/>
        <v>4.58</v>
      </c>
      <c r="M95" s="5">
        <v>0</v>
      </c>
      <c r="N95" s="5" t="s">
        <v>196</v>
      </c>
      <c r="O95" s="5" t="s">
        <v>28</v>
      </c>
      <c r="P95" s="5">
        <v>0</v>
      </c>
      <c r="Q95" s="5"/>
      <c r="R95" s="5" t="s">
        <v>30</v>
      </c>
      <c r="S95" s="5" t="s">
        <v>197</v>
      </c>
      <c r="T95" s="6" t="s">
        <v>84</v>
      </c>
      <c r="U95" s="6">
        <v>0</v>
      </c>
      <c r="V95" s="25">
        <v>50</v>
      </c>
      <c r="W95" s="5">
        <v>1</v>
      </c>
      <c r="X95" s="7">
        <f t="shared" si="47"/>
        <v>3</v>
      </c>
      <c r="Y95" s="22">
        <f t="shared" si="48"/>
        <v>1</v>
      </c>
      <c r="Z95" s="15">
        <f t="shared" si="49"/>
        <v>2</v>
      </c>
      <c r="AA95" s="19">
        <v>1</v>
      </c>
      <c r="AB95" s="19">
        <v>0</v>
      </c>
      <c r="AC95" s="19">
        <v>1</v>
      </c>
      <c r="AD95" s="19">
        <v>0</v>
      </c>
      <c r="AE95" s="19">
        <v>0</v>
      </c>
      <c r="AF95" s="19">
        <v>1</v>
      </c>
      <c r="AG95" s="36">
        <f t="shared" si="41"/>
        <v>0</v>
      </c>
      <c r="AH95" s="36">
        <f t="shared" si="41"/>
        <v>0</v>
      </c>
      <c r="AI95" s="36">
        <f t="shared" si="41"/>
        <v>0</v>
      </c>
      <c r="AJ95" s="36">
        <f t="shared" si="41"/>
        <v>0</v>
      </c>
      <c r="AK95" s="36">
        <f t="shared" si="41"/>
        <v>1</v>
      </c>
      <c r="AL95" s="36">
        <f t="shared" si="41"/>
        <v>0</v>
      </c>
      <c r="AM95" s="7">
        <v>1</v>
      </c>
      <c r="AN95" s="7">
        <v>0</v>
      </c>
      <c r="AO95" s="7">
        <v>1</v>
      </c>
      <c r="AP95" s="7">
        <v>0</v>
      </c>
      <c r="AQ95" s="7">
        <v>1</v>
      </c>
      <c r="AR95" s="7">
        <v>1</v>
      </c>
      <c r="AS95" s="22">
        <f t="shared" si="50"/>
        <v>3</v>
      </c>
      <c r="AT95" s="22">
        <f t="shared" si="51"/>
        <v>0.2183406113537118</v>
      </c>
      <c r="AU95" s="5">
        <f t="shared" si="52"/>
        <v>1</v>
      </c>
      <c r="AV95" s="5">
        <f t="shared" si="53"/>
        <v>0.2183406113537118</v>
      </c>
      <c r="AW95" s="5">
        <f t="shared" si="54"/>
        <v>1</v>
      </c>
      <c r="AX95" s="5">
        <f t="shared" si="55"/>
        <v>0</v>
      </c>
      <c r="AY95" s="5">
        <f t="shared" si="56"/>
        <v>0</v>
      </c>
      <c r="AZ95" s="5">
        <f t="shared" si="57"/>
        <v>0</v>
      </c>
      <c r="BA95" s="5">
        <f t="shared" si="58"/>
        <v>0</v>
      </c>
      <c r="BB95" s="5">
        <f t="shared" si="59"/>
        <v>0.2183406113537118</v>
      </c>
      <c r="BC95" s="5">
        <f t="shared" si="60"/>
        <v>0</v>
      </c>
      <c r="BD95" s="6"/>
      <c r="BE95" s="6"/>
      <c r="BF95" s="59"/>
      <c r="BG95" s="6"/>
      <c r="BH95" s="5"/>
      <c r="BI95" s="5"/>
      <c r="BJ95" s="5" t="s">
        <v>196</v>
      </c>
    </row>
    <row r="96" spans="1:62">
      <c r="A96" s="2" t="s">
        <v>38</v>
      </c>
      <c r="B96" s="3" t="s">
        <v>85</v>
      </c>
      <c r="C96" s="3" t="s">
        <v>33</v>
      </c>
      <c r="D96" s="4">
        <v>47</v>
      </c>
      <c r="E96" s="4">
        <v>74</v>
      </c>
      <c r="F96" s="4">
        <v>2013</v>
      </c>
      <c r="G96" s="39">
        <v>39</v>
      </c>
      <c r="H96" s="28">
        <v>0</v>
      </c>
      <c r="I96" s="28">
        <v>0</v>
      </c>
      <c r="J96" s="5">
        <v>2018</v>
      </c>
      <c r="K96" s="5">
        <v>2024</v>
      </c>
      <c r="L96" s="5">
        <f t="shared" si="63"/>
        <v>5.58</v>
      </c>
      <c r="M96" s="5">
        <v>0</v>
      </c>
      <c r="N96" s="5" t="s">
        <v>198</v>
      </c>
      <c r="O96" s="5" t="s">
        <v>43</v>
      </c>
      <c r="P96" s="5">
        <v>0</v>
      </c>
      <c r="Q96" s="5"/>
      <c r="R96" s="5" t="s">
        <v>30</v>
      </c>
      <c r="S96" s="5" t="s">
        <v>199</v>
      </c>
      <c r="T96" s="6" t="s">
        <v>47</v>
      </c>
      <c r="U96" s="6">
        <v>0</v>
      </c>
      <c r="V96" s="25">
        <v>10</v>
      </c>
      <c r="W96" s="5">
        <v>4</v>
      </c>
      <c r="X96" s="7">
        <f t="shared" si="47"/>
        <v>7</v>
      </c>
      <c r="Y96" s="22">
        <f t="shared" si="48"/>
        <v>3</v>
      </c>
      <c r="Z96" s="15">
        <f t="shared" si="49"/>
        <v>4</v>
      </c>
      <c r="AA96" s="19">
        <v>1</v>
      </c>
      <c r="AB96" s="19">
        <v>0</v>
      </c>
      <c r="AC96" s="19">
        <v>3</v>
      </c>
      <c r="AD96" s="19">
        <v>0</v>
      </c>
      <c r="AE96" s="19">
        <v>1</v>
      </c>
      <c r="AF96" s="19">
        <v>0</v>
      </c>
      <c r="AG96" s="36">
        <f t="shared" si="41"/>
        <v>1</v>
      </c>
      <c r="AH96" s="36">
        <f t="shared" si="41"/>
        <v>0</v>
      </c>
      <c r="AI96" s="36">
        <f t="shared" si="41"/>
        <v>1</v>
      </c>
      <c r="AJ96" s="36">
        <f t="shared" si="41"/>
        <v>1</v>
      </c>
      <c r="AK96" s="36">
        <f t="shared" si="41"/>
        <v>1</v>
      </c>
      <c r="AL96" s="36">
        <f t="shared" si="41"/>
        <v>0</v>
      </c>
      <c r="AM96" s="7">
        <v>2</v>
      </c>
      <c r="AN96" s="7">
        <v>0</v>
      </c>
      <c r="AO96" s="7">
        <v>4</v>
      </c>
      <c r="AP96" s="7">
        <v>1</v>
      </c>
      <c r="AQ96" s="7">
        <v>2</v>
      </c>
      <c r="AR96" s="7">
        <v>0</v>
      </c>
      <c r="AS96" s="22">
        <f t="shared" si="50"/>
        <v>7</v>
      </c>
      <c r="AT96" s="22">
        <f t="shared" si="51"/>
        <v>0.5376344086021505</v>
      </c>
      <c r="AU96" s="5">
        <f t="shared" si="52"/>
        <v>3</v>
      </c>
      <c r="AV96" s="5">
        <f t="shared" si="53"/>
        <v>0.5376344086021505</v>
      </c>
      <c r="AW96" s="5">
        <f t="shared" si="54"/>
        <v>4</v>
      </c>
      <c r="AX96" s="5">
        <f t="shared" si="55"/>
        <v>0.17921146953405018</v>
      </c>
      <c r="AY96" s="5">
        <f t="shared" si="56"/>
        <v>0</v>
      </c>
      <c r="AZ96" s="5">
        <f t="shared" si="57"/>
        <v>0.17921146953405018</v>
      </c>
      <c r="BA96" s="5">
        <f t="shared" si="58"/>
        <v>0.17921146953405018</v>
      </c>
      <c r="BB96" s="5">
        <f t="shared" si="59"/>
        <v>0.17921146953405018</v>
      </c>
      <c r="BC96" s="5">
        <f t="shared" si="60"/>
        <v>0</v>
      </c>
      <c r="BD96" s="6"/>
      <c r="BE96" s="6"/>
      <c r="BF96" s="59"/>
      <c r="BG96" s="6"/>
      <c r="BH96" s="5"/>
      <c r="BI96" s="5"/>
      <c r="BJ96" s="5" t="s">
        <v>198</v>
      </c>
    </row>
    <row r="97" spans="1:62">
      <c r="A97" s="2" t="s">
        <v>200</v>
      </c>
      <c r="B97" s="3" t="s">
        <v>85</v>
      </c>
      <c r="C97" s="3" t="s">
        <v>33</v>
      </c>
      <c r="D97" s="4">
        <v>9</v>
      </c>
      <c r="E97" s="4">
        <v>74</v>
      </c>
      <c r="F97" s="4">
        <v>2014</v>
      </c>
      <c r="G97" s="39">
        <v>54</v>
      </c>
      <c r="H97" s="28">
        <v>0</v>
      </c>
      <c r="I97" s="28">
        <v>2</v>
      </c>
      <c r="J97" s="5">
        <v>2022</v>
      </c>
      <c r="K97" s="5">
        <v>2024</v>
      </c>
      <c r="L97" s="5">
        <f t="shared" si="63"/>
        <v>1.58</v>
      </c>
      <c r="M97" s="5">
        <v>0</v>
      </c>
      <c r="N97" s="5" t="s">
        <v>578</v>
      </c>
      <c r="O97" s="5" t="s">
        <v>43</v>
      </c>
      <c r="P97" s="5">
        <v>0</v>
      </c>
      <c r="Q97" s="5"/>
      <c r="R97" s="5" t="s">
        <v>39</v>
      </c>
      <c r="S97" s="5" t="s">
        <v>201</v>
      </c>
      <c r="T97" s="6" t="s">
        <v>47</v>
      </c>
      <c r="U97" s="6">
        <v>0</v>
      </c>
      <c r="V97" s="25">
        <v>19</v>
      </c>
      <c r="W97" s="5">
        <v>2</v>
      </c>
      <c r="X97" s="7">
        <f t="shared" si="47"/>
        <v>7</v>
      </c>
      <c r="Y97" s="22">
        <f t="shared" si="48"/>
        <v>0</v>
      </c>
      <c r="Z97" s="15">
        <f t="shared" si="49"/>
        <v>7</v>
      </c>
      <c r="AA97" s="19">
        <v>4</v>
      </c>
      <c r="AB97" s="19">
        <v>0</v>
      </c>
      <c r="AC97" s="19">
        <v>1</v>
      </c>
      <c r="AD97" s="19">
        <v>6</v>
      </c>
      <c r="AE97" s="19">
        <v>0</v>
      </c>
      <c r="AF97" s="19">
        <v>0</v>
      </c>
      <c r="AG97" s="36">
        <f t="shared" si="41"/>
        <v>0</v>
      </c>
      <c r="AH97" s="36">
        <f t="shared" si="41"/>
        <v>0</v>
      </c>
      <c r="AI97" s="36">
        <f t="shared" si="41"/>
        <v>0</v>
      </c>
      <c r="AJ97" s="36">
        <f t="shared" si="41"/>
        <v>0</v>
      </c>
      <c r="AK97" s="36">
        <f t="shared" si="41"/>
        <v>0</v>
      </c>
      <c r="AL97" s="36">
        <f t="shared" si="41"/>
        <v>0</v>
      </c>
      <c r="AM97" s="7">
        <v>4</v>
      </c>
      <c r="AN97" s="7">
        <v>0</v>
      </c>
      <c r="AO97" s="7">
        <v>1</v>
      </c>
      <c r="AP97" s="7">
        <v>6</v>
      </c>
      <c r="AQ97" s="7">
        <v>0</v>
      </c>
      <c r="AR97" s="7">
        <v>0</v>
      </c>
      <c r="AS97" s="22">
        <f t="shared" si="50"/>
        <v>7</v>
      </c>
      <c r="AT97" s="22">
        <f t="shared" si="51"/>
        <v>0</v>
      </c>
      <c r="AU97" s="5">
        <f t="shared" si="52"/>
        <v>0</v>
      </c>
      <c r="AV97" s="5">
        <f t="shared" si="53"/>
        <v>0</v>
      </c>
      <c r="AW97" s="5">
        <f t="shared" si="54"/>
        <v>7</v>
      </c>
      <c r="AX97" s="5">
        <f t="shared" si="55"/>
        <v>0</v>
      </c>
      <c r="AY97" s="5">
        <f t="shared" si="56"/>
        <v>0</v>
      </c>
      <c r="AZ97" s="5">
        <f t="shared" si="57"/>
        <v>0</v>
      </c>
      <c r="BA97" s="5">
        <f t="shared" si="58"/>
        <v>0</v>
      </c>
      <c r="BB97" s="5">
        <f t="shared" si="59"/>
        <v>0</v>
      </c>
      <c r="BC97" s="5">
        <f t="shared" si="60"/>
        <v>0</v>
      </c>
      <c r="BD97" s="6"/>
      <c r="BE97" s="6"/>
      <c r="BF97" s="59"/>
      <c r="BG97" s="6"/>
      <c r="BH97" s="5"/>
      <c r="BI97" s="5"/>
      <c r="BJ97" s="5" t="s">
        <v>578</v>
      </c>
    </row>
    <row r="98" spans="1:62">
      <c r="A98" s="2" t="s">
        <v>200</v>
      </c>
      <c r="B98" s="3" t="s">
        <v>85</v>
      </c>
      <c r="C98" s="3" t="s">
        <v>33</v>
      </c>
      <c r="D98" s="4">
        <v>9</v>
      </c>
      <c r="E98" s="4">
        <v>74</v>
      </c>
      <c r="F98" s="4">
        <v>2014</v>
      </c>
      <c r="G98" s="39">
        <v>54</v>
      </c>
      <c r="H98" s="28">
        <v>0</v>
      </c>
      <c r="I98" s="28">
        <v>2</v>
      </c>
      <c r="J98" s="5">
        <v>2021</v>
      </c>
      <c r="K98" s="5">
        <v>2024</v>
      </c>
      <c r="L98" s="5">
        <f t="shared" si="63"/>
        <v>2.58</v>
      </c>
      <c r="M98" s="5">
        <v>0</v>
      </c>
      <c r="N98" s="5" t="s">
        <v>202</v>
      </c>
      <c r="O98" s="5" t="s">
        <v>43</v>
      </c>
      <c r="P98" s="5">
        <v>0</v>
      </c>
      <c r="Q98" s="5"/>
      <c r="R98" s="5" t="s">
        <v>39</v>
      </c>
      <c r="S98" s="5" t="s">
        <v>203</v>
      </c>
      <c r="T98" s="6" t="s">
        <v>84</v>
      </c>
      <c r="U98" s="6">
        <v>0</v>
      </c>
      <c r="V98" s="25">
        <v>44</v>
      </c>
      <c r="W98" s="5">
        <v>1</v>
      </c>
      <c r="X98" s="7">
        <f t="shared" si="47"/>
        <v>5</v>
      </c>
      <c r="Y98" s="22">
        <f t="shared" si="48"/>
        <v>2</v>
      </c>
      <c r="Z98" s="15">
        <f t="shared" si="49"/>
        <v>3</v>
      </c>
      <c r="AA98" s="19">
        <v>1</v>
      </c>
      <c r="AB98" s="19">
        <v>1</v>
      </c>
      <c r="AC98" s="19">
        <v>0</v>
      </c>
      <c r="AD98" s="19">
        <v>0</v>
      </c>
      <c r="AE98" s="19">
        <v>1</v>
      </c>
      <c r="AF98" s="19">
        <v>1</v>
      </c>
      <c r="AG98" s="36">
        <f t="shared" si="41"/>
        <v>0</v>
      </c>
      <c r="AH98" s="36">
        <f t="shared" si="41"/>
        <v>2</v>
      </c>
      <c r="AI98" s="36">
        <f t="shared" si="41"/>
        <v>0</v>
      </c>
      <c r="AJ98" s="36">
        <f t="shared" si="41"/>
        <v>0</v>
      </c>
      <c r="AK98" s="36">
        <f t="shared" si="41"/>
        <v>0</v>
      </c>
      <c r="AL98" s="36">
        <f t="shared" si="41"/>
        <v>0</v>
      </c>
      <c r="AM98" s="7">
        <v>1</v>
      </c>
      <c r="AN98" s="7">
        <v>3</v>
      </c>
      <c r="AO98" s="7">
        <v>0</v>
      </c>
      <c r="AP98" s="7">
        <v>0</v>
      </c>
      <c r="AQ98" s="7">
        <v>1</v>
      </c>
      <c r="AR98" s="7">
        <v>1</v>
      </c>
      <c r="AS98" s="22">
        <f t="shared" si="50"/>
        <v>5</v>
      </c>
      <c r="AT98" s="22">
        <f t="shared" si="51"/>
        <v>0.77519379844961234</v>
      </c>
      <c r="AU98" s="5">
        <f t="shared" si="52"/>
        <v>2</v>
      </c>
      <c r="AV98" s="5">
        <f t="shared" si="53"/>
        <v>0.77519379844961234</v>
      </c>
      <c r="AW98" s="5">
        <f t="shared" si="54"/>
        <v>2</v>
      </c>
      <c r="AX98" s="5">
        <f t="shared" si="55"/>
        <v>0</v>
      </c>
      <c r="AY98" s="5">
        <f t="shared" si="56"/>
        <v>0.77519379844961234</v>
      </c>
      <c r="AZ98" s="5">
        <f t="shared" si="57"/>
        <v>0</v>
      </c>
      <c r="BA98" s="5">
        <f t="shared" si="58"/>
        <v>0</v>
      </c>
      <c r="BB98" s="5">
        <f t="shared" si="59"/>
        <v>0</v>
      </c>
      <c r="BC98" s="5">
        <f t="shared" si="60"/>
        <v>0</v>
      </c>
      <c r="BD98" s="6"/>
      <c r="BE98" s="6"/>
      <c r="BF98" s="59"/>
      <c r="BG98" s="6"/>
      <c r="BH98" s="5"/>
      <c r="BI98" s="5"/>
      <c r="BJ98" s="5" t="s">
        <v>202</v>
      </c>
    </row>
    <row r="99" spans="1:62">
      <c r="A99" s="2" t="s">
        <v>200</v>
      </c>
      <c r="B99" s="3" t="s">
        <v>85</v>
      </c>
      <c r="C99" s="3" t="s">
        <v>33</v>
      </c>
      <c r="D99" s="4">
        <v>9</v>
      </c>
      <c r="E99" s="4">
        <v>74</v>
      </c>
      <c r="F99" s="4">
        <v>2014</v>
      </c>
      <c r="G99" s="39">
        <v>54</v>
      </c>
      <c r="H99" s="28">
        <v>0</v>
      </c>
      <c r="I99" s="28">
        <v>2</v>
      </c>
      <c r="J99" s="5">
        <v>2020</v>
      </c>
      <c r="K99" s="5">
        <v>2024</v>
      </c>
      <c r="L99" s="5">
        <f t="shared" si="63"/>
        <v>3.58</v>
      </c>
      <c r="M99" s="5">
        <v>0</v>
      </c>
      <c r="N99" s="5" t="s">
        <v>204</v>
      </c>
      <c r="O99" s="5" t="s">
        <v>28</v>
      </c>
      <c r="P99" s="5">
        <v>0</v>
      </c>
      <c r="Q99" s="5"/>
      <c r="R99" s="5" t="s">
        <v>30</v>
      </c>
      <c r="S99" s="5" t="s">
        <v>579</v>
      </c>
      <c r="T99" s="6" t="s">
        <v>84</v>
      </c>
      <c r="U99" s="6">
        <v>0</v>
      </c>
      <c r="V99" s="25">
        <v>56</v>
      </c>
      <c r="W99" s="5">
        <v>1</v>
      </c>
      <c r="X99" s="7">
        <f t="shared" si="47"/>
        <v>3</v>
      </c>
      <c r="Y99" s="22">
        <f t="shared" si="48"/>
        <v>1</v>
      </c>
      <c r="Z99" s="15">
        <f t="shared" si="49"/>
        <v>2</v>
      </c>
      <c r="AA99" s="19">
        <v>0</v>
      </c>
      <c r="AB99" s="19">
        <v>0</v>
      </c>
      <c r="AC99" s="19">
        <v>0</v>
      </c>
      <c r="AD99" s="19">
        <v>0</v>
      </c>
      <c r="AE99" s="19">
        <v>2</v>
      </c>
      <c r="AF99" s="19">
        <v>0</v>
      </c>
      <c r="AG99" s="36">
        <f t="shared" si="41"/>
        <v>0</v>
      </c>
      <c r="AH99" s="36">
        <f t="shared" si="41"/>
        <v>0</v>
      </c>
      <c r="AI99" s="36">
        <f t="shared" si="41"/>
        <v>1</v>
      </c>
      <c r="AJ99" s="36">
        <f t="shared" si="41"/>
        <v>0</v>
      </c>
      <c r="AK99" s="36">
        <f t="shared" si="41"/>
        <v>0</v>
      </c>
      <c r="AL99" s="36">
        <f t="shared" si="41"/>
        <v>0</v>
      </c>
      <c r="AM99" s="7">
        <v>0</v>
      </c>
      <c r="AN99" s="7">
        <v>0</v>
      </c>
      <c r="AO99" s="7">
        <v>1</v>
      </c>
      <c r="AP99" s="7">
        <v>0</v>
      </c>
      <c r="AQ99" s="7">
        <v>2</v>
      </c>
      <c r="AR99" s="7">
        <v>0</v>
      </c>
      <c r="AS99" s="22">
        <f t="shared" si="50"/>
        <v>3</v>
      </c>
      <c r="AT99" s="22">
        <f t="shared" si="51"/>
        <v>0.27932960893854747</v>
      </c>
      <c r="AU99" s="5">
        <f t="shared" si="52"/>
        <v>1</v>
      </c>
      <c r="AV99" s="5">
        <f t="shared" si="53"/>
        <v>0.27932960893854747</v>
      </c>
      <c r="AW99" s="5">
        <f t="shared" si="54"/>
        <v>2</v>
      </c>
      <c r="AX99" s="5">
        <f t="shared" si="55"/>
        <v>0</v>
      </c>
      <c r="AY99" s="5">
        <f t="shared" si="56"/>
        <v>0</v>
      </c>
      <c r="AZ99" s="5">
        <f t="shared" si="57"/>
        <v>0.27932960893854747</v>
      </c>
      <c r="BA99" s="5">
        <f t="shared" si="58"/>
        <v>0</v>
      </c>
      <c r="BB99" s="5">
        <f t="shared" si="59"/>
        <v>0</v>
      </c>
      <c r="BC99" s="5">
        <f t="shared" si="60"/>
        <v>0</v>
      </c>
      <c r="BD99" s="6"/>
      <c r="BE99" s="6"/>
      <c r="BF99" s="59"/>
      <c r="BG99" s="6"/>
      <c r="BH99" s="5"/>
      <c r="BI99" s="5"/>
      <c r="BJ99" s="5" t="s">
        <v>204</v>
      </c>
    </row>
    <row r="100" spans="1:62">
      <c r="A100" s="2" t="s">
        <v>200</v>
      </c>
      <c r="B100" s="3" t="s">
        <v>85</v>
      </c>
      <c r="C100" s="3" t="s">
        <v>33</v>
      </c>
      <c r="D100" s="4">
        <v>9</v>
      </c>
      <c r="E100" s="4">
        <v>74</v>
      </c>
      <c r="F100" s="4">
        <v>2014</v>
      </c>
      <c r="G100" s="39">
        <v>54</v>
      </c>
      <c r="H100" s="28">
        <v>0</v>
      </c>
      <c r="I100" s="28">
        <v>2</v>
      </c>
      <c r="J100" s="5">
        <v>2016</v>
      </c>
      <c r="K100" s="5">
        <v>2024</v>
      </c>
      <c r="L100" s="5">
        <f t="shared" si="63"/>
        <v>7.58</v>
      </c>
      <c r="M100" s="5">
        <v>0</v>
      </c>
      <c r="N100" s="5" t="s">
        <v>205</v>
      </c>
      <c r="O100" s="5" t="s">
        <v>43</v>
      </c>
      <c r="P100" s="5">
        <v>0</v>
      </c>
      <c r="Q100" s="5"/>
      <c r="R100" s="5" t="s">
        <v>30</v>
      </c>
      <c r="S100" s="5" t="s">
        <v>206</v>
      </c>
      <c r="T100" s="6" t="s">
        <v>47</v>
      </c>
      <c r="U100" s="6">
        <v>0</v>
      </c>
      <c r="V100" s="25">
        <v>19</v>
      </c>
      <c r="W100" s="5">
        <v>9</v>
      </c>
      <c r="X100" s="7">
        <f t="shared" si="47"/>
        <v>17</v>
      </c>
      <c r="Y100" s="22">
        <f t="shared" si="48"/>
        <v>17</v>
      </c>
      <c r="Z100" s="15">
        <f t="shared" si="49"/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36">
        <f t="shared" si="41"/>
        <v>4</v>
      </c>
      <c r="AH100" s="36">
        <f t="shared" si="41"/>
        <v>9</v>
      </c>
      <c r="AI100" s="36">
        <f t="shared" si="41"/>
        <v>1</v>
      </c>
      <c r="AJ100" s="36">
        <f t="shared" si="41"/>
        <v>2</v>
      </c>
      <c r="AK100" s="36">
        <f t="shared" si="41"/>
        <v>1</v>
      </c>
      <c r="AL100" s="36">
        <f t="shared" si="41"/>
        <v>4</v>
      </c>
      <c r="AM100" s="7">
        <v>4</v>
      </c>
      <c r="AN100" s="7">
        <v>9</v>
      </c>
      <c r="AO100" s="7">
        <v>1</v>
      </c>
      <c r="AP100" s="7">
        <v>2</v>
      </c>
      <c r="AQ100" s="7">
        <v>1</v>
      </c>
      <c r="AR100" s="7">
        <v>4</v>
      </c>
      <c r="AS100" s="22">
        <f t="shared" si="50"/>
        <v>17</v>
      </c>
      <c r="AT100" s="22">
        <f t="shared" si="51"/>
        <v>2.2427440633245381</v>
      </c>
      <c r="AU100" s="5">
        <f t="shared" si="52"/>
        <v>13</v>
      </c>
      <c r="AV100" s="5">
        <f t="shared" si="53"/>
        <v>1.7150395778364116</v>
      </c>
      <c r="AW100" s="5">
        <f t="shared" si="54"/>
        <v>0</v>
      </c>
      <c r="AX100" s="5">
        <f t="shared" si="55"/>
        <v>0.52770448548812665</v>
      </c>
      <c r="AY100" s="5">
        <f t="shared" si="56"/>
        <v>1.187335092348285</v>
      </c>
      <c r="AZ100" s="5">
        <f t="shared" si="57"/>
        <v>0.13192612137203166</v>
      </c>
      <c r="BA100" s="5">
        <f t="shared" si="58"/>
        <v>0.26385224274406333</v>
      </c>
      <c r="BB100" s="5">
        <f t="shared" si="59"/>
        <v>0.13192612137203166</v>
      </c>
      <c r="BC100" s="5">
        <f t="shared" si="60"/>
        <v>0.52770448548812665</v>
      </c>
      <c r="BD100" s="6"/>
      <c r="BE100" s="6"/>
      <c r="BF100" s="59"/>
      <c r="BG100" s="6"/>
      <c r="BH100" s="5"/>
      <c r="BI100" s="5"/>
      <c r="BJ100" s="5" t="s">
        <v>205</v>
      </c>
    </row>
    <row r="101" spans="1:62">
      <c r="A101" s="2" t="s">
        <v>200</v>
      </c>
      <c r="B101" s="3" t="s">
        <v>85</v>
      </c>
      <c r="C101" s="3" t="s">
        <v>33</v>
      </c>
      <c r="D101" s="4">
        <v>9</v>
      </c>
      <c r="E101" s="4">
        <v>74</v>
      </c>
      <c r="F101" s="4">
        <v>2014</v>
      </c>
      <c r="G101" s="39">
        <v>54</v>
      </c>
      <c r="H101" s="28">
        <v>0</v>
      </c>
      <c r="I101" s="28">
        <v>2</v>
      </c>
      <c r="J101" s="5">
        <v>2018</v>
      </c>
      <c r="K101" s="5">
        <v>2024</v>
      </c>
      <c r="L101" s="5">
        <f t="shared" si="63"/>
        <v>5.58</v>
      </c>
      <c r="M101" s="5">
        <v>0</v>
      </c>
      <c r="N101" s="5" t="s">
        <v>580</v>
      </c>
      <c r="O101" s="5" t="s">
        <v>28</v>
      </c>
      <c r="P101" s="5">
        <v>0</v>
      </c>
      <c r="Q101" s="5"/>
      <c r="R101" s="5" t="s">
        <v>30</v>
      </c>
      <c r="S101" s="5" t="s">
        <v>207</v>
      </c>
      <c r="T101" s="6" t="s">
        <v>84</v>
      </c>
      <c r="U101" s="6">
        <v>0</v>
      </c>
      <c r="V101" s="25">
        <v>79</v>
      </c>
      <c r="W101" s="5">
        <v>5</v>
      </c>
      <c r="X101" s="7">
        <f t="shared" si="47"/>
        <v>7</v>
      </c>
      <c r="Y101" s="22">
        <f t="shared" si="48"/>
        <v>4</v>
      </c>
      <c r="Z101" s="15">
        <f t="shared" si="49"/>
        <v>3</v>
      </c>
      <c r="AA101" s="19">
        <v>2</v>
      </c>
      <c r="AB101" s="19">
        <v>2</v>
      </c>
      <c r="AC101" s="19">
        <v>0</v>
      </c>
      <c r="AD101" s="19">
        <v>0</v>
      </c>
      <c r="AE101" s="19">
        <v>1</v>
      </c>
      <c r="AF101" s="19">
        <v>0</v>
      </c>
      <c r="AG101" s="36">
        <f t="shared" si="41"/>
        <v>1</v>
      </c>
      <c r="AH101" s="36">
        <f t="shared" si="41"/>
        <v>1</v>
      </c>
      <c r="AI101" s="36">
        <f t="shared" si="41"/>
        <v>1</v>
      </c>
      <c r="AJ101" s="36">
        <f t="shared" si="41"/>
        <v>0</v>
      </c>
      <c r="AK101" s="36">
        <f t="shared" si="41"/>
        <v>0</v>
      </c>
      <c r="AL101" s="36">
        <f t="shared" si="41"/>
        <v>2</v>
      </c>
      <c r="AM101" s="7">
        <v>3</v>
      </c>
      <c r="AN101" s="7">
        <v>3</v>
      </c>
      <c r="AO101" s="7">
        <v>1</v>
      </c>
      <c r="AP101" s="7">
        <v>0</v>
      </c>
      <c r="AQ101" s="7">
        <v>1</v>
      </c>
      <c r="AR101" s="7">
        <v>2</v>
      </c>
      <c r="AS101" s="22">
        <f t="shared" si="50"/>
        <v>7</v>
      </c>
      <c r="AT101" s="22">
        <f t="shared" si="51"/>
        <v>0.71684587813620071</v>
      </c>
      <c r="AU101" s="5">
        <f t="shared" si="52"/>
        <v>2</v>
      </c>
      <c r="AV101" s="5">
        <f t="shared" si="53"/>
        <v>0.35842293906810035</v>
      </c>
      <c r="AW101" s="5">
        <f t="shared" si="54"/>
        <v>3</v>
      </c>
      <c r="AX101" s="5">
        <f t="shared" si="55"/>
        <v>0.17921146953405018</v>
      </c>
      <c r="AY101" s="5">
        <f t="shared" si="56"/>
        <v>0.17921146953405018</v>
      </c>
      <c r="AZ101" s="5">
        <f t="shared" si="57"/>
        <v>0.17921146953405018</v>
      </c>
      <c r="BA101" s="5">
        <f t="shared" si="58"/>
        <v>0</v>
      </c>
      <c r="BB101" s="5">
        <f t="shared" si="59"/>
        <v>0</v>
      </c>
      <c r="BC101" s="5">
        <f t="shared" si="60"/>
        <v>0.35842293906810035</v>
      </c>
      <c r="BD101" s="6"/>
      <c r="BE101" s="6"/>
      <c r="BF101" s="59"/>
      <c r="BG101" s="6"/>
      <c r="BH101" s="5"/>
      <c r="BI101" s="5"/>
      <c r="BJ101" s="5" t="s">
        <v>580</v>
      </c>
    </row>
    <row r="102" spans="1:62">
      <c r="A102" s="2" t="s">
        <v>200</v>
      </c>
      <c r="B102" s="3" t="s">
        <v>85</v>
      </c>
      <c r="C102" s="3" t="s">
        <v>33</v>
      </c>
      <c r="D102" s="4">
        <v>9</v>
      </c>
      <c r="E102" s="4">
        <v>74</v>
      </c>
      <c r="F102" s="4">
        <v>2014</v>
      </c>
      <c r="G102" s="39">
        <v>54</v>
      </c>
      <c r="H102" s="28">
        <v>0</v>
      </c>
      <c r="I102" s="28">
        <v>2</v>
      </c>
      <c r="J102" s="5">
        <v>2017</v>
      </c>
      <c r="K102" s="5">
        <v>2023</v>
      </c>
      <c r="L102" s="5">
        <f>(K102-J102)</f>
        <v>6</v>
      </c>
      <c r="M102" s="5">
        <v>1</v>
      </c>
      <c r="N102" s="5" t="s">
        <v>581</v>
      </c>
      <c r="O102" s="5" t="s">
        <v>43</v>
      </c>
      <c r="P102" s="5">
        <v>0</v>
      </c>
      <c r="Q102" s="5"/>
      <c r="R102" s="5" t="s">
        <v>54</v>
      </c>
      <c r="S102" s="5" t="s">
        <v>579</v>
      </c>
      <c r="T102" s="6" t="s">
        <v>84</v>
      </c>
      <c r="U102" s="6">
        <v>0</v>
      </c>
      <c r="V102" s="25">
        <v>56</v>
      </c>
      <c r="W102" s="5">
        <v>11</v>
      </c>
      <c r="X102" s="7">
        <f t="shared" si="47"/>
        <v>36</v>
      </c>
      <c r="Y102" s="22">
        <f t="shared" si="48"/>
        <v>14</v>
      </c>
      <c r="Z102" s="15">
        <f t="shared" si="49"/>
        <v>22</v>
      </c>
      <c r="AA102" s="19">
        <v>7</v>
      </c>
      <c r="AB102" s="19">
        <v>7</v>
      </c>
      <c r="AC102" s="19">
        <v>5</v>
      </c>
      <c r="AD102" s="19">
        <v>2</v>
      </c>
      <c r="AE102" s="19">
        <v>6</v>
      </c>
      <c r="AF102" s="19">
        <v>2</v>
      </c>
      <c r="AG102" s="36">
        <f t="shared" si="41"/>
        <v>2</v>
      </c>
      <c r="AH102" s="36">
        <f t="shared" si="41"/>
        <v>2</v>
      </c>
      <c r="AI102" s="36">
        <f t="shared" si="41"/>
        <v>5</v>
      </c>
      <c r="AJ102" s="36">
        <f t="shared" si="41"/>
        <v>3</v>
      </c>
      <c r="AK102" s="36">
        <f t="shared" si="41"/>
        <v>1</v>
      </c>
      <c r="AL102" s="36">
        <f t="shared" si="41"/>
        <v>3</v>
      </c>
      <c r="AM102" s="7">
        <v>9</v>
      </c>
      <c r="AN102" s="7">
        <v>9</v>
      </c>
      <c r="AO102" s="7">
        <v>10</v>
      </c>
      <c r="AP102" s="7">
        <v>5</v>
      </c>
      <c r="AQ102" s="7">
        <v>7</v>
      </c>
      <c r="AR102" s="7">
        <v>5</v>
      </c>
      <c r="AS102" s="22">
        <f t="shared" si="50"/>
        <v>36</v>
      </c>
      <c r="AT102" s="22">
        <f t="shared" si="51"/>
        <v>2.3333333333333335</v>
      </c>
      <c r="AU102" s="5">
        <f t="shared" si="52"/>
        <v>11</v>
      </c>
      <c r="AV102" s="5">
        <f t="shared" si="53"/>
        <v>1.8333333333333333</v>
      </c>
      <c r="AW102" s="5">
        <f t="shared" si="54"/>
        <v>20</v>
      </c>
      <c r="AX102" s="5">
        <f t="shared" si="55"/>
        <v>0.33333333333333331</v>
      </c>
      <c r="AY102" s="5">
        <f t="shared" si="56"/>
        <v>0.33333333333333331</v>
      </c>
      <c r="AZ102" s="5">
        <f t="shared" si="57"/>
        <v>0.83333333333333337</v>
      </c>
      <c r="BA102" s="5">
        <f t="shared" si="58"/>
        <v>0.5</v>
      </c>
      <c r="BB102" s="5">
        <f t="shared" si="59"/>
        <v>0.16666666666666666</v>
      </c>
      <c r="BC102" s="5">
        <f t="shared" si="60"/>
        <v>0.5</v>
      </c>
      <c r="BD102" s="6">
        <v>0</v>
      </c>
      <c r="BE102" s="6"/>
      <c r="BF102" s="59">
        <v>2</v>
      </c>
      <c r="BG102" s="6" t="s">
        <v>208</v>
      </c>
      <c r="BH102" s="5"/>
      <c r="BI102" s="5"/>
      <c r="BJ102" s="5" t="s">
        <v>581</v>
      </c>
    </row>
    <row r="103" spans="1:62" s="6" customFormat="1">
      <c r="A103" s="2" t="s">
        <v>211</v>
      </c>
      <c r="B103" s="4" t="s">
        <v>33</v>
      </c>
      <c r="C103" s="4" t="s">
        <v>85</v>
      </c>
      <c r="D103" s="4">
        <v>68</v>
      </c>
      <c r="E103" s="4">
        <v>74</v>
      </c>
      <c r="F103" s="4">
        <v>2009</v>
      </c>
      <c r="G103" s="39">
        <v>43</v>
      </c>
      <c r="H103" s="28">
        <v>0</v>
      </c>
      <c r="I103" s="28">
        <v>2</v>
      </c>
      <c r="J103" s="6">
        <v>2022</v>
      </c>
      <c r="K103" s="5">
        <v>2024</v>
      </c>
      <c r="L103" s="5">
        <f t="shared" ref="L103:L109" si="64">(K103-J103)-0.42</f>
        <v>1.58</v>
      </c>
      <c r="M103" s="5">
        <v>0</v>
      </c>
      <c r="N103" s="6" t="s">
        <v>209</v>
      </c>
      <c r="O103" s="6" t="s">
        <v>35</v>
      </c>
      <c r="P103" s="6">
        <v>0</v>
      </c>
      <c r="R103" s="6" t="s">
        <v>156</v>
      </c>
      <c r="S103" s="6" t="s">
        <v>210</v>
      </c>
      <c r="T103" s="6" t="s">
        <v>84</v>
      </c>
      <c r="U103" s="6">
        <v>0</v>
      </c>
      <c r="V103" s="25">
        <v>110</v>
      </c>
      <c r="W103" s="6">
        <v>10</v>
      </c>
      <c r="X103" s="7">
        <f t="shared" si="47"/>
        <v>16</v>
      </c>
      <c r="Y103" s="22">
        <f t="shared" si="48"/>
        <v>0</v>
      </c>
      <c r="Z103" s="15">
        <f t="shared" ref="Z103:Z110" si="65">SUM(AB103:AF103)</f>
        <v>16</v>
      </c>
      <c r="AA103" s="19">
        <v>7</v>
      </c>
      <c r="AB103" s="19">
        <v>12</v>
      </c>
      <c r="AC103" s="19">
        <v>0</v>
      </c>
      <c r="AD103" s="19">
        <v>0</v>
      </c>
      <c r="AE103" s="19">
        <v>0</v>
      </c>
      <c r="AF103" s="19">
        <v>4</v>
      </c>
      <c r="AG103" s="36">
        <f t="shared" si="41"/>
        <v>0</v>
      </c>
      <c r="AH103" s="36">
        <f t="shared" si="41"/>
        <v>0</v>
      </c>
      <c r="AI103" s="36">
        <f t="shared" si="41"/>
        <v>0</v>
      </c>
      <c r="AJ103" s="36">
        <f t="shared" si="41"/>
        <v>0</v>
      </c>
      <c r="AK103" s="36">
        <f t="shared" si="41"/>
        <v>0</v>
      </c>
      <c r="AL103" s="36">
        <f t="shared" si="41"/>
        <v>0</v>
      </c>
      <c r="AM103" s="7">
        <v>7</v>
      </c>
      <c r="AN103" s="7">
        <v>12</v>
      </c>
      <c r="AO103" s="7">
        <v>0</v>
      </c>
      <c r="AP103" s="7">
        <v>0</v>
      </c>
      <c r="AQ103" s="7">
        <v>0</v>
      </c>
      <c r="AR103" s="7">
        <v>4</v>
      </c>
      <c r="AS103" s="22">
        <f t="shared" si="50"/>
        <v>16</v>
      </c>
      <c r="AT103" s="22">
        <f t="shared" si="51"/>
        <v>0</v>
      </c>
      <c r="AU103" s="5">
        <f t="shared" si="52"/>
        <v>0</v>
      </c>
      <c r="AV103" s="5">
        <f t="shared" si="53"/>
        <v>0</v>
      </c>
      <c r="AW103" s="5">
        <f t="shared" si="54"/>
        <v>12</v>
      </c>
      <c r="AX103" s="5">
        <f t="shared" si="55"/>
        <v>0</v>
      </c>
      <c r="AY103" s="5">
        <f t="shared" si="56"/>
        <v>0</v>
      </c>
      <c r="AZ103" s="5">
        <f t="shared" si="57"/>
        <v>0</v>
      </c>
      <c r="BA103" s="5">
        <f t="shared" si="58"/>
        <v>0</v>
      </c>
      <c r="BB103" s="5">
        <f t="shared" si="59"/>
        <v>0</v>
      </c>
      <c r="BC103" s="5">
        <f t="shared" si="60"/>
        <v>0</v>
      </c>
      <c r="BF103" s="59"/>
      <c r="BJ103" s="6" t="s">
        <v>209</v>
      </c>
    </row>
    <row r="104" spans="1:62" s="6" customFormat="1">
      <c r="A104" s="2" t="s">
        <v>211</v>
      </c>
      <c r="B104" s="4" t="s">
        <v>33</v>
      </c>
      <c r="C104" s="4" t="s">
        <v>85</v>
      </c>
      <c r="D104" s="4">
        <v>68</v>
      </c>
      <c r="E104" s="4">
        <v>74</v>
      </c>
      <c r="F104" s="4">
        <v>2009</v>
      </c>
      <c r="G104" s="39">
        <v>43</v>
      </c>
      <c r="H104" s="28">
        <v>0</v>
      </c>
      <c r="I104" s="28">
        <v>2</v>
      </c>
      <c r="J104" s="6">
        <v>2021</v>
      </c>
      <c r="K104" s="5">
        <v>2024</v>
      </c>
      <c r="L104" s="5">
        <f t="shared" si="64"/>
        <v>2.58</v>
      </c>
      <c r="M104" s="5">
        <v>0</v>
      </c>
      <c r="N104" s="41" t="s">
        <v>212</v>
      </c>
      <c r="O104" s="6" t="s">
        <v>35</v>
      </c>
      <c r="P104" s="6">
        <v>0</v>
      </c>
      <c r="R104" s="6" t="s">
        <v>30</v>
      </c>
      <c r="S104" s="42" t="s">
        <v>213</v>
      </c>
      <c r="T104" s="6" t="s">
        <v>84</v>
      </c>
      <c r="U104" s="6">
        <v>0</v>
      </c>
      <c r="V104" s="25">
        <v>88</v>
      </c>
      <c r="W104" s="6">
        <v>2</v>
      </c>
      <c r="X104" s="7">
        <f t="shared" si="47"/>
        <v>9</v>
      </c>
      <c r="Y104" s="22">
        <f t="shared" si="48"/>
        <v>7</v>
      </c>
      <c r="Z104" s="15">
        <f t="shared" si="65"/>
        <v>2</v>
      </c>
      <c r="AA104" s="19">
        <v>0</v>
      </c>
      <c r="AB104" s="19">
        <v>0</v>
      </c>
      <c r="AC104" s="19">
        <v>1</v>
      </c>
      <c r="AD104" s="19">
        <v>0</v>
      </c>
      <c r="AE104" s="19">
        <v>0</v>
      </c>
      <c r="AF104" s="19">
        <v>1</v>
      </c>
      <c r="AG104" s="36">
        <f t="shared" si="41"/>
        <v>4</v>
      </c>
      <c r="AH104" s="36">
        <f t="shared" si="41"/>
        <v>0</v>
      </c>
      <c r="AI104" s="36">
        <f t="shared" si="41"/>
        <v>4</v>
      </c>
      <c r="AJ104" s="36">
        <f t="shared" si="41"/>
        <v>2</v>
      </c>
      <c r="AK104" s="36">
        <f t="shared" si="41"/>
        <v>0</v>
      </c>
      <c r="AL104" s="36">
        <f t="shared" si="41"/>
        <v>1</v>
      </c>
      <c r="AM104" s="7">
        <v>4</v>
      </c>
      <c r="AN104" s="7">
        <v>0</v>
      </c>
      <c r="AO104" s="7">
        <v>5</v>
      </c>
      <c r="AP104" s="7">
        <v>2</v>
      </c>
      <c r="AQ104" s="7">
        <v>0</v>
      </c>
      <c r="AR104" s="7">
        <v>2</v>
      </c>
      <c r="AS104" s="22">
        <f t="shared" si="50"/>
        <v>9</v>
      </c>
      <c r="AT104" s="22">
        <f t="shared" si="51"/>
        <v>2.7131782945736433</v>
      </c>
      <c r="AU104" s="5">
        <f t="shared" si="52"/>
        <v>6</v>
      </c>
      <c r="AV104" s="5">
        <f t="shared" si="53"/>
        <v>2.3255813953488373</v>
      </c>
      <c r="AW104" s="5">
        <f t="shared" si="54"/>
        <v>1</v>
      </c>
      <c r="AX104" s="5">
        <f t="shared" si="55"/>
        <v>1.5503875968992247</v>
      </c>
      <c r="AY104" s="5">
        <f t="shared" si="56"/>
        <v>0</v>
      </c>
      <c r="AZ104" s="5">
        <f t="shared" si="57"/>
        <v>1.5503875968992247</v>
      </c>
      <c r="BA104" s="5">
        <f t="shared" si="58"/>
        <v>0.77519379844961234</v>
      </c>
      <c r="BB104" s="5">
        <f t="shared" si="59"/>
        <v>0</v>
      </c>
      <c r="BC104" s="5">
        <f t="shared" si="60"/>
        <v>0.38759689922480617</v>
      </c>
      <c r="BF104" s="59"/>
      <c r="BJ104" s="41" t="s">
        <v>212</v>
      </c>
    </row>
    <row r="105" spans="1:62" s="6" customFormat="1">
      <c r="A105" s="2" t="s">
        <v>211</v>
      </c>
      <c r="B105" s="4" t="s">
        <v>33</v>
      </c>
      <c r="C105" s="4" t="s">
        <v>85</v>
      </c>
      <c r="D105" s="4">
        <v>68</v>
      </c>
      <c r="E105" s="4">
        <v>74</v>
      </c>
      <c r="F105" s="4">
        <v>2009</v>
      </c>
      <c r="G105" s="39">
        <v>43</v>
      </c>
      <c r="H105" s="28">
        <v>0</v>
      </c>
      <c r="I105" s="28">
        <v>2</v>
      </c>
      <c r="J105" s="6">
        <v>2020</v>
      </c>
      <c r="K105" s="5">
        <v>2024</v>
      </c>
      <c r="L105" s="5">
        <f t="shared" si="64"/>
        <v>3.58</v>
      </c>
      <c r="M105" s="5">
        <v>0</v>
      </c>
      <c r="N105" s="41" t="s">
        <v>214</v>
      </c>
      <c r="O105" s="6" t="s">
        <v>35</v>
      </c>
      <c r="P105" s="6">
        <v>0</v>
      </c>
      <c r="R105" s="6" t="s">
        <v>30</v>
      </c>
      <c r="S105" s="42" t="s">
        <v>215</v>
      </c>
      <c r="T105" s="6" t="s">
        <v>37</v>
      </c>
      <c r="U105" s="6">
        <v>0</v>
      </c>
      <c r="V105" s="25">
        <v>29</v>
      </c>
      <c r="W105" s="6">
        <v>10</v>
      </c>
      <c r="X105" s="7">
        <f t="shared" si="47"/>
        <v>29</v>
      </c>
      <c r="Y105" s="22">
        <f t="shared" si="48"/>
        <v>11</v>
      </c>
      <c r="Z105" s="15">
        <f t="shared" si="65"/>
        <v>18</v>
      </c>
      <c r="AA105" s="19">
        <v>1</v>
      </c>
      <c r="AB105" s="19">
        <v>9</v>
      </c>
      <c r="AC105" s="19">
        <v>7</v>
      </c>
      <c r="AD105" s="19">
        <v>1</v>
      </c>
      <c r="AE105" s="19">
        <v>0</v>
      </c>
      <c r="AF105" s="19">
        <v>1</v>
      </c>
      <c r="AG105" s="36">
        <f t="shared" si="41"/>
        <v>1</v>
      </c>
      <c r="AH105" s="36">
        <f t="shared" si="41"/>
        <v>4</v>
      </c>
      <c r="AI105" s="36">
        <f t="shared" si="41"/>
        <v>5</v>
      </c>
      <c r="AJ105" s="36">
        <f t="shared" si="41"/>
        <v>1</v>
      </c>
      <c r="AK105" s="36">
        <f t="shared" si="41"/>
        <v>1</v>
      </c>
      <c r="AL105" s="36">
        <f t="shared" si="41"/>
        <v>0</v>
      </c>
      <c r="AM105" s="7">
        <v>2</v>
      </c>
      <c r="AN105" s="7">
        <v>13</v>
      </c>
      <c r="AO105" s="7">
        <v>12</v>
      </c>
      <c r="AP105" s="7">
        <v>2</v>
      </c>
      <c r="AQ105" s="7">
        <v>1</v>
      </c>
      <c r="AR105" s="7">
        <v>1</v>
      </c>
      <c r="AS105" s="22">
        <f t="shared" si="50"/>
        <v>29</v>
      </c>
      <c r="AT105" s="22">
        <f t="shared" si="51"/>
        <v>3.0726256983240221</v>
      </c>
      <c r="AU105" s="5">
        <f t="shared" si="52"/>
        <v>11</v>
      </c>
      <c r="AV105" s="5">
        <f t="shared" si="53"/>
        <v>3.0726256983240221</v>
      </c>
      <c r="AW105" s="5">
        <f t="shared" si="54"/>
        <v>17</v>
      </c>
      <c r="AX105" s="5">
        <f t="shared" si="55"/>
        <v>0.27932960893854747</v>
      </c>
      <c r="AY105" s="5">
        <f t="shared" si="56"/>
        <v>1.1173184357541899</v>
      </c>
      <c r="AZ105" s="5">
        <f t="shared" si="57"/>
        <v>1.3966480446927374</v>
      </c>
      <c r="BA105" s="5">
        <f t="shared" si="58"/>
        <v>0.27932960893854747</v>
      </c>
      <c r="BB105" s="5">
        <f t="shared" si="59"/>
        <v>0.27932960893854747</v>
      </c>
      <c r="BC105" s="5">
        <f t="shared" si="60"/>
        <v>0</v>
      </c>
      <c r="BF105" s="59"/>
      <c r="BJ105" s="41" t="s">
        <v>214</v>
      </c>
    </row>
    <row r="106" spans="1:62" s="6" customFormat="1">
      <c r="A106" s="2" t="s">
        <v>211</v>
      </c>
      <c r="B106" s="4" t="s">
        <v>33</v>
      </c>
      <c r="C106" s="4" t="s">
        <v>85</v>
      </c>
      <c r="D106" s="4">
        <v>68</v>
      </c>
      <c r="E106" s="4">
        <v>74</v>
      </c>
      <c r="F106" s="4">
        <v>2009</v>
      </c>
      <c r="G106" s="39">
        <v>43</v>
      </c>
      <c r="H106" s="28">
        <v>0</v>
      </c>
      <c r="I106" s="28">
        <v>2</v>
      </c>
      <c r="J106" s="6">
        <v>2019</v>
      </c>
      <c r="K106" s="5">
        <v>2024</v>
      </c>
      <c r="L106" s="5">
        <f t="shared" si="64"/>
        <v>4.58</v>
      </c>
      <c r="M106" s="5">
        <v>0</v>
      </c>
      <c r="N106" s="6" t="s">
        <v>216</v>
      </c>
      <c r="O106" s="6" t="s">
        <v>35</v>
      </c>
      <c r="P106" s="6">
        <v>0</v>
      </c>
      <c r="R106" s="6" t="s">
        <v>30</v>
      </c>
      <c r="S106" s="6" t="s">
        <v>217</v>
      </c>
      <c r="T106" s="6" t="s">
        <v>218</v>
      </c>
      <c r="U106" s="6" t="s">
        <v>559</v>
      </c>
      <c r="V106" s="25">
        <v>3</v>
      </c>
      <c r="W106" s="6">
        <v>0</v>
      </c>
      <c r="X106" s="7">
        <f t="shared" si="47"/>
        <v>3</v>
      </c>
      <c r="Y106" s="22">
        <f t="shared" si="48"/>
        <v>3</v>
      </c>
      <c r="Z106" s="15">
        <f t="shared" si="65"/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36">
        <f t="shared" si="41"/>
        <v>1</v>
      </c>
      <c r="AH106" s="36">
        <f t="shared" si="41"/>
        <v>3</v>
      </c>
      <c r="AI106" s="36">
        <f t="shared" si="41"/>
        <v>0</v>
      </c>
      <c r="AJ106" s="36">
        <f t="shared" si="41"/>
        <v>0</v>
      </c>
      <c r="AK106" s="36">
        <f t="shared" si="41"/>
        <v>0</v>
      </c>
      <c r="AL106" s="36">
        <f t="shared" si="41"/>
        <v>0</v>
      </c>
      <c r="AM106" s="7">
        <v>1</v>
      </c>
      <c r="AN106" s="7">
        <v>3</v>
      </c>
      <c r="AO106" s="7">
        <v>0</v>
      </c>
      <c r="AP106" s="7">
        <v>0</v>
      </c>
      <c r="AQ106" s="7">
        <v>0</v>
      </c>
      <c r="AR106" s="7">
        <v>0</v>
      </c>
      <c r="AS106" s="22">
        <f t="shared" si="50"/>
        <v>3</v>
      </c>
      <c r="AT106" s="22">
        <f t="shared" si="51"/>
        <v>0.65502183406113534</v>
      </c>
      <c r="AU106" s="5">
        <f t="shared" si="52"/>
        <v>3</v>
      </c>
      <c r="AV106" s="5">
        <f t="shared" si="53"/>
        <v>0.65502183406113534</v>
      </c>
      <c r="AW106" s="5">
        <f t="shared" si="54"/>
        <v>0</v>
      </c>
      <c r="AX106" s="5">
        <f t="shared" si="55"/>
        <v>0.2183406113537118</v>
      </c>
      <c r="AY106" s="5">
        <f t="shared" si="56"/>
        <v>0.65502183406113534</v>
      </c>
      <c r="AZ106" s="5">
        <f t="shared" si="57"/>
        <v>0</v>
      </c>
      <c r="BA106" s="5">
        <f t="shared" si="58"/>
        <v>0</v>
      </c>
      <c r="BB106" s="5">
        <f t="shared" si="59"/>
        <v>0</v>
      </c>
      <c r="BC106" s="5">
        <f t="shared" si="60"/>
        <v>0</v>
      </c>
      <c r="BF106" s="59"/>
      <c r="BJ106" s="6" t="s">
        <v>216</v>
      </c>
    </row>
    <row r="107" spans="1:62" s="6" customFormat="1">
      <c r="A107" s="2" t="s">
        <v>211</v>
      </c>
      <c r="B107" s="4" t="s">
        <v>33</v>
      </c>
      <c r="C107" s="4" t="s">
        <v>85</v>
      </c>
      <c r="D107" s="4">
        <v>68</v>
      </c>
      <c r="E107" s="4">
        <v>74</v>
      </c>
      <c r="F107" s="4">
        <v>2009</v>
      </c>
      <c r="G107" s="39">
        <v>43</v>
      </c>
      <c r="H107" s="28">
        <v>0</v>
      </c>
      <c r="I107" s="28">
        <v>2</v>
      </c>
      <c r="J107" s="57">
        <v>2018</v>
      </c>
      <c r="K107" s="5">
        <v>2024</v>
      </c>
      <c r="L107" s="5">
        <f t="shared" si="64"/>
        <v>5.58</v>
      </c>
      <c r="M107" s="5">
        <v>0</v>
      </c>
      <c r="N107" s="6" t="s">
        <v>219</v>
      </c>
      <c r="O107" s="6" t="s">
        <v>35</v>
      </c>
      <c r="P107" s="6">
        <v>0</v>
      </c>
      <c r="R107" s="6" t="s">
        <v>30</v>
      </c>
      <c r="S107" s="6" t="s">
        <v>220</v>
      </c>
      <c r="T107" s="6" t="s">
        <v>84</v>
      </c>
      <c r="U107" s="6">
        <v>0</v>
      </c>
      <c r="V107" s="25">
        <v>71</v>
      </c>
      <c r="W107" s="6">
        <v>5</v>
      </c>
      <c r="X107" s="7">
        <f t="shared" si="47"/>
        <v>11</v>
      </c>
      <c r="Y107" s="22">
        <f t="shared" si="48"/>
        <v>7</v>
      </c>
      <c r="Z107" s="15">
        <f t="shared" si="65"/>
        <v>4</v>
      </c>
      <c r="AA107" s="19">
        <v>0</v>
      </c>
      <c r="AB107" s="19">
        <v>0</v>
      </c>
      <c r="AC107" s="19">
        <v>4</v>
      </c>
      <c r="AD107" s="19">
        <v>0</v>
      </c>
      <c r="AE107" s="19">
        <v>0</v>
      </c>
      <c r="AF107" s="19">
        <v>0</v>
      </c>
      <c r="AG107" s="36">
        <f t="shared" si="41"/>
        <v>2</v>
      </c>
      <c r="AH107" s="36">
        <f t="shared" si="41"/>
        <v>3</v>
      </c>
      <c r="AI107" s="36">
        <f t="shared" si="41"/>
        <v>1</v>
      </c>
      <c r="AJ107" s="36">
        <f t="shared" si="41"/>
        <v>2</v>
      </c>
      <c r="AK107" s="36">
        <f t="shared" si="41"/>
        <v>0</v>
      </c>
      <c r="AL107" s="36">
        <f t="shared" si="41"/>
        <v>1</v>
      </c>
      <c r="AM107" s="7">
        <v>2</v>
      </c>
      <c r="AN107" s="7">
        <v>3</v>
      </c>
      <c r="AO107" s="7">
        <v>5</v>
      </c>
      <c r="AP107" s="7">
        <v>2</v>
      </c>
      <c r="AQ107" s="7">
        <v>0</v>
      </c>
      <c r="AR107" s="7">
        <v>1</v>
      </c>
      <c r="AS107" s="22">
        <f t="shared" si="50"/>
        <v>11</v>
      </c>
      <c r="AT107" s="22">
        <f t="shared" si="51"/>
        <v>1.2544802867383513</v>
      </c>
      <c r="AU107" s="5">
        <f t="shared" si="52"/>
        <v>6</v>
      </c>
      <c r="AV107" s="5">
        <f t="shared" si="53"/>
        <v>1.075268817204301</v>
      </c>
      <c r="AW107" s="5">
        <f t="shared" si="54"/>
        <v>4</v>
      </c>
      <c r="AX107" s="5">
        <f t="shared" si="55"/>
        <v>0.35842293906810035</v>
      </c>
      <c r="AY107" s="5">
        <f t="shared" si="56"/>
        <v>0.5376344086021505</v>
      </c>
      <c r="AZ107" s="5">
        <f t="shared" si="57"/>
        <v>0.17921146953405018</v>
      </c>
      <c r="BA107" s="5">
        <f t="shared" si="58"/>
        <v>0.35842293906810035</v>
      </c>
      <c r="BB107" s="5">
        <f t="shared" si="59"/>
        <v>0</v>
      </c>
      <c r="BC107" s="5">
        <f t="shared" si="60"/>
        <v>0.17921146953405018</v>
      </c>
      <c r="BF107" s="59"/>
      <c r="BJ107" s="6" t="s">
        <v>219</v>
      </c>
    </row>
    <row r="108" spans="1:62" s="6" customFormat="1">
      <c r="A108" s="2" t="s">
        <v>211</v>
      </c>
      <c r="B108" s="4" t="s">
        <v>33</v>
      </c>
      <c r="C108" s="4" t="s">
        <v>85</v>
      </c>
      <c r="D108" s="4">
        <v>68</v>
      </c>
      <c r="E108" s="4">
        <v>74</v>
      </c>
      <c r="F108" s="4">
        <v>2009</v>
      </c>
      <c r="G108" s="39">
        <v>43</v>
      </c>
      <c r="H108" s="28">
        <v>0</v>
      </c>
      <c r="I108" s="28">
        <v>2</v>
      </c>
      <c r="J108" s="57">
        <v>2017</v>
      </c>
      <c r="K108" s="5">
        <v>2024</v>
      </c>
      <c r="L108" s="5">
        <f t="shared" si="64"/>
        <v>6.58</v>
      </c>
      <c r="M108" s="5">
        <v>0</v>
      </c>
      <c r="N108" s="6" t="s">
        <v>221</v>
      </c>
      <c r="O108" s="6" t="s">
        <v>35</v>
      </c>
      <c r="P108" s="6">
        <v>0</v>
      </c>
      <c r="R108" s="6" t="s">
        <v>30</v>
      </c>
      <c r="S108" s="42" t="s">
        <v>215</v>
      </c>
      <c r="T108" s="6" t="s">
        <v>37</v>
      </c>
      <c r="U108" s="6">
        <v>0</v>
      </c>
      <c r="V108" s="25">
        <v>29</v>
      </c>
      <c r="W108" s="6">
        <v>11</v>
      </c>
      <c r="X108" s="7">
        <f t="shared" si="47"/>
        <v>69</v>
      </c>
      <c r="Y108" s="22">
        <f t="shared" si="48"/>
        <v>57</v>
      </c>
      <c r="Z108" s="15">
        <f t="shared" si="65"/>
        <v>12</v>
      </c>
      <c r="AA108" s="19">
        <v>2</v>
      </c>
      <c r="AB108" s="19">
        <v>1</v>
      </c>
      <c r="AC108" s="19">
        <v>7</v>
      </c>
      <c r="AD108" s="19">
        <v>3</v>
      </c>
      <c r="AE108" s="19">
        <v>1</v>
      </c>
      <c r="AF108" s="19">
        <v>0</v>
      </c>
      <c r="AG108" s="36">
        <f t="shared" si="41"/>
        <v>15</v>
      </c>
      <c r="AH108" s="36">
        <f t="shared" si="41"/>
        <v>9</v>
      </c>
      <c r="AI108" s="36">
        <f t="shared" si="41"/>
        <v>27</v>
      </c>
      <c r="AJ108" s="36">
        <f t="shared" si="41"/>
        <v>10</v>
      </c>
      <c r="AK108" s="36">
        <f t="shared" si="41"/>
        <v>4</v>
      </c>
      <c r="AL108" s="36">
        <f t="shared" si="41"/>
        <v>7</v>
      </c>
      <c r="AM108" s="7">
        <v>17</v>
      </c>
      <c r="AN108" s="7">
        <v>10</v>
      </c>
      <c r="AO108" s="7">
        <v>34</v>
      </c>
      <c r="AP108" s="7">
        <v>13</v>
      </c>
      <c r="AQ108" s="7">
        <v>5</v>
      </c>
      <c r="AR108" s="7">
        <v>7</v>
      </c>
      <c r="AS108" s="22">
        <f t="shared" si="50"/>
        <v>69</v>
      </c>
      <c r="AT108" s="22">
        <f t="shared" si="51"/>
        <v>8.6626139817629184</v>
      </c>
      <c r="AU108" s="5">
        <f t="shared" si="52"/>
        <v>50</v>
      </c>
      <c r="AV108" s="5">
        <f t="shared" si="53"/>
        <v>7.598784194528875</v>
      </c>
      <c r="AW108" s="5">
        <f t="shared" si="54"/>
        <v>12</v>
      </c>
      <c r="AX108" s="5">
        <f t="shared" si="55"/>
        <v>2.2796352583586628</v>
      </c>
      <c r="AY108" s="5">
        <f t="shared" si="56"/>
        <v>1.3677811550151975</v>
      </c>
      <c r="AZ108" s="5">
        <f t="shared" si="57"/>
        <v>4.1033434650455929</v>
      </c>
      <c r="BA108" s="5">
        <f t="shared" si="58"/>
        <v>1.519756838905775</v>
      </c>
      <c r="BB108" s="5">
        <f t="shared" si="59"/>
        <v>0.60790273556231</v>
      </c>
      <c r="BC108" s="5">
        <f t="shared" si="60"/>
        <v>1.0638297872340425</v>
      </c>
      <c r="BF108" s="59"/>
      <c r="BJ108" s="6" t="s">
        <v>221</v>
      </c>
    </row>
    <row r="109" spans="1:62" s="6" customFormat="1">
      <c r="A109" s="2" t="s">
        <v>211</v>
      </c>
      <c r="B109" s="4" t="s">
        <v>33</v>
      </c>
      <c r="C109" s="4" t="s">
        <v>85</v>
      </c>
      <c r="D109" s="4">
        <v>68</v>
      </c>
      <c r="E109" s="4">
        <v>74</v>
      </c>
      <c r="F109" s="4">
        <v>2009</v>
      </c>
      <c r="G109" s="39">
        <v>43</v>
      </c>
      <c r="H109" s="28">
        <v>0</v>
      </c>
      <c r="I109" s="28">
        <v>2</v>
      </c>
      <c r="J109" s="6">
        <v>2016</v>
      </c>
      <c r="K109" s="5">
        <v>2024</v>
      </c>
      <c r="L109" s="5">
        <f t="shared" si="64"/>
        <v>7.58</v>
      </c>
      <c r="M109" s="5">
        <v>0</v>
      </c>
      <c r="N109" s="39" t="s">
        <v>701</v>
      </c>
      <c r="O109" s="6" t="s">
        <v>35</v>
      </c>
      <c r="P109" s="6">
        <v>0</v>
      </c>
      <c r="R109" s="6" t="s">
        <v>30</v>
      </c>
      <c r="S109" s="42" t="s">
        <v>582</v>
      </c>
      <c r="T109" s="6" t="s">
        <v>101</v>
      </c>
      <c r="U109" s="6">
        <v>0</v>
      </c>
      <c r="V109" s="25">
        <v>26</v>
      </c>
      <c r="W109" s="6">
        <v>3</v>
      </c>
      <c r="X109" s="7">
        <f t="shared" si="47"/>
        <v>20</v>
      </c>
      <c r="Y109" s="22">
        <f t="shared" si="48"/>
        <v>17</v>
      </c>
      <c r="Z109" s="15">
        <f t="shared" si="65"/>
        <v>3</v>
      </c>
      <c r="AA109" s="19">
        <v>0</v>
      </c>
      <c r="AB109" s="19">
        <v>3</v>
      </c>
      <c r="AC109" s="19">
        <v>0</v>
      </c>
      <c r="AD109" s="19">
        <v>0</v>
      </c>
      <c r="AE109" s="19">
        <v>0</v>
      </c>
      <c r="AF109" s="19">
        <v>0</v>
      </c>
      <c r="AG109" s="36">
        <f t="shared" si="41"/>
        <v>3</v>
      </c>
      <c r="AH109" s="36">
        <f t="shared" si="41"/>
        <v>11</v>
      </c>
      <c r="AI109" s="36">
        <f t="shared" si="41"/>
        <v>2</v>
      </c>
      <c r="AJ109" s="36">
        <f t="shared" si="41"/>
        <v>1</v>
      </c>
      <c r="AK109" s="36">
        <f t="shared" si="41"/>
        <v>0</v>
      </c>
      <c r="AL109" s="36">
        <f t="shared" si="41"/>
        <v>3</v>
      </c>
      <c r="AM109" s="7">
        <v>3</v>
      </c>
      <c r="AN109" s="7">
        <v>14</v>
      </c>
      <c r="AO109" s="7">
        <v>2</v>
      </c>
      <c r="AP109" s="7">
        <v>1</v>
      </c>
      <c r="AQ109" s="7">
        <v>0</v>
      </c>
      <c r="AR109" s="7">
        <v>3</v>
      </c>
      <c r="AS109" s="22">
        <f t="shared" si="50"/>
        <v>20</v>
      </c>
      <c r="AT109" s="22">
        <f t="shared" si="51"/>
        <v>2.2427440633245381</v>
      </c>
      <c r="AU109" s="5">
        <f t="shared" si="52"/>
        <v>14</v>
      </c>
      <c r="AV109" s="5">
        <f t="shared" si="53"/>
        <v>1.8469656992084433</v>
      </c>
      <c r="AW109" s="5">
        <f t="shared" si="54"/>
        <v>3</v>
      </c>
      <c r="AX109" s="5">
        <f t="shared" si="55"/>
        <v>0.39577836411609496</v>
      </c>
      <c r="AY109" s="5">
        <f t="shared" si="56"/>
        <v>1.4511873350923483</v>
      </c>
      <c r="AZ109" s="5">
        <f t="shared" si="57"/>
        <v>0.26385224274406333</v>
      </c>
      <c r="BA109" s="5">
        <f t="shared" si="58"/>
        <v>0.13192612137203166</v>
      </c>
      <c r="BB109" s="5">
        <f t="shared" si="59"/>
        <v>0</v>
      </c>
      <c r="BC109" s="5">
        <f t="shared" si="60"/>
        <v>0.39577836411609496</v>
      </c>
      <c r="BF109" s="59"/>
      <c r="BJ109" s="39" t="s">
        <v>701</v>
      </c>
    </row>
    <row r="110" spans="1:62" s="6" customFormat="1">
      <c r="A110" s="2" t="s">
        <v>211</v>
      </c>
      <c r="B110" s="4" t="s">
        <v>33</v>
      </c>
      <c r="C110" s="4" t="s">
        <v>85</v>
      </c>
      <c r="D110" s="4">
        <v>68</v>
      </c>
      <c r="E110" s="4">
        <v>74</v>
      </c>
      <c r="F110" s="4">
        <v>2009</v>
      </c>
      <c r="G110" s="39">
        <v>43</v>
      </c>
      <c r="H110" s="28">
        <v>0</v>
      </c>
      <c r="I110" s="28">
        <v>2</v>
      </c>
      <c r="J110" s="6">
        <v>2015</v>
      </c>
      <c r="K110" s="5">
        <v>2021</v>
      </c>
      <c r="L110" s="5">
        <v>6</v>
      </c>
      <c r="M110" s="5">
        <v>1</v>
      </c>
      <c r="N110" s="39" t="s">
        <v>700</v>
      </c>
      <c r="O110" s="6" t="s">
        <v>28</v>
      </c>
      <c r="P110" s="6">
        <v>0</v>
      </c>
      <c r="R110" s="6" t="s">
        <v>30</v>
      </c>
      <c r="S110" s="42" t="s">
        <v>228</v>
      </c>
      <c r="T110" s="6" t="s">
        <v>84</v>
      </c>
      <c r="U110" s="6">
        <v>0</v>
      </c>
      <c r="V110" s="25">
        <v>53</v>
      </c>
      <c r="W110" s="6">
        <v>2</v>
      </c>
      <c r="X110" s="7">
        <f t="shared" si="47"/>
        <v>4</v>
      </c>
      <c r="Y110" s="22">
        <f t="shared" si="48"/>
        <v>3</v>
      </c>
      <c r="Z110" s="15">
        <f t="shared" si="65"/>
        <v>1</v>
      </c>
      <c r="AA110" s="19">
        <v>1</v>
      </c>
      <c r="AB110" s="19">
        <v>0</v>
      </c>
      <c r="AC110" s="19">
        <v>1</v>
      </c>
      <c r="AD110" s="19">
        <v>0</v>
      </c>
      <c r="AE110" s="19">
        <v>0</v>
      </c>
      <c r="AF110" s="19">
        <v>0</v>
      </c>
      <c r="AG110" s="36">
        <f t="shared" si="41"/>
        <v>0</v>
      </c>
      <c r="AH110" s="36">
        <f t="shared" si="41"/>
        <v>0</v>
      </c>
      <c r="AI110" s="36">
        <f t="shared" si="41"/>
        <v>2</v>
      </c>
      <c r="AJ110" s="36">
        <f t="shared" si="41"/>
        <v>1</v>
      </c>
      <c r="AK110" s="36">
        <f t="shared" si="41"/>
        <v>0</v>
      </c>
      <c r="AL110" s="36">
        <f t="shared" si="41"/>
        <v>0</v>
      </c>
      <c r="AM110" s="7">
        <v>1</v>
      </c>
      <c r="AN110" s="7">
        <v>0</v>
      </c>
      <c r="AO110" s="7">
        <v>3</v>
      </c>
      <c r="AP110" s="7">
        <v>1</v>
      </c>
      <c r="AQ110" s="7">
        <v>0</v>
      </c>
      <c r="AR110" s="7">
        <v>0</v>
      </c>
      <c r="AS110" s="22">
        <f t="shared" si="50"/>
        <v>4</v>
      </c>
      <c r="AT110" s="22">
        <f t="shared" si="51"/>
        <v>0.5</v>
      </c>
      <c r="AU110" s="5">
        <f t="shared" si="52"/>
        <v>3</v>
      </c>
      <c r="AV110" s="5">
        <f t="shared" si="53"/>
        <v>0.5</v>
      </c>
      <c r="AW110" s="5">
        <f t="shared" si="54"/>
        <v>1</v>
      </c>
      <c r="AX110" s="5">
        <f t="shared" si="55"/>
        <v>0</v>
      </c>
      <c r="AY110" s="5">
        <f t="shared" si="56"/>
        <v>0</v>
      </c>
      <c r="AZ110" s="5">
        <f t="shared" si="57"/>
        <v>0.33333333333333331</v>
      </c>
      <c r="BA110" s="5">
        <f t="shared" si="58"/>
        <v>0.16666666666666666</v>
      </c>
      <c r="BB110" s="5">
        <f t="shared" si="59"/>
        <v>0</v>
      </c>
      <c r="BC110" s="5">
        <f t="shared" si="60"/>
        <v>0</v>
      </c>
      <c r="BF110" s="59">
        <v>0</v>
      </c>
      <c r="BG110" s="6" t="s">
        <v>722</v>
      </c>
      <c r="BJ110" s="39" t="s">
        <v>700</v>
      </c>
    </row>
    <row r="111" spans="1:62">
      <c r="A111" s="23" t="s">
        <v>223</v>
      </c>
      <c r="B111" s="6" t="s">
        <v>32</v>
      </c>
      <c r="C111" s="6" t="s">
        <v>33</v>
      </c>
      <c r="D111" s="4">
        <v>99</v>
      </c>
      <c r="E111" s="4">
        <v>99</v>
      </c>
      <c r="F111" s="4">
        <v>2020</v>
      </c>
      <c r="G111" s="39">
        <v>1422</v>
      </c>
      <c r="H111" s="28">
        <v>0</v>
      </c>
      <c r="I111" s="28">
        <v>2</v>
      </c>
      <c r="J111" s="5">
        <v>2022</v>
      </c>
      <c r="K111" s="5">
        <v>2024</v>
      </c>
      <c r="L111" s="5">
        <f t="shared" ref="L111:L121" si="66">(K111-J111)-0.42</f>
        <v>1.58</v>
      </c>
      <c r="M111" s="5">
        <v>0</v>
      </c>
      <c r="N111" s="5" t="s">
        <v>224</v>
      </c>
      <c r="O111" s="5" t="s">
        <v>28</v>
      </c>
      <c r="P111" s="5">
        <v>0</v>
      </c>
      <c r="Q111" s="5"/>
      <c r="R111" s="5" t="s">
        <v>225</v>
      </c>
      <c r="S111" s="5" t="s">
        <v>226</v>
      </c>
      <c r="T111" s="6" t="s">
        <v>101</v>
      </c>
      <c r="U111" s="6">
        <v>0</v>
      </c>
      <c r="V111" s="25">
        <v>28</v>
      </c>
      <c r="W111" s="5">
        <v>4</v>
      </c>
      <c r="X111" s="7">
        <f t="shared" si="47"/>
        <v>7</v>
      </c>
      <c r="Y111" s="22">
        <f t="shared" si="48"/>
        <v>2</v>
      </c>
      <c r="Z111" s="15">
        <f t="shared" si="49"/>
        <v>5</v>
      </c>
      <c r="AA111" s="19">
        <v>2</v>
      </c>
      <c r="AB111" s="19">
        <v>1</v>
      </c>
      <c r="AC111" s="19">
        <v>2</v>
      </c>
      <c r="AD111" s="19">
        <v>0</v>
      </c>
      <c r="AE111" s="19">
        <v>2</v>
      </c>
      <c r="AF111" s="19">
        <v>0</v>
      </c>
      <c r="AG111" s="36">
        <f t="shared" si="41"/>
        <v>0</v>
      </c>
      <c r="AH111" s="36">
        <f t="shared" si="41"/>
        <v>0</v>
      </c>
      <c r="AI111" s="36">
        <f t="shared" si="41"/>
        <v>2</v>
      </c>
      <c r="AJ111" s="36">
        <f t="shared" si="41"/>
        <v>0</v>
      </c>
      <c r="AK111" s="36">
        <f t="shared" si="41"/>
        <v>0</v>
      </c>
      <c r="AL111" s="36">
        <f t="shared" si="41"/>
        <v>0</v>
      </c>
      <c r="AM111" s="7">
        <v>2</v>
      </c>
      <c r="AN111" s="7">
        <v>1</v>
      </c>
      <c r="AO111" s="7">
        <v>4</v>
      </c>
      <c r="AP111" s="7">
        <v>0</v>
      </c>
      <c r="AQ111" s="7">
        <v>2</v>
      </c>
      <c r="AR111" s="7">
        <v>0</v>
      </c>
      <c r="AS111" s="22">
        <f t="shared" si="50"/>
        <v>7</v>
      </c>
      <c r="AT111" s="22">
        <f t="shared" si="51"/>
        <v>1.2658227848101264</v>
      </c>
      <c r="AU111" s="5">
        <f t="shared" si="52"/>
        <v>2</v>
      </c>
      <c r="AV111" s="5">
        <f t="shared" si="53"/>
        <v>1.2658227848101264</v>
      </c>
      <c r="AW111" s="5">
        <f t="shared" si="54"/>
        <v>5</v>
      </c>
      <c r="AX111" s="5">
        <f t="shared" si="55"/>
        <v>0</v>
      </c>
      <c r="AY111" s="5">
        <f t="shared" si="56"/>
        <v>0</v>
      </c>
      <c r="AZ111" s="5">
        <f t="shared" si="57"/>
        <v>1.2658227848101264</v>
      </c>
      <c r="BA111" s="5">
        <f t="shared" si="58"/>
        <v>0</v>
      </c>
      <c r="BB111" s="5">
        <f t="shared" si="59"/>
        <v>0</v>
      </c>
      <c r="BC111" s="5">
        <f t="shared" si="60"/>
        <v>0</v>
      </c>
      <c r="BD111" s="6"/>
      <c r="BE111" s="6"/>
      <c r="BF111" s="59"/>
      <c r="BG111" s="6"/>
      <c r="BH111" s="5"/>
      <c r="BI111" s="5"/>
      <c r="BJ111" s="5" t="s">
        <v>224</v>
      </c>
    </row>
    <row r="112" spans="1:62">
      <c r="A112" s="2" t="s">
        <v>223</v>
      </c>
      <c r="B112" s="6" t="s">
        <v>32</v>
      </c>
      <c r="C112" s="6" t="s">
        <v>33</v>
      </c>
      <c r="D112" s="4">
        <v>99</v>
      </c>
      <c r="E112" s="4">
        <v>99</v>
      </c>
      <c r="F112" s="4">
        <v>2020</v>
      </c>
      <c r="G112" s="39">
        <v>1422</v>
      </c>
      <c r="H112" s="28">
        <v>0</v>
      </c>
      <c r="I112" s="28">
        <v>2</v>
      </c>
      <c r="J112" s="5">
        <v>2021</v>
      </c>
      <c r="K112" s="5">
        <v>2024</v>
      </c>
      <c r="L112" s="5">
        <f t="shared" si="66"/>
        <v>2.58</v>
      </c>
      <c r="M112" s="5">
        <v>0</v>
      </c>
      <c r="N112" s="5" t="s">
        <v>227</v>
      </c>
      <c r="O112" s="5" t="s">
        <v>35</v>
      </c>
      <c r="P112" s="5">
        <v>0</v>
      </c>
      <c r="Q112" s="5"/>
      <c r="R112" s="5" t="s">
        <v>225</v>
      </c>
      <c r="S112" s="5" t="s">
        <v>228</v>
      </c>
      <c r="T112" s="6" t="s">
        <v>84</v>
      </c>
      <c r="U112" s="6">
        <v>0</v>
      </c>
      <c r="V112" s="25">
        <v>53</v>
      </c>
      <c r="W112" s="5">
        <v>2</v>
      </c>
      <c r="X112" s="7">
        <f t="shared" si="47"/>
        <v>6</v>
      </c>
      <c r="Y112" s="22">
        <f t="shared" si="48"/>
        <v>1</v>
      </c>
      <c r="Z112" s="15">
        <f t="shared" si="49"/>
        <v>5</v>
      </c>
      <c r="AA112" s="19">
        <v>1</v>
      </c>
      <c r="AB112" s="19">
        <v>0</v>
      </c>
      <c r="AC112" s="19">
        <v>2</v>
      </c>
      <c r="AD112" s="19">
        <v>0</v>
      </c>
      <c r="AE112" s="19">
        <v>3</v>
      </c>
      <c r="AF112" s="19">
        <v>0</v>
      </c>
      <c r="AG112" s="36">
        <f t="shared" si="41"/>
        <v>0</v>
      </c>
      <c r="AH112" s="36">
        <f t="shared" si="41"/>
        <v>0</v>
      </c>
      <c r="AI112" s="36">
        <f t="shared" si="41"/>
        <v>1</v>
      </c>
      <c r="AJ112" s="36">
        <f t="shared" si="41"/>
        <v>0</v>
      </c>
      <c r="AK112" s="36">
        <f t="shared" si="41"/>
        <v>0</v>
      </c>
      <c r="AL112" s="36">
        <f t="shared" si="41"/>
        <v>0</v>
      </c>
      <c r="AM112" s="7">
        <v>1</v>
      </c>
      <c r="AN112" s="7">
        <v>0</v>
      </c>
      <c r="AO112" s="7">
        <v>3</v>
      </c>
      <c r="AP112" s="7">
        <v>0</v>
      </c>
      <c r="AQ112" s="7">
        <v>3</v>
      </c>
      <c r="AR112" s="7">
        <v>0</v>
      </c>
      <c r="AS112" s="22">
        <f t="shared" si="50"/>
        <v>6</v>
      </c>
      <c r="AT112" s="22">
        <f t="shared" si="51"/>
        <v>0.38759689922480617</v>
      </c>
      <c r="AU112" s="5">
        <f t="shared" si="52"/>
        <v>1</v>
      </c>
      <c r="AV112" s="5">
        <f t="shared" si="53"/>
        <v>0.38759689922480617</v>
      </c>
      <c r="AW112" s="5">
        <f t="shared" si="54"/>
        <v>5</v>
      </c>
      <c r="AX112" s="5">
        <f t="shared" si="55"/>
        <v>0</v>
      </c>
      <c r="AY112" s="5">
        <f t="shared" si="56"/>
        <v>0</v>
      </c>
      <c r="AZ112" s="5">
        <f t="shared" si="57"/>
        <v>0.38759689922480617</v>
      </c>
      <c r="BA112" s="5">
        <f t="shared" si="58"/>
        <v>0</v>
      </c>
      <c r="BB112" s="5">
        <f t="shared" si="59"/>
        <v>0</v>
      </c>
      <c r="BC112" s="5">
        <f t="shared" si="60"/>
        <v>0</v>
      </c>
      <c r="BD112" s="6"/>
      <c r="BE112" s="6"/>
      <c r="BF112" s="59"/>
      <c r="BG112" s="6"/>
      <c r="BH112" s="5"/>
      <c r="BI112" s="5"/>
      <c r="BJ112" s="5" t="s">
        <v>227</v>
      </c>
    </row>
    <row r="113" spans="1:62">
      <c r="A113" s="2" t="s">
        <v>229</v>
      </c>
      <c r="B113" s="6" t="s">
        <v>32</v>
      </c>
      <c r="C113" s="3" t="s">
        <v>32</v>
      </c>
      <c r="D113" s="4">
        <v>82</v>
      </c>
      <c r="E113" s="4">
        <v>74</v>
      </c>
      <c r="F113" s="4">
        <v>2009</v>
      </c>
      <c r="G113" s="39">
        <v>18</v>
      </c>
      <c r="H113" s="28">
        <v>0</v>
      </c>
      <c r="I113" s="28">
        <v>2</v>
      </c>
      <c r="J113" s="5">
        <v>2022</v>
      </c>
      <c r="K113" s="5">
        <v>2024</v>
      </c>
      <c r="L113" s="5">
        <f t="shared" si="66"/>
        <v>1.58</v>
      </c>
      <c r="M113" s="5">
        <v>0</v>
      </c>
      <c r="N113" s="5" t="s">
        <v>230</v>
      </c>
      <c r="O113" s="5" t="s">
        <v>35</v>
      </c>
      <c r="P113" s="5">
        <v>0</v>
      </c>
      <c r="Q113" s="5"/>
      <c r="R113" s="5" t="s">
        <v>225</v>
      </c>
      <c r="S113" s="5" t="s">
        <v>231</v>
      </c>
      <c r="T113" s="6" t="s">
        <v>101</v>
      </c>
      <c r="U113" s="6">
        <v>0</v>
      </c>
      <c r="V113" s="25">
        <v>35</v>
      </c>
      <c r="W113" s="5">
        <v>1</v>
      </c>
      <c r="X113" s="7">
        <f t="shared" si="47"/>
        <v>7</v>
      </c>
      <c r="Y113" s="22">
        <f t="shared" si="48"/>
        <v>5</v>
      </c>
      <c r="Z113" s="15">
        <v>2</v>
      </c>
      <c r="AA113" s="19">
        <v>2</v>
      </c>
      <c r="AB113" s="19">
        <v>2</v>
      </c>
      <c r="AC113" s="19">
        <v>2</v>
      </c>
      <c r="AD113" s="19">
        <v>0</v>
      </c>
      <c r="AE113" s="19">
        <v>1</v>
      </c>
      <c r="AF113" s="19">
        <v>1</v>
      </c>
      <c r="AG113" s="36">
        <f t="shared" si="41"/>
        <v>1</v>
      </c>
      <c r="AH113" s="36">
        <f t="shared" si="41"/>
        <v>0</v>
      </c>
      <c r="AI113" s="36">
        <f t="shared" si="41"/>
        <v>1</v>
      </c>
      <c r="AJ113" s="36">
        <f t="shared" si="41"/>
        <v>0</v>
      </c>
      <c r="AK113" s="36">
        <f t="shared" si="41"/>
        <v>0</v>
      </c>
      <c r="AL113" s="36">
        <f t="shared" si="41"/>
        <v>0</v>
      </c>
      <c r="AM113" s="7">
        <v>3</v>
      </c>
      <c r="AN113" s="7">
        <v>2</v>
      </c>
      <c r="AO113" s="7">
        <v>3</v>
      </c>
      <c r="AP113" s="7">
        <v>0</v>
      </c>
      <c r="AQ113" s="7">
        <v>1</v>
      </c>
      <c r="AR113" s="7">
        <v>1</v>
      </c>
      <c r="AS113" s="22">
        <f t="shared" si="50"/>
        <v>7</v>
      </c>
      <c r="AT113" s="22">
        <f t="shared" si="51"/>
        <v>3.1645569620253164</v>
      </c>
      <c r="AU113" s="5">
        <f t="shared" si="52"/>
        <v>5</v>
      </c>
      <c r="AV113" s="5">
        <f t="shared" si="53"/>
        <v>3.1645569620253164</v>
      </c>
      <c r="AW113" s="5">
        <f t="shared" si="54"/>
        <v>1</v>
      </c>
      <c r="AX113" s="5">
        <f t="shared" si="55"/>
        <v>0.63291139240506322</v>
      </c>
      <c r="AY113" s="5">
        <f t="shared" si="56"/>
        <v>0</v>
      </c>
      <c r="AZ113" s="5">
        <f t="shared" si="57"/>
        <v>0.63291139240506322</v>
      </c>
      <c r="BA113" s="5">
        <f t="shared" si="58"/>
        <v>0</v>
      </c>
      <c r="BB113" s="5">
        <f t="shared" si="59"/>
        <v>0</v>
      </c>
      <c r="BC113" s="5">
        <f t="shared" si="60"/>
        <v>0</v>
      </c>
      <c r="BD113" s="6"/>
      <c r="BE113" s="6"/>
      <c r="BF113" s="59"/>
      <c r="BG113" s="6"/>
      <c r="BH113" s="5"/>
      <c r="BI113" s="5"/>
      <c r="BJ113" s="5" t="s">
        <v>230</v>
      </c>
    </row>
    <row r="114" spans="1:62">
      <c r="A114" s="2" t="s">
        <v>229</v>
      </c>
      <c r="B114" s="6" t="s">
        <v>32</v>
      </c>
      <c r="C114" s="3" t="s">
        <v>32</v>
      </c>
      <c r="D114" s="4">
        <v>82</v>
      </c>
      <c r="E114" s="4">
        <v>74</v>
      </c>
      <c r="F114" s="4">
        <v>2009</v>
      </c>
      <c r="G114" s="39">
        <v>18</v>
      </c>
      <c r="H114" s="28">
        <v>0</v>
      </c>
      <c r="I114" s="28">
        <v>2</v>
      </c>
      <c r="J114" s="5">
        <v>2022</v>
      </c>
      <c r="K114" s="5">
        <v>2024</v>
      </c>
      <c r="L114" s="5">
        <f t="shared" si="66"/>
        <v>1.58</v>
      </c>
      <c r="M114" s="5">
        <v>0</v>
      </c>
      <c r="N114" s="5" t="s">
        <v>232</v>
      </c>
      <c r="O114" s="5" t="s">
        <v>35</v>
      </c>
      <c r="P114" s="5">
        <v>0</v>
      </c>
      <c r="Q114" s="5"/>
      <c r="R114" s="5" t="s">
        <v>225</v>
      </c>
      <c r="S114" s="5" t="s">
        <v>233</v>
      </c>
      <c r="T114" s="6" t="s">
        <v>84</v>
      </c>
      <c r="U114" s="6">
        <v>0</v>
      </c>
      <c r="V114" s="25">
        <v>96</v>
      </c>
      <c r="W114" s="5">
        <v>0</v>
      </c>
      <c r="X114" s="7">
        <f t="shared" si="47"/>
        <v>0</v>
      </c>
      <c r="Y114" s="22">
        <f t="shared" si="48"/>
        <v>0</v>
      </c>
      <c r="Z114" s="15">
        <f t="shared" ref="Z114:Z177" si="67">SUM(AB114:AF114)</f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36">
        <f t="shared" si="41"/>
        <v>0</v>
      </c>
      <c r="AH114" s="36">
        <f t="shared" si="41"/>
        <v>0</v>
      </c>
      <c r="AI114" s="36">
        <f t="shared" si="41"/>
        <v>0</v>
      </c>
      <c r="AJ114" s="36">
        <f t="shared" si="41"/>
        <v>0</v>
      </c>
      <c r="AK114" s="36">
        <f t="shared" si="41"/>
        <v>0</v>
      </c>
      <c r="AL114" s="36">
        <f t="shared" si="41"/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22">
        <f t="shared" si="50"/>
        <v>0</v>
      </c>
      <c r="AT114" s="22">
        <f t="shared" si="51"/>
        <v>0</v>
      </c>
      <c r="AU114" s="5">
        <f t="shared" si="52"/>
        <v>0</v>
      </c>
      <c r="AV114" s="5">
        <f t="shared" si="53"/>
        <v>0</v>
      </c>
      <c r="AW114" s="5">
        <f t="shared" si="54"/>
        <v>0</v>
      </c>
      <c r="AX114" s="5">
        <f t="shared" si="55"/>
        <v>0</v>
      </c>
      <c r="AY114" s="5">
        <f t="shared" si="56"/>
        <v>0</v>
      </c>
      <c r="AZ114" s="5">
        <f t="shared" si="57"/>
        <v>0</v>
      </c>
      <c r="BA114" s="5">
        <f t="shared" si="58"/>
        <v>0</v>
      </c>
      <c r="BB114" s="5">
        <f t="shared" si="59"/>
        <v>0</v>
      </c>
      <c r="BC114" s="5">
        <f t="shared" si="60"/>
        <v>0</v>
      </c>
      <c r="BD114" s="6"/>
      <c r="BE114" s="6"/>
      <c r="BF114" s="59"/>
      <c r="BG114" s="6"/>
      <c r="BH114" s="5"/>
      <c r="BI114" s="5"/>
      <c r="BJ114" s="5" t="s">
        <v>232</v>
      </c>
    </row>
    <row r="115" spans="1:62">
      <c r="A115" s="2" t="s">
        <v>229</v>
      </c>
      <c r="B115" s="6" t="s">
        <v>32</v>
      </c>
      <c r="C115" s="3" t="s">
        <v>32</v>
      </c>
      <c r="D115" s="4">
        <v>82</v>
      </c>
      <c r="E115" s="4">
        <v>74</v>
      </c>
      <c r="F115" s="4">
        <v>2009</v>
      </c>
      <c r="G115" s="39">
        <v>18</v>
      </c>
      <c r="H115" s="28">
        <v>0</v>
      </c>
      <c r="I115" s="28">
        <v>2</v>
      </c>
      <c r="J115" s="5">
        <v>2021</v>
      </c>
      <c r="K115" s="5">
        <v>2024</v>
      </c>
      <c r="L115" s="5">
        <f t="shared" si="66"/>
        <v>2.58</v>
      </c>
      <c r="M115" s="5">
        <v>0</v>
      </c>
      <c r="N115" s="5" t="s">
        <v>234</v>
      </c>
      <c r="O115" s="5" t="s">
        <v>28</v>
      </c>
      <c r="P115" s="5">
        <v>0</v>
      </c>
      <c r="Q115" s="5"/>
      <c r="R115" s="5" t="s">
        <v>225</v>
      </c>
      <c r="S115" s="5" t="s">
        <v>235</v>
      </c>
      <c r="T115" s="6" t="s">
        <v>84</v>
      </c>
      <c r="U115" s="6">
        <v>0</v>
      </c>
      <c r="V115" s="25">
        <v>78</v>
      </c>
      <c r="W115" s="5">
        <v>1</v>
      </c>
      <c r="X115" s="7">
        <f t="shared" si="47"/>
        <v>2</v>
      </c>
      <c r="Y115" s="22">
        <f t="shared" si="48"/>
        <v>2</v>
      </c>
      <c r="Z115" s="15">
        <f t="shared" si="67"/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36">
        <f t="shared" ref="AG115:AL157" si="68">AM115-AA115</f>
        <v>0</v>
      </c>
      <c r="AH115" s="36">
        <f t="shared" si="68"/>
        <v>0</v>
      </c>
      <c r="AI115" s="36">
        <f t="shared" si="68"/>
        <v>1</v>
      </c>
      <c r="AJ115" s="36">
        <f t="shared" si="68"/>
        <v>0</v>
      </c>
      <c r="AK115" s="36">
        <f t="shared" si="68"/>
        <v>0</v>
      </c>
      <c r="AL115" s="36">
        <f t="shared" si="68"/>
        <v>1</v>
      </c>
      <c r="AM115" s="7">
        <v>0</v>
      </c>
      <c r="AN115" s="7">
        <v>0</v>
      </c>
      <c r="AO115" s="7">
        <v>1</v>
      </c>
      <c r="AP115" s="7">
        <v>0</v>
      </c>
      <c r="AQ115" s="7">
        <v>0</v>
      </c>
      <c r="AR115" s="7">
        <v>1</v>
      </c>
      <c r="AS115" s="22">
        <f t="shared" si="50"/>
        <v>2</v>
      </c>
      <c r="AT115" s="22">
        <f t="shared" si="51"/>
        <v>0.77519379844961234</v>
      </c>
      <c r="AU115" s="5">
        <f t="shared" si="52"/>
        <v>1</v>
      </c>
      <c r="AV115" s="5">
        <f t="shared" si="53"/>
        <v>0.38759689922480617</v>
      </c>
      <c r="AW115" s="5">
        <f t="shared" si="54"/>
        <v>0</v>
      </c>
      <c r="AX115" s="5">
        <f t="shared" si="55"/>
        <v>0</v>
      </c>
      <c r="AY115" s="5">
        <f t="shared" si="56"/>
        <v>0</v>
      </c>
      <c r="AZ115" s="5">
        <f t="shared" si="57"/>
        <v>0.38759689922480617</v>
      </c>
      <c r="BA115" s="5">
        <f t="shared" si="58"/>
        <v>0</v>
      </c>
      <c r="BB115" s="5">
        <f t="shared" si="59"/>
        <v>0</v>
      </c>
      <c r="BC115" s="5">
        <f t="shared" si="60"/>
        <v>0.38759689922480617</v>
      </c>
      <c r="BD115" s="6"/>
      <c r="BE115" s="6"/>
      <c r="BF115" s="59"/>
      <c r="BG115" s="6"/>
      <c r="BH115" s="6"/>
      <c r="BI115" s="6"/>
      <c r="BJ115" s="5" t="s">
        <v>234</v>
      </c>
    </row>
    <row r="116" spans="1:62">
      <c r="A116" s="2" t="s">
        <v>229</v>
      </c>
      <c r="B116" s="6" t="s">
        <v>32</v>
      </c>
      <c r="C116" s="3" t="s">
        <v>32</v>
      </c>
      <c r="D116" s="4">
        <v>82</v>
      </c>
      <c r="E116" s="4">
        <v>74</v>
      </c>
      <c r="F116" s="4">
        <v>2009</v>
      </c>
      <c r="G116" s="39">
        <v>18</v>
      </c>
      <c r="H116" s="28">
        <v>0</v>
      </c>
      <c r="I116" s="28">
        <v>2</v>
      </c>
      <c r="J116" s="6">
        <v>2021</v>
      </c>
      <c r="K116" s="5">
        <v>2024</v>
      </c>
      <c r="L116" s="5">
        <f t="shared" si="66"/>
        <v>2.58</v>
      </c>
      <c r="M116" s="5">
        <v>0</v>
      </c>
      <c r="N116" s="6" t="s">
        <v>236</v>
      </c>
      <c r="O116" s="6" t="s">
        <v>35</v>
      </c>
      <c r="P116" s="6">
        <v>1</v>
      </c>
      <c r="Q116" s="6" t="s">
        <v>237</v>
      </c>
      <c r="R116" s="5" t="s">
        <v>54</v>
      </c>
      <c r="S116" s="6" t="s">
        <v>238</v>
      </c>
      <c r="T116" s="6"/>
      <c r="U116" s="6">
        <v>0</v>
      </c>
      <c r="V116" s="25"/>
      <c r="W116" s="6">
        <v>4</v>
      </c>
      <c r="X116" s="7">
        <f t="shared" si="47"/>
        <v>25</v>
      </c>
      <c r="Y116" s="22">
        <f t="shared" si="48"/>
        <v>14</v>
      </c>
      <c r="Z116" s="15">
        <f t="shared" si="67"/>
        <v>11</v>
      </c>
      <c r="AA116" s="19">
        <v>4</v>
      </c>
      <c r="AB116" s="19">
        <v>2</v>
      </c>
      <c r="AC116" s="19">
        <v>4</v>
      </c>
      <c r="AD116" s="19">
        <v>1</v>
      </c>
      <c r="AE116" s="19">
        <v>1</v>
      </c>
      <c r="AF116" s="19">
        <v>3</v>
      </c>
      <c r="AG116" s="36">
        <f t="shared" si="68"/>
        <v>0</v>
      </c>
      <c r="AH116" s="36">
        <f t="shared" si="68"/>
        <v>0</v>
      </c>
      <c r="AI116" s="36">
        <f t="shared" si="68"/>
        <v>11</v>
      </c>
      <c r="AJ116" s="36">
        <f t="shared" si="68"/>
        <v>2</v>
      </c>
      <c r="AK116" s="36">
        <f t="shared" si="68"/>
        <v>1</v>
      </c>
      <c r="AL116" s="36">
        <f t="shared" si="68"/>
        <v>0</v>
      </c>
      <c r="AM116" s="7">
        <v>4</v>
      </c>
      <c r="AN116" s="7">
        <v>2</v>
      </c>
      <c r="AO116" s="7">
        <v>15</v>
      </c>
      <c r="AP116" s="7">
        <v>3</v>
      </c>
      <c r="AQ116" s="7">
        <v>2</v>
      </c>
      <c r="AR116" s="7">
        <v>3</v>
      </c>
      <c r="AS116" s="22">
        <f t="shared" si="50"/>
        <v>25</v>
      </c>
      <c r="AT116" s="22">
        <f t="shared" si="51"/>
        <v>5.4263565891472867</v>
      </c>
      <c r="AU116" s="5">
        <f t="shared" si="52"/>
        <v>14</v>
      </c>
      <c r="AV116" s="5">
        <f t="shared" si="53"/>
        <v>5.4263565891472867</v>
      </c>
      <c r="AW116" s="5">
        <f t="shared" si="54"/>
        <v>8</v>
      </c>
      <c r="AX116" s="5">
        <f t="shared" si="55"/>
        <v>0</v>
      </c>
      <c r="AY116" s="5">
        <f t="shared" si="56"/>
        <v>0</v>
      </c>
      <c r="AZ116" s="5">
        <f t="shared" si="57"/>
        <v>4.2635658914728678</v>
      </c>
      <c r="BA116" s="5">
        <f t="shared" si="58"/>
        <v>0.77519379844961234</v>
      </c>
      <c r="BB116" s="5">
        <f t="shared" si="59"/>
        <v>0.38759689922480617</v>
      </c>
      <c r="BC116" s="5">
        <f t="shared" si="60"/>
        <v>0</v>
      </c>
      <c r="BD116" s="6"/>
      <c r="BE116" s="6"/>
      <c r="BF116" s="59"/>
      <c r="BG116" s="6"/>
      <c r="BH116" s="6"/>
      <c r="BI116" s="6"/>
      <c r="BJ116" s="6" t="s">
        <v>236</v>
      </c>
    </row>
    <row r="117" spans="1:62">
      <c r="A117" s="2" t="s">
        <v>229</v>
      </c>
      <c r="B117" s="6" t="s">
        <v>32</v>
      </c>
      <c r="C117" s="3" t="s">
        <v>32</v>
      </c>
      <c r="D117" s="4">
        <v>82</v>
      </c>
      <c r="E117" s="4">
        <v>74</v>
      </c>
      <c r="F117" s="4">
        <v>2009</v>
      </c>
      <c r="G117" s="39">
        <v>18</v>
      </c>
      <c r="H117" s="28">
        <v>0</v>
      </c>
      <c r="I117" s="28">
        <v>2</v>
      </c>
      <c r="J117" s="5">
        <v>2020</v>
      </c>
      <c r="K117" s="5">
        <v>2024</v>
      </c>
      <c r="L117" s="5">
        <f t="shared" si="66"/>
        <v>3.58</v>
      </c>
      <c r="M117" s="5">
        <v>0</v>
      </c>
      <c r="N117" s="5" t="s">
        <v>239</v>
      </c>
      <c r="O117" s="5" t="s">
        <v>28</v>
      </c>
      <c r="P117" s="5">
        <v>0</v>
      </c>
      <c r="Q117" s="6"/>
      <c r="R117" s="5" t="s">
        <v>225</v>
      </c>
      <c r="S117" s="5" t="s">
        <v>240</v>
      </c>
      <c r="T117" s="6" t="s">
        <v>84</v>
      </c>
      <c r="U117" s="6">
        <v>0</v>
      </c>
      <c r="V117" s="25">
        <v>64</v>
      </c>
      <c r="W117" s="5">
        <v>1</v>
      </c>
      <c r="X117" s="7">
        <f t="shared" si="47"/>
        <v>2</v>
      </c>
      <c r="Y117" s="22">
        <f t="shared" si="48"/>
        <v>1</v>
      </c>
      <c r="Z117" s="15">
        <f t="shared" si="67"/>
        <v>1</v>
      </c>
      <c r="AA117" s="19">
        <v>0</v>
      </c>
      <c r="AB117" s="19">
        <v>0</v>
      </c>
      <c r="AC117" s="19">
        <v>0</v>
      </c>
      <c r="AD117" s="19">
        <v>1</v>
      </c>
      <c r="AE117" s="19">
        <v>0</v>
      </c>
      <c r="AF117" s="19">
        <v>0</v>
      </c>
      <c r="AG117" s="36">
        <f t="shared" si="68"/>
        <v>1</v>
      </c>
      <c r="AH117" s="36">
        <f t="shared" si="68"/>
        <v>0</v>
      </c>
      <c r="AI117" s="36">
        <f t="shared" si="68"/>
        <v>1</v>
      </c>
      <c r="AJ117" s="36">
        <f t="shared" si="68"/>
        <v>0</v>
      </c>
      <c r="AK117" s="36">
        <f t="shared" si="68"/>
        <v>0</v>
      </c>
      <c r="AL117" s="36">
        <f t="shared" si="68"/>
        <v>0</v>
      </c>
      <c r="AM117" s="7">
        <v>1</v>
      </c>
      <c r="AN117" s="7">
        <v>0</v>
      </c>
      <c r="AO117" s="7">
        <v>1</v>
      </c>
      <c r="AP117" s="7">
        <v>1</v>
      </c>
      <c r="AQ117" s="7">
        <v>0</v>
      </c>
      <c r="AR117" s="7">
        <v>0</v>
      </c>
      <c r="AS117" s="22">
        <f t="shared" si="50"/>
        <v>2</v>
      </c>
      <c r="AT117" s="22">
        <f t="shared" si="51"/>
        <v>0.27932960893854747</v>
      </c>
      <c r="AU117" s="5">
        <f t="shared" si="52"/>
        <v>1</v>
      </c>
      <c r="AV117" s="5">
        <f t="shared" si="53"/>
        <v>0.27932960893854747</v>
      </c>
      <c r="AW117" s="5">
        <f t="shared" si="54"/>
        <v>1</v>
      </c>
      <c r="AX117" s="5">
        <f t="shared" si="55"/>
        <v>0.27932960893854747</v>
      </c>
      <c r="AY117" s="5">
        <f t="shared" si="56"/>
        <v>0</v>
      </c>
      <c r="AZ117" s="5">
        <f t="shared" si="57"/>
        <v>0.27932960893854747</v>
      </c>
      <c r="BA117" s="5">
        <f t="shared" si="58"/>
        <v>0</v>
      </c>
      <c r="BB117" s="5">
        <f t="shared" si="59"/>
        <v>0</v>
      </c>
      <c r="BC117" s="5">
        <f t="shared" si="60"/>
        <v>0</v>
      </c>
      <c r="BD117" s="6"/>
      <c r="BE117" s="6"/>
      <c r="BF117" s="59"/>
      <c r="BG117" s="6"/>
      <c r="BH117" s="6"/>
      <c r="BI117" s="6"/>
      <c r="BJ117" s="5" t="s">
        <v>239</v>
      </c>
    </row>
    <row r="118" spans="1:62">
      <c r="A118" s="2" t="s">
        <v>229</v>
      </c>
      <c r="B118" s="6" t="s">
        <v>32</v>
      </c>
      <c r="C118" s="3" t="s">
        <v>32</v>
      </c>
      <c r="D118" s="4">
        <v>82</v>
      </c>
      <c r="E118" s="4">
        <v>74</v>
      </c>
      <c r="F118" s="4">
        <v>2009</v>
      </c>
      <c r="G118" s="39">
        <v>18</v>
      </c>
      <c r="H118" s="28">
        <v>0</v>
      </c>
      <c r="I118" s="28">
        <v>2</v>
      </c>
      <c r="J118" s="5">
        <v>2020</v>
      </c>
      <c r="K118" s="5">
        <v>2024</v>
      </c>
      <c r="L118" s="5">
        <f t="shared" si="66"/>
        <v>3.58</v>
      </c>
      <c r="M118" s="5">
        <v>0</v>
      </c>
      <c r="N118" s="5" t="s">
        <v>241</v>
      </c>
      <c r="O118" s="5" t="s">
        <v>35</v>
      </c>
      <c r="P118" s="5">
        <v>0</v>
      </c>
      <c r="Q118" s="6"/>
      <c r="R118" s="5" t="s">
        <v>225</v>
      </c>
      <c r="S118" s="5" t="s">
        <v>583</v>
      </c>
      <c r="T118" s="6" t="s">
        <v>218</v>
      </c>
      <c r="U118" s="6">
        <v>0</v>
      </c>
      <c r="V118" s="25">
        <v>18</v>
      </c>
      <c r="W118" s="5">
        <v>5</v>
      </c>
      <c r="X118" s="7">
        <f t="shared" si="47"/>
        <v>13</v>
      </c>
      <c r="Y118" s="22">
        <f t="shared" si="48"/>
        <v>9</v>
      </c>
      <c r="Z118" s="15">
        <f t="shared" si="67"/>
        <v>4</v>
      </c>
      <c r="AA118" s="19">
        <v>1</v>
      </c>
      <c r="AB118" s="19">
        <v>0</v>
      </c>
      <c r="AC118" s="19">
        <v>4</v>
      </c>
      <c r="AD118" s="19">
        <v>0</v>
      </c>
      <c r="AE118" s="19">
        <v>0</v>
      </c>
      <c r="AF118" s="19">
        <v>0</v>
      </c>
      <c r="AG118" s="36">
        <f t="shared" si="68"/>
        <v>0</v>
      </c>
      <c r="AH118" s="36">
        <f t="shared" si="68"/>
        <v>0</v>
      </c>
      <c r="AI118" s="36">
        <f t="shared" si="68"/>
        <v>6</v>
      </c>
      <c r="AJ118" s="36">
        <f t="shared" si="68"/>
        <v>1</v>
      </c>
      <c r="AK118" s="36">
        <f t="shared" si="68"/>
        <v>1</v>
      </c>
      <c r="AL118" s="36">
        <f t="shared" si="68"/>
        <v>1</v>
      </c>
      <c r="AM118" s="7">
        <v>1</v>
      </c>
      <c r="AN118" s="7">
        <v>0</v>
      </c>
      <c r="AO118" s="7">
        <v>10</v>
      </c>
      <c r="AP118" s="7">
        <v>1</v>
      </c>
      <c r="AQ118" s="7">
        <v>1</v>
      </c>
      <c r="AR118" s="7">
        <v>1</v>
      </c>
      <c r="AS118" s="22">
        <f t="shared" si="50"/>
        <v>13</v>
      </c>
      <c r="AT118" s="22">
        <f t="shared" si="51"/>
        <v>2.5139664804469275</v>
      </c>
      <c r="AU118" s="5">
        <f t="shared" si="52"/>
        <v>8</v>
      </c>
      <c r="AV118" s="5">
        <f t="shared" si="53"/>
        <v>2.2346368715083798</v>
      </c>
      <c r="AW118" s="5">
        <f t="shared" si="54"/>
        <v>4</v>
      </c>
      <c r="AX118" s="5">
        <f t="shared" si="55"/>
        <v>0</v>
      </c>
      <c r="AY118" s="5">
        <f t="shared" si="56"/>
        <v>0</v>
      </c>
      <c r="AZ118" s="5">
        <f t="shared" si="57"/>
        <v>1.6759776536312849</v>
      </c>
      <c r="BA118" s="5">
        <f t="shared" si="58"/>
        <v>0.27932960893854747</v>
      </c>
      <c r="BB118" s="5">
        <f t="shared" si="59"/>
        <v>0.27932960893854747</v>
      </c>
      <c r="BC118" s="5">
        <f t="shared" si="60"/>
        <v>0.27932960893854747</v>
      </c>
      <c r="BD118" s="6"/>
      <c r="BE118" s="6"/>
      <c r="BF118" s="59"/>
      <c r="BG118" s="6"/>
      <c r="BH118" s="6"/>
      <c r="BI118" s="6"/>
      <c r="BJ118" s="5" t="s">
        <v>241</v>
      </c>
    </row>
    <row r="119" spans="1:62">
      <c r="A119" s="2" t="s">
        <v>229</v>
      </c>
      <c r="B119" s="6" t="s">
        <v>32</v>
      </c>
      <c r="C119" s="3" t="s">
        <v>32</v>
      </c>
      <c r="D119" s="4">
        <v>82</v>
      </c>
      <c r="E119" s="4">
        <v>74</v>
      </c>
      <c r="F119" s="4">
        <v>2009</v>
      </c>
      <c r="G119" s="39">
        <v>18</v>
      </c>
      <c r="H119" s="28">
        <v>0</v>
      </c>
      <c r="I119" s="28">
        <v>2</v>
      </c>
      <c r="J119" s="24">
        <v>2019</v>
      </c>
      <c r="K119" s="5">
        <v>2024</v>
      </c>
      <c r="L119" s="5">
        <f t="shared" si="66"/>
        <v>4.58</v>
      </c>
      <c r="M119" s="5">
        <v>0</v>
      </c>
      <c r="N119" s="5" t="s">
        <v>242</v>
      </c>
      <c r="O119" s="5" t="s">
        <v>35</v>
      </c>
      <c r="P119" s="5">
        <v>0</v>
      </c>
      <c r="Q119" s="6"/>
      <c r="R119" s="5" t="s">
        <v>225</v>
      </c>
      <c r="S119" s="5" t="s">
        <v>583</v>
      </c>
      <c r="T119" s="6" t="s">
        <v>218</v>
      </c>
      <c r="U119" s="6">
        <v>0</v>
      </c>
      <c r="V119" s="25">
        <v>18</v>
      </c>
      <c r="W119" s="5">
        <v>6</v>
      </c>
      <c r="X119" s="7">
        <f t="shared" si="47"/>
        <v>16</v>
      </c>
      <c r="Y119" s="22">
        <f t="shared" si="48"/>
        <v>9</v>
      </c>
      <c r="Z119" s="15">
        <f t="shared" si="67"/>
        <v>7</v>
      </c>
      <c r="AA119" s="19">
        <v>5</v>
      </c>
      <c r="AB119" s="19">
        <v>0</v>
      </c>
      <c r="AC119" s="19">
        <v>5</v>
      </c>
      <c r="AD119" s="19">
        <v>1</v>
      </c>
      <c r="AE119" s="19">
        <v>0</v>
      </c>
      <c r="AF119" s="19">
        <v>1</v>
      </c>
      <c r="AG119" s="36">
        <f t="shared" ref="AG119:AL119" si="69">AM119-AA119</f>
        <v>2</v>
      </c>
      <c r="AH119" s="36">
        <f t="shared" si="69"/>
        <v>0</v>
      </c>
      <c r="AI119" s="36">
        <f t="shared" si="69"/>
        <v>4</v>
      </c>
      <c r="AJ119" s="36">
        <f t="shared" si="69"/>
        <v>2</v>
      </c>
      <c r="AK119" s="36">
        <f t="shared" si="69"/>
        <v>1</v>
      </c>
      <c r="AL119" s="36">
        <f t="shared" si="69"/>
        <v>2</v>
      </c>
      <c r="AM119" s="7">
        <v>7</v>
      </c>
      <c r="AN119" s="7">
        <v>0</v>
      </c>
      <c r="AO119" s="7">
        <v>9</v>
      </c>
      <c r="AP119" s="7">
        <v>3</v>
      </c>
      <c r="AQ119" s="7">
        <v>1</v>
      </c>
      <c r="AR119" s="7">
        <v>3</v>
      </c>
      <c r="AS119" s="22">
        <f t="shared" si="50"/>
        <v>16</v>
      </c>
      <c r="AT119" s="22">
        <f t="shared" si="51"/>
        <v>1.965065502183406</v>
      </c>
      <c r="AU119" s="5">
        <f t="shared" si="52"/>
        <v>7</v>
      </c>
      <c r="AV119" s="5">
        <f t="shared" si="53"/>
        <v>1.5283842794759825</v>
      </c>
      <c r="AW119" s="5">
        <f t="shared" si="54"/>
        <v>6</v>
      </c>
      <c r="AX119" s="5">
        <f t="shared" si="55"/>
        <v>0.4366812227074236</v>
      </c>
      <c r="AY119" s="5">
        <f t="shared" si="56"/>
        <v>0</v>
      </c>
      <c r="AZ119" s="5">
        <f t="shared" si="57"/>
        <v>0.8733624454148472</v>
      </c>
      <c r="BA119" s="5">
        <f t="shared" si="58"/>
        <v>0.4366812227074236</v>
      </c>
      <c r="BB119" s="5">
        <f t="shared" si="59"/>
        <v>0.2183406113537118</v>
      </c>
      <c r="BC119" s="5">
        <f t="shared" si="60"/>
        <v>0.4366812227074236</v>
      </c>
      <c r="BD119" s="6"/>
      <c r="BE119" s="6"/>
      <c r="BF119" s="59"/>
      <c r="BG119" s="6"/>
      <c r="BH119" s="6"/>
      <c r="BI119" s="6"/>
      <c r="BJ119" s="5" t="s">
        <v>242</v>
      </c>
    </row>
    <row r="120" spans="1:62">
      <c r="A120" s="2" t="s">
        <v>229</v>
      </c>
      <c r="B120" s="6" t="s">
        <v>32</v>
      </c>
      <c r="C120" s="3" t="s">
        <v>32</v>
      </c>
      <c r="D120" s="4">
        <v>82</v>
      </c>
      <c r="E120" s="4">
        <v>74</v>
      </c>
      <c r="F120" s="4">
        <v>2009</v>
      </c>
      <c r="G120" s="39">
        <v>18</v>
      </c>
      <c r="H120" s="28">
        <v>0</v>
      </c>
      <c r="I120" s="28">
        <v>2</v>
      </c>
      <c r="J120" s="5">
        <v>2019</v>
      </c>
      <c r="K120" s="5">
        <v>2024</v>
      </c>
      <c r="L120" s="5">
        <f t="shared" si="66"/>
        <v>4.58</v>
      </c>
      <c r="M120" s="5">
        <v>0</v>
      </c>
      <c r="N120" s="5" t="s">
        <v>243</v>
      </c>
      <c r="O120" s="5" t="s">
        <v>35</v>
      </c>
      <c r="P120" s="5">
        <v>0</v>
      </c>
      <c r="Q120" s="6"/>
      <c r="R120" s="5" t="s">
        <v>225</v>
      </c>
      <c r="S120" s="5" t="s">
        <v>583</v>
      </c>
      <c r="T120" s="6" t="s">
        <v>218</v>
      </c>
      <c r="U120" s="6">
        <v>0</v>
      </c>
      <c r="V120" s="25">
        <v>18</v>
      </c>
      <c r="W120" s="5">
        <v>3</v>
      </c>
      <c r="X120" s="7">
        <f t="shared" si="47"/>
        <v>7</v>
      </c>
      <c r="Y120" s="22">
        <f t="shared" si="48"/>
        <v>6</v>
      </c>
      <c r="Z120" s="15">
        <f t="shared" si="67"/>
        <v>1</v>
      </c>
      <c r="AA120" s="19">
        <v>0</v>
      </c>
      <c r="AB120" s="19">
        <v>0</v>
      </c>
      <c r="AC120" s="19">
        <v>1</v>
      </c>
      <c r="AD120" s="19">
        <v>0</v>
      </c>
      <c r="AE120" s="19">
        <v>0</v>
      </c>
      <c r="AF120" s="19">
        <v>0</v>
      </c>
      <c r="AG120" s="36">
        <f t="shared" si="68"/>
        <v>4</v>
      </c>
      <c r="AH120" s="36">
        <f t="shared" si="68"/>
        <v>0</v>
      </c>
      <c r="AI120" s="36">
        <f t="shared" si="68"/>
        <v>2</v>
      </c>
      <c r="AJ120" s="36">
        <f t="shared" si="68"/>
        <v>4</v>
      </c>
      <c r="AK120" s="36">
        <f t="shared" si="68"/>
        <v>0</v>
      </c>
      <c r="AL120" s="36">
        <f t="shared" si="68"/>
        <v>0</v>
      </c>
      <c r="AM120" s="7">
        <v>4</v>
      </c>
      <c r="AN120" s="7">
        <v>0</v>
      </c>
      <c r="AO120" s="7">
        <v>3</v>
      </c>
      <c r="AP120" s="7">
        <v>4</v>
      </c>
      <c r="AQ120" s="7">
        <v>0</v>
      </c>
      <c r="AR120" s="7">
        <v>0</v>
      </c>
      <c r="AS120" s="22">
        <f t="shared" si="50"/>
        <v>7</v>
      </c>
      <c r="AT120" s="22">
        <f t="shared" si="51"/>
        <v>1.3100436681222707</v>
      </c>
      <c r="AU120" s="5">
        <f t="shared" si="52"/>
        <v>6</v>
      </c>
      <c r="AV120" s="5">
        <f t="shared" si="53"/>
        <v>1.3100436681222707</v>
      </c>
      <c r="AW120" s="5">
        <f t="shared" si="54"/>
        <v>1</v>
      </c>
      <c r="AX120" s="5">
        <f t="shared" si="55"/>
        <v>0.8733624454148472</v>
      </c>
      <c r="AY120" s="5">
        <f t="shared" si="56"/>
        <v>0</v>
      </c>
      <c r="AZ120" s="5">
        <f t="shared" si="57"/>
        <v>0.4366812227074236</v>
      </c>
      <c r="BA120" s="5">
        <f t="shared" si="58"/>
        <v>0.8733624454148472</v>
      </c>
      <c r="BB120" s="5">
        <f t="shared" si="59"/>
        <v>0</v>
      </c>
      <c r="BC120" s="5">
        <f t="shared" si="60"/>
        <v>0</v>
      </c>
      <c r="BD120" s="6"/>
      <c r="BE120" s="6"/>
      <c r="BF120" s="59"/>
      <c r="BG120" s="6"/>
      <c r="BH120" s="5"/>
      <c r="BI120" s="5"/>
      <c r="BJ120" s="5" t="s">
        <v>243</v>
      </c>
    </row>
    <row r="121" spans="1:62">
      <c r="A121" s="2" t="s">
        <v>229</v>
      </c>
      <c r="B121" s="6" t="s">
        <v>32</v>
      </c>
      <c r="C121" s="3" t="s">
        <v>32</v>
      </c>
      <c r="D121" s="4">
        <v>82</v>
      </c>
      <c r="E121" s="4">
        <v>74</v>
      </c>
      <c r="F121" s="4">
        <v>2009</v>
      </c>
      <c r="G121" s="39">
        <v>18</v>
      </c>
      <c r="H121" s="28">
        <v>0</v>
      </c>
      <c r="I121" s="28">
        <v>2</v>
      </c>
      <c r="J121" s="5">
        <v>2018</v>
      </c>
      <c r="K121" s="5">
        <v>2024</v>
      </c>
      <c r="L121" s="5">
        <f t="shared" si="66"/>
        <v>5.58</v>
      </c>
      <c r="M121" s="5">
        <v>0</v>
      </c>
      <c r="N121" s="5" t="s">
        <v>244</v>
      </c>
      <c r="O121" s="5" t="s">
        <v>28</v>
      </c>
      <c r="P121" s="5">
        <v>0</v>
      </c>
      <c r="Q121" s="6"/>
      <c r="R121" s="5" t="s">
        <v>30</v>
      </c>
      <c r="S121" s="5" t="s">
        <v>245</v>
      </c>
      <c r="T121" s="6" t="s">
        <v>84</v>
      </c>
      <c r="U121" s="6">
        <v>0</v>
      </c>
      <c r="V121" s="25">
        <v>93</v>
      </c>
      <c r="W121" s="5">
        <v>7</v>
      </c>
      <c r="X121" s="7">
        <f t="shared" si="47"/>
        <v>27</v>
      </c>
      <c r="Y121" s="22">
        <f t="shared" si="48"/>
        <v>27</v>
      </c>
      <c r="Z121" s="15">
        <f t="shared" si="67"/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36">
        <f t="shared" si="68"/>
        <v>13</v>
      </c>
      <c r="AH121" s="36">
        <f t="shared" si="68"/>
        <v>0</v>
      </c>
      <c r="AI121" s="36">
        <f t="shared" si="68"/>
        <v>10</v>
      </c>
      <c r="AJ121" s="36">
        <f t="shared" si="68"/>
        <v>3</v>
      </c>
      <c r="AK121" s="36">
        <f t="shared" si="68"/>
        <v>11</v>
      </c>
      <c r="AL121" s="36">
        <f t="shared" si="68"/>
        <v>3</v>
      </c>
      <c r="AM121" s="7">
        <v>13</v>
      </c>
      <c r="AN121" s="7">
        <v>0</v>
      </c>
      <c r="AO121" s="7">
        <v>10</v>
      </c>
      <c r="AP121" s="7">
        <v>3</v>
      </c>
      <c r="AQ121" s="7">
        <v>11</v>
      </c>
      <c r="AR121" s="7">
        <v>3</v>
      </c>
      <c r="AS121" s="22">
        <f t="shared" si="50"/>
        <v>27</v>
      </c>
      <c r="AT121" s="22">
        <f t="shared" si="51"/>
        <v>4.838709677419355</v>
      </c>
      <c r="AU121" s="5">
        <f t="shared" si="52"/>
        <v>24</v>
      </c>
      <c r="AV121" s="5">
        <f t="shared" si="53"/>
        <v>4.301075268817204</v>
      </c>
      <c r="AW121" s="5">
        <f t="shared" si="54"/>
        <v>0</v>
      </c>
      <c r="AX121" s="5">
        <f t="shared" si="55"/>
        <v>2.3297491039426523</v>
      </c>
      <c r="AY121" s="5">
        <f t="shared" si="56"/>
        <v>0</v>
      </c>
      <c r="AZ121" s="5">
        <f t="shared" si="57"/>
        <v>1.7921146953405018</v>
      </c>
      <c r="BA121" s="5">
        <f t="shared" si="58"/>
        <v>0.5376344086021505</v>
      </c>
      <c r="BB121" s="5">
        <f t="shared" si="59"/>
        <v>1.9713261648745519</v>
      </c>
      <c r="BC121" s="5">
        <f t="shared" si="60"/>
        <v>0.5376344086021505</v>
      </c>
      <c r="BD121" s="6"/>
      <c r="BE121" s="6"/>
      <c r="BF121" s="59"/>
      <c r="BG121" s="6"/>
      <c r="BH121" s="5"/>
      <c r="BI121" s="5"/>
      <c r="BJ121" s="5" t="s">
        <v>244</v>
      </c>
    </row>
    <row r="122" spans="1:62">
      <c r="A122" s="2" t="s">
        <v>229</v>
      </c>
      <c r="B122" s="6" t="s">
        <v>32</v>
      </c>
      <c r="C122" s="3" t="s">
        <v>32</v>
      </c>
      <c r="D122" s="4">
        <v>82</v>
      </c>
      <c r="E122" s="4">
        <v>74</v>
      </c>
      <c r="F122" s="4">
        <v>2009</v>
      </c>
      <c r="G122" s="39">
        <v>18</v>
      </c>
      <c r="H122" s="28">
        <v>0</v>
      </c>
      <c r="I122" s="28">
        <v>2</v>
      </c>
      <c r="J122" s="5">
        <v>2017</v>
      </c>
      <c r="K122" s="5">
        <v>2023</v>
      </c>
      <c r="L122" s="5">
        <f>(K122-J122)</f>
        <v>6</v>
      </c>
      <c r="M122" s="5">
        <v>1</v>
      </c>
      <c r="N122" s="5" t="s">
        <v>584</v>
      </c>
      <c r="O122" s="5" t="s">
        <v>28</v>
      </c>
      <c r="P122" s="5">
        <v>1</v>
      </c>
      <c r="Q122" s="5" t="s">
        <v>246</v>
      </c>
      <c r="R122" s="5" t="s">
        <v>54</v>
      </c>
      <c r="S122" s="5" t="s">
        <v>247</v>
      </c>
      <c r="T122" s="6"/>
      <c r="U122" s="6">
        <v>0</v>
      </c>
      <c r="V122" s="25"/>
      <c r="W122" s="5">
        <v>10</v>
      </c>
      <c r="X122" s="7">
        <f t="shared" si="47"/>
        <v>21</v>
      </c>
      <c r="Y122" s="22">
        <f t="shared" si="48"/>
        <v>19</v>
      </c>
      <c r="Z122" s="15">
        <f t="shared" si="67"/>
        <v>2</v>
      </c>
      <c r="AA122" s="19">
        <v>1</v>
      </c>
      <c r="AB122" s="19">
        <v>0</v>
      </c>
      <c r="AC122" s="19">
        <v>1</v>
      </c>
      <c r="AD122" s="19">
        <v>1</v>
      </c>
      <c r="AE122" s="19">
        <v>0</v>
      </c>
      <c r="AF122" s="19">
        <v>0</v>
      </c>
      <c r="AG122" s="36">
        <f t="shared" si="68"/>
        <v>4</v>
      </c>
      <c r="AH122" s="36">
        <f t="shared" si="68"/>
        <v>0</v>
      </c>
      <c r="AI122" s="36">
        <f t="shared" si="68"/>
        <v>18</v>
      </c>
      <c r="AJ122" s="36">
        <f t="shared" si="68"/>
        <v>0</v>
      </c>
      <c r="AK122" s="36">
        <f t="shared" si="68"/>
        <v>1</v>
      </c>
      <c r="AL122" s="36">
        <f t="shared" si="68"/>
        <v>0</v>
      </c>
      <c r="AM122" s="7">
        <v>5</v>
      </c>
      <c r="AN122" s="7">
        <v>0</v>
      </c>
      <c r="AO122" s="7">
        <v>19</v>
      </c>
      <c r="AP122" s="7">
        <v>1</v>
      </c>
      <c r="AQ122" s="7">
        <v>1</v>
      </c>
      <c r="AR122" s="7">
        <v>0</v>
      </c>
      <c r="AS122" s="22">
        <f t="shared" si="50"/>
        <v>21</v>
      </c>
      <c r="AT122" s="22">
        <f t="shared" si="51"/>
        <v>3.1666666666666665</v>
      </c>
      <c r="AU122" s="5">
        <f t="shared" si="52"/>
        <v>19</v>
      </c>
      <c r="AV122" s="5">
        <f t="shared" si="53"/>
        <v>3.1666666666666665</v>
      </c>
      <c r="AW122" s="5">
        <f t="shared" si="54"/>
        <v>2</v>
      </c>
      <c r="AX122" s="5">
        <f t="shared" si="55"/>
        <v>0.66666666666666663</v>
      </c>
      <c r="AY122" s="5">
        <f t="shared" si="56"/>
        <v>0</v>
      </c>
      <c r="AZ122" s="5">
        <f t="shared" si="57"/>
        <v>3</v>
      </c>
      <c r="BA122" s="5">
        <f t="shared" si="58"/>
        <v>0</v>
      </c>
      <c r="BB122" s="5">
        <f t="shared" si="59"/>
        <v>0.16666666666666666</v>
      </c>
      <c r="BC122" s="5">
        <f t="shared" si="60"/>
        <v>0</v>
      </c>
      <c r="BD122" s="6">
        <v>1</v>
      </c>
      <c r="BE122" s="6"/>
      <c r="BF122" s="59">
        <v>1</v>
      </c>
      <c r="BG122" s="6" t="s">
        <v>703</v>
      </c>
      <c r="BH122" s="5"/>
      <c r="BI122" s="5"/>
      <c r="BJ122" s="5" t="s">
        <v>584</v>
      </c>
    </row>
    <row r="123" spans="1:62">
      <c r="A123" s="2" t="s">
        <v>229</v>
      </c>
      <c r="B123" s="6" t="s">
        <v>32</v>
      </c>
      <c r="C123" s="3" t="s">
        <v>32</v>
      </c>
      <c r="D123" s="4">
        <v>82</v>
      </c>
      <c r="E123" s="4">
        <v>74</v>
      </c>
      <c r="F123" s="4">
        <v>2009</v>
      </c>
      <c r="G123" s="39">
        <v>18</v>
      </c>
      <c r="H123" s="28">
        <v>0</v>
      </c>
      <c r="I123" s="28">
        <v>2</v>
      </c>
      <c r="J123" s="5">
        <v>2017</v>
      </c>
      <c r="K123" s="5">
        <v>2023</v>
      </c>
      <c r="L123" s="5">
        <f>(K123-J123)</f>
        <v>6</v>
      </c>
      <c r="M123" s="5">
        <v>1</v>
      </c>
      <c r="N123" s="39" t="s">
        <v>585</v>
      </c>
      <c r="O123" s="5" t="s">
        <v>28</v>
      </c>
      <c r="P123" s="5">
        <v>0</v>
      </c>
      <c r="Q123" s="5"/>
      <c r="R123" s="5" t="s">
        <v>30</v>
      </c>
      <c r="S123" s="39" t="s">
        <v>522</v>
      </c>
      <c r="T123" s="6" t="s">
        <v>84</v>
      </c>
      <c r="U123" s="6">
        <v>0</v>
      </c>
      <c r="V123" s="25" t="s">
        <v>107</v>
      </c>
      <c r="W123" s="39">
        <v>0</v>
      </c>
      <c r="X123" s="7">
        <f t="shared" si="47"/>
        <v>1</v>
      </c>
      <c r="Y123" s="22">
        <f t="shared" si="48"/>
        <v>1</v>
      </c>
      <c r="Z123" s="15">
        <f t="shared" si="67"/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36">
        <f t="shared" si="68"/>
        <v>0</v>
      </c>
      <c r="AH123" s="36">
        <f t="shared" si="68"/>
        <v>0</v>
      </c>
      <c r="AI123" s="36">
        <f t="shared" si="68"/>
        <v>0</v>
      </c>
      <c r="AJ123" s="36">
        <f t="shared" si="68"/>
        <v>1</v>
      </c>
      <c r="AK123" s="36">
        <f t="shared" si="68"/>
        <v>0</v>
      </c>
      <c r="AL123" s="36">
        <f t="shared" si="68"/>
        <v>0</v>
      </c>
      <c r="AM123" s="45">
        <v>0</v>
      </c>
      <c r="AN123" s="45">
        <v>0</v>
      </c>
      <c r="AO123" s="45">
        <v>0</v>
      </c>
      <c r="AP123" s="45">
        <v>1</v>
      </c>
      <c r="AQ123" s="45">
        <v>0</v>
      </c>
      <c r="AR123" s="45">
        <v>0</v>
      </c>
      <c r="AS123" s="22">
        <f t="shared" si="50"/>
        <v>1</v>
      </c>
      <c r="AT123" s="22">
        <f t="shared" si="51"/>
        <v>0.16666666666666666</v>
      </c>
      <c r="AU123" s="5">
        <f t="shared" si="52"/>
        <v>1</v>
      </c>
      <c r="AV123" s="5">
        <f t="shared" si="53"/>
        <v>0.16666666666666666</v>
      </c>
      <c r="AW123" s="5">
        <f t="shared" si="54"/>
        <v>0</v>
      </c>
      <c r="AX123" s="5">
        <f t="shared" si="55"/>
        <v>0</v>
      </c>
      <c r="AY123" s="5">
        <f t="shared" si="56"/>
        <v>0</v>
      </c>
      <c r="AZ123" s="5">
        <f t="shared" si="57"/>
        <v>0</v>
      </c>
      <c r="BA123" s="5">
        <f t="shared" si="58"/>
        <v>0.16666666666666666</v>
      </c>
      <c r="BB123" s="5">
        <f t="shared" si="59"/>
        <v>0</v>
      </c>
      <c r="BC123" s="5">
        <f t="shared" si="60"/>
        <v>0</v>
      </c>
      <c r="BD123" s="6"/>
      <c r="BE123" s="6"/>
      <c r="BF123" s="59">
        <v>1</v>
      </c>
      <c r="BG123" s="6" t="s">
        <v>703</v>
      </c>
      <c r="BH123" s="5"/>
      <c r="BI123" s="5"/>
      <c r="BJ123" s="39" t="s">
        <v>585</v>
      </c>
    </row>
    <row r="124" spans="1:62">
      <c r="A124" s="2" t="s">
        <v>229</v>
      </c>
      <c r="B124" s="6" t="s">
        <v>32</v>
      </c>
      <c r="C124" s="3" t="s">
        <v>32</v>
      </c>
      <c r="D124" s="4">
        <v>82</v>
      </c>
      <c r="E124" s="4">
        <v>74</v>
      </c>
      <c r="F124" s="4">
        <v>2009</v>
      </c>
      <c r="G124" s="39">
        <v>18</v>
      </c>
      <c r="H124" s="28">
        <v>0</v>
      </c>
      <c r="I124" s="28">
        <v>2</v>
      </c>
      <c r="J124" s="5">
        <v>2016</v>
      </c>
      <c r="K124" s="5">
        <v>2022</v>
      </c>
      <c r="L124" s="5">
        <f>(K124-J124)</f>
        <v>6</v>
      </c>
      <c r="M124" s="5">
        <v>1</v>
      </c>
      <c r="N124" s="39" t="s">
        <v>587</v>
      </c>
      <c r="O124" s="5" t="s">
        <v>35</v>
      </c>
      <c r="P124" s="5">
        <v>0</v>
      </c>
      <c r="Q124" s="5"/>
      <c r="R124" s="5" t="s">
        <v>225</v>
      </c>
      <c r="S124" s="5" t="s">
        <v>266</v>
      </c>
      <c r="T124" s="6" t="s">
        <v>218</v>
      </c>
      <c r="U124" s="6" t="s">
        <v>559</v>
      </c>
      <c r="V124" s="25">
        <v>1</v>
      </c>
      <c r="W124" s="39">
        <v>11</v>
      </c>
      <c r="X124" s="7">
        <f t="shared" si="47"/>
        <v>32</v>
      </c>
      <c r="Y124" s="22">
        <f t="shared" si="48"/>
        <v>18</v>
      </c>
      <c r="Z124" s="15">
        <f t="shared" si="67"/>
        <v>14</v>
      </c>
      <c r="AA124" s="47">
        <v>2</v>
      </c>
      <c r="AB124" s="47">
        <v>1</v>
      </c>
      <c r="AC124" s="47">
        <v>7</v>
      </c>
      <c r="AD124" s="47">
        <v>2</v>
      </c>
      <c r="AE124" s="47">
        <v>2</v>
      </c>
      <c r="AF124" s="47">
        <v>2</v>
      </c>
      <c r="AG124" s="36">
        <f t="shared" si="68"/>
        <v>6</v>
      </c>
      <c r="AH124" s="36">
        <f t="shared" si="68"/>
        <v>1</v>
      </c>
      <c r="AI124" s="36">
        <f t="shared" si="68"/>
        <v>13</v>
      </c>
      <c r="AJ124" s="36">
        <f t="shared" si="68"/>
        <v>1</v>
      </c>
      <c r="AK124" s="36">
        <f t="shared" si="68"/>
        <v>1</v>
      </c>
      <c r="AL124" s="36">
        <f t="shared" si="68"/>
        <v>2</v>
      </c>
      <c r="AM124" s="45">
        <v>8</v>
      </c>
      <c r="AN124" s="45">
        <v>2</v>
      </c>
      <c r="AO124" s="45">
        <v>20</v>
      </c>
      <c r="AP124" s="45">
        <v>3</v>
      </c>
      <c r="AQ124" s="45">
        <v>3</v>
      </c>
      <c r="AR124" s="45">
        <v>4</v>
      </c>
      <c r="AS124" s="22">
        <f t="shared" si="50"/>
        <v>32</v>
      </c>
      <c r="AT124" s="22">
        <f t="shared" si="51"/>
        <v>3</v>
      </c>
      <c r="AU124" s="5">
        <f t="shared" si="52"/>
        <v>16</v>
      </c>
      <c r="AV124" s="5">
        <f t="shared" si="53"/>
        <v>2.6666666666666665</v>
      </c>
      <c r="AW124" s="5">
        <f t="shared" si="54"/>
        <v>12</v>
      </c>
      <c r="AX124" s="5">
        <f t="shared" si="55"/>
        <v>1</v>
      </c>
      <c r="AY124" s="5">
        <f t="shared" si="56"/>
        <v>0.16666666666666666</v>
      </c>
      <c r="AZ124" s="5">
        <f t="shared" si="57"/>
        <v>2.1666666666666665</v>
      </c>
      <c r="BA124" s="5">
        <f t="shared" si="58"/>
        <v>0.16666666666666666</v>
      </c>
      <c r="BB124" s="5">
        <f t="shared" si="59"/>
        <v>0.16666666666666666</v>
      </c>
      <c r="BC124" s="5">
        <f t="shared" si="60"/>
        <v>0.33333333333333331</v>
      </c>
      <c r="BD124" s="6">
        <v>1</v>
      </c>
      <c r="BE124" s="6"/>
      <c r="BF124" s="59">
        <v>1</v>
      </c>
      <c r="BG124" s="6" t="s">
        <v>704</v>
      </c>
      <c r="BH124" s="5"/>
      <c r="BI124" s="5"/>
      <c r="BJ124" s="39" t="s">
        <v>587</v>
      </c>
    </row>
    <row r="125" spans="1:62">
      <c r="A125" s="2" t="s">
        <v>229</v>
      </c>
      <c r="B125" s="6" t="s">
        <v>32</v>
      </c>
      <c r="C125" s="3" t="s">
        <v>32</v>
      </c>
      <c r="D125" s="4">
        <v>82</v>
      </c>
      <c r="E125" s="4">
        <v>74</v>
      </c>
      <c r="F125" s="4">
        <v>2009</v>
      </c>
      <c r="G125" s="39">
        <v>18</v>
      </c>
      <c r="H125" s="28">
        <v>0</v>
      </c>
      <c r="I125" s="28">
        <v>2</v>
      </c>
      <c r="J125" s="5">
        <v>2015</v>
      </c>
      <c r="K125" s="5">
        <v>2021</v>
      </c>
      <c r="L125" s="5">
        <f>(K125-J125)</f>
        <v>6</v>
      </c>
      <c r="M125" s="5">
        <v>1</v>
      </c>
      <c r="N125" s="39" t="s">
        <v>629</v>
      </c>
      <c r="O125" s="5" t="s">
        <v>28</v>
      </c>
      <c r="P125" s="5">
        <v>1</v>
      </c>
      <c r="Q125" s="5" t="s">
        <v>589</v>
      </c>
      <c r="R125" s="5" t="s">
        <v>30</v>
      </c>
      <c r="S125" s="39" t="s">
        <v>524</v>
      </c>
      <c r="T125" s="6"/>
      <c r="U125" s="6">
        <v>0</v>
      </c>
      <c r="V125" s="25"/>
      <c r="W125" s="39">
        <v>2</v>
      </c>
      <c r="X125" s="7">
        <f t="shared" si="47"/>
        <v>6</v>
      </c>
      <c r="Y125" s="22">
        <f t="shared" si="48"/>
        <v>2</v>
      </c>
      <c r="Z125" s="15">
        <f t="shared" si="67"/>
        <v>4</v>
      </c>
      <c r="AA125" s="47">
        <v>0</v>
      </c>
      <c r="AB125" s="47">
        <v>0</v>
      </c>
      <c r="AC125" s="47">
        <v>3</v>
      </c>
      <c r="AD125" s="47">
        <v>0</v>
      </c>
      <c r="AE125" s="47">
        <v>1</v>
      </c>
      <c r="AF125" s="47">
        <v>0</v>
      </c>
      <c r="AG125" s="36">
        <f t="shared" si="68"/>
        <v>1</v>
      </c>
      <c r="AH125" s="36">
        <f t="shared" si="68"/>
        <v>0</v>
      </c>
      <c r="AI125" s="36">
        <f t="shared" si="68"/>
        <v>1</v>
      </c>
      <c r="AJ125" s="36">
        <f t="shared" si="68"/>
        <v>0</v>
      </c>
      <c r="AK125" s="36">
        <f t="shared" si="68"/>
        <v>0</v>
      </c>
      <c r="AL125" s="36">
        <f t="shared" si="68"/>
        <v>1</v>
      </c>
      <c r="AM125" s="45">
        <v>1</v>
      </c>
      <c r="AN125" s="45">
        <v>0</v>
      </c>
      <c r="AO125" s="45">
        <v>4</v>
      </c>
      <c r="AP125" s="45">
        <v>0</v>
      </c>
      <c r="AQ125" s="45">
        <v>1</v>
      </c>
      <c r="AR125" s="45">
        <v>1</v>
      </c>
      <c r="AS125" s="22">
        <f t="shared" si="50"/>
        <v>6</v>
      </c>
      <c r="AT125" s="22">
        <f t="shared" si="51"/>
        <v>0.33333333333333331</v>
      </c>
      <c r="AU125" s="5">
        <f t="shared" si="52"/>
        <v>1</v>
      </c>
      <c r="AV125" s="5">
        <f t="shared" si="53"/>
        <v>0.16666666666666666</v>
      </c>
      <c r="AW125" s="5">
        <f t="shared" si="54"/>
        <v>4</v>
      </c>
      <c r="AX125" s="5">
        <f t="shared" si="55"/>
        <v>0.16666666666666666</v>
      </c>
      <c r="AY125" s="5">
        <f t="shared" si="56"/>
        <v>0</v>
      </c>
      <c r="AZ125" s="5">
        <f t="shared" si="57"/>
        <v>0.16666666666666666</v>
      </c>
      <c r="BA125" s="5">
        <f t="shared" si="58"/>
        <v>0</v>
      </c>
      <c r="BB125" s="5">
        <f t="shared" si="59"/>
        <v>0</v>
      </c>
      <c r="BC125" s="5">
        <f t="shared" si="60"/>
        <v>0.16666666666666666</v>
      </c>
      <c r="BD125" s="6">
        <v>1</v>
      </c>
      <c r="BE125" s="6"/>
      <c r="BF125" s="59">
        <v>1</v>
      </c>
      <c r="BG125" s="6" t="s">
        <v>588</v>
      </c>
      <c r="BH125" s="5"/>
      <c r="BI125" s="5"/>
      <c r="BJ125" s="39" t="s">
        <v>629</v>
      </c>
    </row>
    <row r="126" spans="1:62">
      <c r="A126" s="2" t="s">
        <v>229</v>
      </c>
      <c r="B126" s="6" t="s">
        <v>32</v>
      </c>
      <c r="C126" s="3" t="s">
        <v>32</v>
      </c>
      <c r="D126" s="4">
        <v>82</v>
      </c>
      <c r="E126" s="4">
        <v>74</v>
      </c>
      <c r="F126" s="4">
        <v>2009</v>
      </c>
      <c r="G126" s="39">
        <v>18</v>
      </c>
      <c r="H126" s="28">
        <v>0</v>
      </c>
      <c r="I126" s="28">
        <v>2</v>
      </c>
      <c r="J126" s="5">
        <v>2018</v>
      </c>
      <c r="K126" s="5">
        <v>2024</v>
      </c>
      <c r="L126" s="5">
        <f t="shared" ref="L126:L135" si="70">(K126-J126)-0.42</f>
        <v>5.58</v>
      </c>
      <c r="M126" s="5">
        <v>0</v>
      </c>
      <c r="N126" s="39" t="s">
        <v>525</v>
      </c>
      <c r="O126" s="5" t="s">
        <v>35</v>
      </c>
      <c r="P126" s="5">
        <v>0</v>
      </c>
      <c r="Q126" s="5"/>
      <c r="R126" s="5" t="s">
        <v>39</v>
      </c>
      <c r="S126" s="10" t="s">
        <v>66</v>
      </c>
      <c r="T126" s="6" t="s">
        <v>37</v>
      </c>
      <c r="U126" s="6">
        <v>0</v>
      </c>
      <c r="V126" s="25">
        <v>32</v>
      </c>
      <c r="W126" s="39">
        <v>13</v>
      </c>
      <c r="X126" s="7">
        <f t="shared" si="47"/>
        <v>64</v>
      </c>
      <c r="Y126" s="22">
        <f t="shared" si="48"/>
        <v>63</v>
      </c>
      <c r="Z126" s="15">
        <f t="shared" si="67"/>
        <v>1</v>
      </c>
      <c r="AA126" s="47">
        <v>0</v>
      </c>
      <c r="AB126" s="47">
        <v>0</v>
      </c>
      <c r="AC126" s="47">
        <v>1</v>
      </c>
      <c r="AD126" s="47">
        <v>0</v>
      </c>
      <c r="AE126" s="47">
        <v>0</v>
      </c>
      <c r="AF126" s="47">
        <v>0</v>
      </c>
      <c r="AG126" s="36">
        <f t="shared" si="68"/>
        <v>42</v>
      </c>
      <c r="AH126" s="36">
        <f t="shared" si="68"/>
        <v>4</v>
      </c>
      <c r="AI126" s="36">
        <f t="shared" si="68"/>
        <v>37</v>
      </c>
      <c r="AJ126" s="36">
        <f t="shared" si="68"/>
        <v>5</v>
      </c>
      <c r="AK126" s="36">
        <f t="shared" si="68"/>
        <v>8</v>
      </c>
      <c r="AL126" s="36">
        <f t="shared" si="68"/>
        <v>9</v>
      </c>
      <c r="AM126" s="45">
        <v>42</v>
      </c>
      <c r="AN126" s="45">
        <v>4</v>
      </c>
      <c r="AO126" s="45">
        <v>38</v>
      </c>
      <c r="AP126" s="45">
        <v>5</v>
      </c>
      <c r="AQ126" s="45">
        <v>8</v>
      </c>
      <c r="AR126" s="45">
        <v>9</v>
      </c>
      <c r="AS126" s="22">
        <f t="shared" si="50"/>
        <v>64</v>
      </c>
      <c r="AT126" s="22">
        <f t="shared" si="51"/>
        <v>11.290322580645162</v>
      </c>
      <c r="AU126" s="5">
        <f t="shared" si="52"/>
        <v>54</v>
      </c>
      <c r="AV126" s="5">
        <f t="shared" si="53"/>
        <v>9.67741935483871</v>
      </c>
      <c r="AW126" s="5">
        <f t="shared" si="54"/>
        <v>1</v>
      </c>
      <c r="AX126" s="5">
        <f t="shared" si="55"/>
        <v>7.5268817204301071</v>
      </c>
      <c r="AY126" s="5">
        <f t="shared" si="56"/>
        <v>0.71684587813620071</v>
      </c>
      <c r="AZ126" s="5">
        <f t="shared" si="57"/>
        <v>6.6308243727598564</v>
      </c>
      <c r="BA126" s="5">
        <f t="shared" si="58"/>
        <v>0.89605734767025091</v>
      </c>
      <c r="BB126" s="5">
        <f t="shared" si="59"/>
        <v>1.4336917562724014</v>
      </c>
      <c r="BC126" s="5">
        <f t="shared" si="60"/>
        <v>1.6129032258064515</v>
      </c>
      <c r="BD126" s="6"/>
      <c r="BE126" s="6"/>
      <c r="BF126" s="59"/>
      <c r="BG126" s="6"/>
      <c r="BH126" s="5"/>
      <c r="BI126" s="5"/>
      <c r="BJ126" s="39" t="s">
        <v>525</v>
      </c>
    </row>
    <row r="127" spans="1:62">
      <c r="A127" s="2" t="s">
        <v>248</v>
      </c>
      <c r="B127" s="3" t="s">
        <v>85</v>
      </c>
      <c r="C127" s="3" t="s">
        <v>85</v>
      </c>
      <c r="D127" s="4">
        <v>85</v>
      </c>
      <c r="E127" s="4">
        <v>74</v>
      </c>
      <c r="F127" s="4">
        <v>2008</v>
      </c>
      <c r="G127" s="39">
        <v>70</v>
      </c>
      <c r="H127" s="28">
        <v>0</v>
      </c>
      <c r="I127" s="28">
        <v>2</v>
      </c>
      <c r="J127" s="5">
        <v>2022</v>
      </c>
      <c r="K127" s="5">
        <v>2024</v>
      </c>
      <c r="L127" s="5">
        <f t="shared" si="70"/>
        <v>1.58</v>
      </c>
      <c r="M127" s="5">
        <v>0</v>
      </c>
      <c r="N127" s="5" t="s">
        <v>249</v>
      </c>
      <c r="O127" s="5" t="s">
        <v>28</v>
      </c>
      <c r="P127" s="5">
        <v>0</v>
      </c>
      <c r="Q127" s="5"/>
      <c r="R127" s="5" t="s">
        <v>225</v>
      </c>
      <c r="S127" s="5" t="s">
        <v>250</v>
      </c>
      <c r="T127" s="6" t="s">
        <v>84</v>
      </c>
      <c r="U127" s="6">
        <v>0</v>
      </c>
      <c r="V127" s="25">
        <v>53</v>
      </c>
      <c r="W127" s="5">
        <v>1</v>
      </c>
      <c r="X127" s="7">
        <f t="shared" si="47"/>
        <v>6</v>
      </c>
      <c r="Y127" s="22">
        <f t="shared" si="48"/>
        <v>5</v>
      </c>
      <c r="Z127" s="15">
        <f t="shared" si="67"/>
        <v>1</v>
      </c>
      <c r="AA127" s="19">
        <v>0</v>
      </c>
      <c r="AB127" s="19">
        <v>0</v>
      </c>
      <c r="AC127" s="19">
        <v>0</v>
      </c>
      <c r="AD127" s="19">
        <v>1</v>
      </c>
      <c r="AE127" s="19">
        <v>0</v>
      </c>
      <c r="AF127" s="19">
        <v>0</v>
      </c>
      <c r="AG127" s="36">
        <f t="shared" si="68"/>
        <v>2</v>
      </c>
      <c r="AH127" s="36">
        <f t="shared" si="68"/>
        <v>0</v>
      </c>
      <c r="AI127" s="36">
        <f t="shared" si="68"/>
        <v>2</v>
      </c>
      <c r="AJ127" s="36">
        <f t="shared" si="68"/>
        <v>2</v>
      </c>
      <c r="AK127" s="36">
        <f t="shared" si="68"/>
        <v>1</v>
      </c>
      <c r="AL127" s="36">
        <f t="shared" si="68"/>
        <v>0</v>
      </c>
      <c r="AM127" s="7">
        <v>2</v>
      </c>
      <c r="AN127" s="7">
        <v>0</v>
      </c>
      <c r="AO127" s="7">
        <v>2</v>
      </c>
      <c r="AP127" s="7">
        <v>3</v>
      </c>
      <c r="AQ127" s="7">
        <v>1</v>
      </c>
      <c r="AR127" s="7">
        <v>0</v>
      </c>
      <c r="AS127" s="22">
        <f t="shared" si="50"/>
        <v>6</v>
      </c>
      <c r="AT127" s="22">
        <f t="shared" si="51"/>
        <v>3.1645569620253164</v>
      </c>
      <c r="AU127" s="5">
        <f t="shared" si="52"/>
        <v>5</v>
      </c>
      <c r="AV127" s="5">
        <f t="shared" si="53"/>
        <v>3.1645569620253164</v>
      </c>
      <c r="AW127" s="5">
        <f t="shared" si="54"/>
        <v>1</v>
      </c>
      <c r="AX127" s="5">
        <f t="shared" si="55"/>
        <v>1.2658227848101264</v>
      </c>
      <c r="AY127" s="5">
        <f t="shared" si="56"/>
        <v>0</v>
      </c>
      <c r="AZ127" s="5">
        <f t="shared" si="57"/>
        <v>1.2658227848101264</v>
      </c>
      <c r="BA127" s="5">
        <f t="shared" si="58"/>
        <v>1.2658227848101264</v>
      </c>
      <c r="BB127" s="5">
        <f t="shared" si="59"/>
        <v>0.63291139240506322</v>
      </c>
      <c r="BC127" s="5">
        <f t="shared" si="60"/>
        <v>0</v>
      </c>
      <c r="BD127" s="6"/>
      <c r="BE127" s="6"/>
      <c r="BF127" s="59"/>
      <c r="BG127" s="6"/>
      <c r="BH127" s="5"/>
      <c r="BI127" s="5"/>
      <c r="BJ127" s="5" t="s">
        <v>249</v>
      </c>
    </row>
    <row r="128" spans="1:62">
      <c r="A128" s="2" t="s">
        <v>248</v>
      </c>
      <c r="B128" s="3" t="s">
        <v>85</v>
      </c>
      <c r="C128" s="3" t="s">
        <v>85</v>
      </c>
      <c r="D128" s="4">
        <v>85</v>
      </c>
      <c r="E128" s="4">
        <v>74</v>
      </c>
      <c r="F128" s="4">
        <v>2008</v>
      </c>
      <c r="G128" s="39">
        <v>70</v>
      </c>
      <c r="H128" s="28">
        <v>0</v>
      </c>
      <c r="I128" s="28">
        <v>2</v>
      </c>
      <c r="J128" s="5">
        <v>2022</v>
      </c>
      <c r="K128" s="5">
        <v>2024</v>
      </c>
      <c r="L128" s="5">
        <f t="shared" si="70"/>
        <v>1.58</v>
      </c>
      <c r="M128" s="5">
        <v>0</v>
      </c>
      <c r="N128" s="5" t="s">
        <v>251</v>
      </c>
      <c r="O128" s="5" t="s">
        <v>35</v>
      </c>
      <c r="P128" s="5">
        <v>0</v>
      </c>
      <c r="Q128" s="5"/>
      <c r="R128" s="5" t="s">
        <v>252</v>
      </c>
      <c r="S128" s="5" t="s">
        <v>253</v>
      </c>
      <c r="T128" s="6" t="s">
        <v>84</v>
      </c>
      <c r="U128" s="6">
        <v>0</v>
      </c>
      <c r="V128" s="25" t="s">
        <v>107</v>
      </c>
      <c r="W128" s="5">
        <v>1</v>
      </c>
      <c r="X128" s="7">
        <f t="shared" si="47"/>
        <v>2</v>
      </c>
      <c r="Y128" s="22">
        <f t="shared" si="48"/>
        <v>0</v>
      </c>
      <c r="Z128" s="15">
        <f t="shared" si="67"/>
        <v>2</v>
      </c>
      <c r="AA128" s="19">
        <v>0</v>
      </c>
      <c r="AB128" s="19">
        <v>0</v>
      </c>
      <c r="AC128" s="19">
        <v>0</v>
      </c>
      <c r="AD128" s="19">
        <v>2</v>
      </c>
      <c r="AE128" s="19">
        <v>0</v>
      </c>
      <c r="AF128" s="19">
        <v>0</v>
      </c>
      <c r="AG128" s="36">
        <f t="shared" si="68"/>
        <v>0</v>
      </c>
      <c r="AH128" s="36">
        <f t="shared" si="68"/>
        <v>0</v>
      </c>
      <c r="AI128" s="36">
        <f t="shared" si="68"/>
        <v>0</v>
      </c>
      <c r="AJ128" s="36">
        <f t="shared" si="68"/>
        <v>0</v>
      </c>
      <c r="AK128" s="36">
        <f t="shared" si="68"/>
        <v>0</v>
      </c>
      <c r="AL128" s="36">
        <f t="shared" si="68"/>
        <v>0</v>
      </c>
      <c r="AM128" s="7">
        <v>0</v>
      </c>
      <c r="AN128" s="7">
        <v>0</v>
      </c>
      <c r="AO128" s="7">
        <v>0</v>
      </c>
      <c r="AP128" s="7">
        <v>2</v>
      </c>
      <c r="AQ128" s="7">
        <v>0</v>
      </c>
      <c r="AR128" s="7">
        <v>0</v>
      </c>
      <c r="AS128" s="22">
        <f t="shared" si="50"/>
        <v>2</v>
      </c>
      <c r="AT128" s="22">
        <f t="shared" si="51"/>
        <v>0</v>
      </c>
      <c r="AU128" s="5">
        <f t="shared" si="52"/>
        <v>0</v>
      </c>
      <c r="AV128" s="5">
        <f t="shared" si="53"/>
        <v>0</v>
      </c>
      <c r="AW128" s="5">
        <f t="shared" si="54"/>
        <v>2</v>
      </c>
      <c r="AX128" s="5">
        <f t="shared" si="55"/>
        <v>0</v>
      </c>
      <c r="AY128" s="5">
        <f t="shared" si="56"/>
        <v>0</v>
      </c>
      <c r="AZ128" s="5">
        <f t="shared" si="57"/>
        <v>0</v>
      </c>
      <c r="BA128" s="5">
        <f t="shared" si="58"/>
        <v>0</v>
      </c>
      <c r="BB128" s="5">
        <f t="shared" si="59"/>
        <v>0</v>
      </c>
      <c r="BC128" s="5">
        <f t="shared" si="60"/>
        <v>0</v>
      </c>
      <c r="BD128" s="6"/>
      <c r="BE128" s="6"/>
      <c r="BF128" s="59"/>
      <c r="BG128" s="6"/>
      <c r="BH128" s="5"/>
      <c r="BI128" s="5"/>
      <c r="BJ128" s="5" t="s">
        <v>251</v>
      </c>
    </row>
    <row r="129" spans="1:62">
      <c r="A129" s="2" t="s">
        <v>248</v>
      </c>
      <c r="B129" s="3" t="s">
        <v>85</v>
      </c>
      <c r="C129" s="3" t="s">
        <v>85</v>
      </c>
      <c r="D129" s="4">
        <v>85</v>
      </c>
      <c r="E129" s="4">
        <v>74</v>
      </c>
      <c r="F129" s="4">
        <v>2008</v>
      </c>
      <c r="G129" s="39">
        <v>70</v>
      </c>
      <c r="H129" s="28">
        <v>0</v>
      </c>
      <c r="I129" s="28">
        <v>2</v>
      </c>
      <c r="J129" s="5">
        <v>2021</v>
      </c>
      <c r="K129" s="5">
        <v>2024</v>
      </c>
      <c r="L129" s="5">
        <f t="shared" si="70"/>
        <v>2.58</v>
      </c>
      <c r="M129" s="5">
        <v>0</v>
      </c>
      <c r="N129" s="5" t="s">
        <v>254</v>
      </c>
      <c r="O129" s="5" t="s">
        <v>35</v>
      </c>
      <c r="P129" s="5">
        <v>0</v>
      </c>
      <c r="Q129" s="5"/>
      <c r="R129" s="5" t="s">
        <v>225</v>
      </c>
      <c r="S129" s="5" t="s">
        <v>150</v>
      </c>
      <c r="T129" s="6" t="s">
        <v>101</v>
      </c>
      <c r="U129" s="6">
        <v>0</v>
      </c>
      <c r="V129" s="25">
        <v>35</v>
      </c>
      <c r="W129" s="5">
        <v>1</v>
      </c>
      <c r="X129" s="7">
        <f t="shared" si="47"/>
        <v>7</v>
      </c>
      <c r="Y129" s="22">
        <f t="shared" si="48"/>
        <v>3</v>
      </c>
      <c r="Z129" s="15">
        <f t="shared" si="67"/>
        <v>4</v>
      </c>
      <c r="AA129" s="19">
        <v>2</v>
      </c>
      <c r="AB129" s="19">
        <v>0</v>
      </c>
      <c r="AC129" s="19">
        <v>2</v>
      </c>
      <c r="AD129" s="19">
        <v>1</v>
      </c>
      <c r="AE129" s="19">
        <v>1</v>
      </c>
      <c r="AF129" s="19">
        <v>0</v>
      </c>
      <c r="AG129" s="36">
        <f t="shared" si="68"/>
        <v>1</v>
      </c>
      <c r="AH129" s="36">
        <f t="shared" si="68"/>
        <v>0</v>
      </c>
      <c r="AI129" s="36">
        <f t="shared" si="68"/>
        <v>2</v>
      </c>
      <c r="AJ129" s="36">
        <f t="shared" si="68"/>
        <v>0</v>
      </c>
      <c r="AK129" s="36">
        <f t="shared" si="68"/>
        <v>1</v>
      </c>
      <c r="AL129" s="36">
        <f t="shared" si="68"/>
        <v>0</v>
      </c>
      <c r="AM129" s="7">
        <v>3</v>
      </c>
      <c r="AN129" s="7">
        <v>0</v>
      </c>
      <c r="AO129" s="7">
        <v>4</v>
      </c>
      <c r="AP129" s="7">
        <v>1</v>
      </c>
      <c r="AQ129" s="7">
        <v>2</v>
      </c>
      <c r="AR129" s="7">
        <v>0</v>
      </c>
      <c r="AS129" s="22">
        <f t="shared" si="50"/>
        <v>7</v>
      </c>
      <c r="AT129" s="22">
        <f t="shared" si="51"/>
        <v>1.1627906976744187</v>
      </c>
      <c r="AU129" s="5">
        <f t="shared" si="52"/>
        <v>3</v>
      </c>
      <c r="AV129" s="5">
        <f t="shared" si="53"/>
        <v>1.1627906976744187</v>
      </c>
      <c r="AW129" s="5">
        <f t="shared" si="54"/>
        <v>4</v>
      </c>
      <c r="AX129" s="5">
        <f t="shared" si="55"/>
        <v>0.38759689922480617</v>
      </c>
      <c r="AY129" s="5">
        <f t="shared" si="56"/>
        <v>0</v>
      </c>
      <c r="AZ129" s="5">
        <f t="shared" si="57"/>
        <v>0.77519379844961234</v>
      </c>
      <c r="BA129" s="5">
        <f t="shared" si="58"/>
        <v>0</v>
      </c>
      <c r="BB129" s="5">
        <f t="shared" si="59"/>
        <v>0.38759689922480617</v>
      </c>
      <c r="BC129" s="5">
        <f t="shared" si="60"/>
        <v>0</v>
      </c>
      <c r="BD129" s="6"/>
      <c r="BE129" s="6"/>
      <c r="BF129" s="59"/>
      <c r="BG129" s="6"/>
      <c r="BH129" s="5"/>
      <c r="BI129" s="5"/>
      <c r="BJ129" s="5" t="s">
        <v>254</v>
      </c>
    </row>
    <row r="130" spans="1:62">
      <c r="A130" s="2" t="s">
        <v>248</v>
      </c>
      <c r="B130" s="3" t="s">
        <v>85</v>
      </c>
      <c r="C130" s="3" t="s">
        <v>85</v>
      </c>
      <c r="D130" s="4">
        <v>85</v>
      </c>
      <c r="E130" s="4">
        <v>74</v>
      </c>
      <c r="F130" s="4">
        <v>2008</v>
      </c>
      <c r="G130" s="39">
        <v>70</v>
      </c>
      <c r="H130" s="28">
        <v>0</v>
      </c>
      <c r="I130" s="28">
        <v>2</v>
      </c>
      <c r="J130" s="5">
        <v>2020</v>
      </c>
      <c r="K130" s="5">
        <v>2024</v>
      </c>
      <c r="L130" s="5">
        <f t="shared" si="70"/>
        <v>3.58</v>
      </c>
      <c r="M130" s="5">
        <v>0</v>
      </c>
      <c r="N130" s="5" t="s">
        <v>255</v>
      </c>
      <c r="O130" s="5" t="s">
        <v>28</v>
      </c>
      <c r="P130" s="5">
        <v>0</v>
      </c>
      <c r="Q130" s="5"/>
      <c r="R130" s="5" t="s">
        <v>225</v>
      </c>
      <c r="S130" s="5" t="s">
        <v>590</v>
      </c>
      <c r="T130" s="6" t="s">
        <v>101</v>
      </c>
      <c r="U130" s="6">
        <v>0</v>
      </c>
      <c r="V130" s="25">
        <v>26</v>
      </c>
      <c r="W130" s="5">
        <v>2</v>
      </c>
      <c r="X130" s="7">
        <f t="shared" si="47"/>
        <v>2</v>
      </c>
      <c r="Y130" s="22">
        <f t="shared" si="48"/>
        <v>2</v>
      </c>
      <c r="Z130" s="15">
        <f t="shared" si="67"/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36">
        <f t="shared" si="68"/>
        <v>0</v>
      </c>
      <c r="AH130" s="36">
        <f t="shared" si="68"/>
        <v>0</v>
      </c>
      <c r="AI130" s="36">
        <f t="shared" si="68"/>
        <v>2</v>
      </c>
      <c r="AJ130" s="36">
        <f t="shared" si="68"/>
        <v>0</v>
      </c>
      <c r="AK130" s="36">
        <f t="shared" si="68"/>
        <v>0</v>
      </c>
      <c r="AL130" s="36">
        <f t="shared" si="68"/>
        <v>0</v>
      </c>
      <c r="AM130" s="7">
        <v>0</v>
      </c>
      <c r="AN130" s="7">
        <v>0</v>
      </c>
      <c r="AO130" s="7">
        <v>2</v>
      </c>
      <c r="AP130" s="7">
        <v>0</v>
      </c>
      <c r="AQ130" s="7">
        <v>0</v>
      </c>
      <c r="AR130" s="7">
        <v>0</v>
      </c>
      <c r="AS130" s="22">
        <f t="shared" si="50"/>
        <v>2</v>
      </c>
      <c r="AT130" s="22">
        <f t="shared" si="51"/>
        <v>0.55865921787709494</v>
      </c>
      <c r="AU130" s="5">
        <f t="shared" si="52"/>
        <v>2</v>
      </c>
      <c r="AV130" s="5">
        <f t="shared" si="53"/>
        <v>0.55865921787709494</v>
      </c>
      <c r="AW130" s="5">
        <f t="shared" si="54"/>
        <v>0</v>
      </c>
      <c r="AX130" s="5">
        <f t="shared" si="55"/>
        <v>0</v>
      </c>
      <c r="AY130" s="5">
        <f t="shared" si="56"/>
        <v>0</v>
      </c>
      <c r="AZ130" s="5">
        <f t="shared" si="57"/>
        <v>0.55865921787709494</v>
      </c>
      <c r="BA130" s="5">
        <f t="shared" si="58"/>
        <v>0</v>
      </c>
      <c r="BB130" s="5">
        <f t="shared" si="59"/>
        <v>0</v>
      </c>
      <c r="BC130" s="5">
        <f t="shared" si="60"/>
        <v>0</v>
      </c>
      <c r="BD130" s="6"/>
      <c r="BE130" s="6"/>
      <c r="BF130" s="59"/>
      <c r="BG130" s="6"/>
      <c r="BH130" s="5"/>
      <c r="BI130" s="5"/>
      <c r="BJ130" s="5" t="s">
        <v>255</v>
      </c>
    </row>
    <row r="131" spans="1:62">
      <c r="A131" s="2" t="s">
        <v>248</v>
      </c>
      <c r="B131" s="3" t="s">
        <v>85</v>
      </c>
      <c r="C131" s="3" t="s">
        <v>85</v>
      </c>
      <c r="D131" s="4">
        <v>85</v>
      </c>
      <c r="E131" s="4">
        <v>74</v>
      </c>
      <c r="F131" s="4">
        <v>2008</v>
      </c>
      <c r="G131" s="39">
        <v>70</v>
      </c>
      <c r="H131" s="28">
        <v>0</v>
      </c>
      <c r="I131" s="28">
        <v>2</v>
      </c>
      <c r="J131" s="5">
        <v>2020</v>
      </c>
      <c r="K131" s="5">
        <v>2024</v>
      </c>
      <c r="L131" s="5">
        <f t="shared" si="70"/>
        <v>3.58</v>
      </c>
      <c r="M131" s="5">
        <v>0</v>
      </c>
      <c r="N131" s="5" t="s">
        <v>256</v>
      </c>
      <c r="O131" s="5" t="s">
        <v>35</v>
      </c>
      <c r="P131" s="5">
        <v>0</v>
      </c>
      <c r="Q131" s="5"/>
      <c r="R131" s="5" t="s">
        <v>252</v>
      </c>
      <c r="S131" s="5" t="s">
        <v>257</v>
      </c>
      <c r="T131" s="6" t="s">
        <v>84</v>
      </c>
      <c r="U131" s="6">
        <v>0</v>
      </c>
      <c r="V131" s="25">
        <v>124</v>
      </c>
      <c r="W131" s="5">
        <v>3</v>
      </c>
      <c r="X131" s="7">
        <f t="shared" si="47"/>
        <v>22</v>
      </c>
      <c r="Y131" s="22">
        <f t="shared" si="48"/>
        <v>19</v>
      </c>
      <c r="Z131" s="15">
        <f t="shared" si="67"/>
        <v>3</v>
      </c>
      <c r="AA131" s="19">
        <v>2</v>
      </c>
      <c r="AB131" s="19">
        <v>0</v>
      </c>
      <c r="AC131" s="19">
        <v>2</v>
      </c>
      <c r="AD131" s="19">
        <v>1</v>
      </c>
      <c r="AE131" s="19">
        <v>0</v>
      </c>
      <c r="AF131" s="19">
        <v>0</v>
      </c>
      <c r="AG131" s="36">
        <f t="shared" si="68"/>
        <v>7</v>
      </c>
      <c r="AH131" s="36">
        <f t="shared" si="68"/>
        <v>0</v>
      </c>
      <c r="AI131" s="36">
        <f t="shared" si="68"/>
        <v>7</v>
      </c>
      <c r="AJ131" s="36">
        <f t="shared" si="68"/>
        <v>4</v>
      </c>
      <c r="AK131" s="36">
        <f t="shared" si="68"/>
        <v>3</v>
      </c>
      <c r="AL131" s="36">
        <f t="shared" si="68"/>
        <v>5</v>
      </c>
      <c r="AM131" s="7">
        <v>9</v>
      </c>
      <c r="AN131" s="7">
        <v>0</v>
      </c>
      <c r="AO131" s="7">
        <v>9</v>
      </c>
      <c r="AP131" s="7">
        <v>5</v>
      </c>
      <c r="AQ131" s="7">
        <v>3</v>
      </c>
      <c r="AR131" s="7">
        <v>5</v>
      </c>
      <c r="AS131" s="22">
        <f t="shared" si="50"/>
        <v>22</v>
      </c>
      <c r="AT131" s="22">
        <f t="shared" si="51"/>
        <v>5.3072625698324023</v>
      </c>
      <c r="AU131" s="5">
        <f t="shared" si="52"/>
        <v>14</v>
      </c>
      <c r="AV131" s="5">
        <f t="shared" si="53"/>
        <v>3.9106145251396649</v>
      </c>
      <c r="AW131" s="5">
        <f t="shared" si="54"/>
        <v>3</v>
      </c>
      <c r="AX131" s="5">
        <f t="shared" si="55"/>
        <v>1.9553072625698324</v>
      </c>
      <c r="AY131" s="5">
        <f t="shared" si="56"/>
        <v>0</v>
      </c>
      <c r="AZ131" s="5">
        <f t="shared" si="57"/>
        <v>1.9553072625698324</v>
      </c>
      <c r="BA131" s="5">
        <f t="shared" si="58"/>
        <v>1.1173184357541899</v>
      </c>
      <c r="BB131" s="5">
        <f t="shared" si="59"/>
        <v>0.83798882681564246</v>
      </c>
      <c r="BC131" s="5">
        <f t="shared" si="60"/>
        <v>1.3966480446927374</v>
      </c>
      <c r="BD131" s="6"/>
      <c r="BE131" s="6"/>
      <c r="BF131" s="59"/>
      <c r="BG131" s="6"/>
      <c r="BH131" s="5"/>
      <c r="BI131" s="5"/>
      <c r="BJ131" s="5" t="s">
        <v>256</v>
      </c>
    </row>
    <row r="132" spans="1:62">
      <c r="A132" s="2" t="s">
        <v>248</v>
      </c>
      <c r="B132" s="3" t="s">
        <v>85</v>
      </c>
      <c r="C132" s="3" t="s">
        <v>85</v>
      </c>
      <c r="D132" s="4">
        <v>85</v>
      </c>
      <c r="E132" s="4">
        <v>74</v>
      </c>
      <c r="F132" s="4">
        <v>2008</v>
      </c>
      <c r="G132" s="39">
        <v>70</v>
      </c>
      <c r="H132" s="28">
        <v>0</v>
      </c>
      <c r="I132" s="28">
        <v>2</v>
      </c>
      <c r="J132" s="12">
        <v>2019</v>
      </c>
      <c r="K132" s="5">
        <v>2024</v>
      </c>
      <c r="L132" s="5">
        <f t="shared" si="70"/>
        <v>4.58</v>
      </c>
      <c r="M132" s="5">
        <v>0</v>
      </c>
      <c r="N132" s="12" t="s">
        <v>258</v>
      </c>
      <c r="O132" s="12" t="s">
        <v>35</v>
      </c>
      <c r="P132" s="12">
        <v>0</v>
      </c>
      <c r="Q132" s="12"/>
      <c r="R132" s="12" t="s">
        <v>225</v>
      </c>
      <c r="S132" s="12" t="s">
        <v>573</v>
      </c>
      <c r="T132" s="6" t="s">
        <v>84</v>
      </c>
      <c r="U132" s="6">
        <v>0</v>
      </c>
      <c r="V132" s="25">
        <v>56</v>
      </c>
      <c r="W132" s="12">
        <v>5</v>
      </c>
      <c r="X132" s="7">
        <f t="shared" ref="X132:X195" si="71">SUM(Y132:Z132)</f>
        <v>16</v>
      </c>
      <c r="Y132" s="22">
        <f t="shared" ref="Y132:Y195" si="72">AS132-Z132</f>
        <v>9</v>
      </c>
      <c r="Z132" s="15">
        <f t="shared" si="67"/>
        <v>7</v>
      </c>
      <c r="AA132" s="19">
        <v>3</v>
      </c>
      <c r="AB132" s="19">
        <v>4</v>
      </c>
      <c r="AC132" s="19">
        <v>0</v>
      </c>
      <c r="AD132" s="19">
        <v>0</v>
      </c>
      <c r="AE132" s="19">
        <v>0</v>
      </c>
      <c r="AF132" s="19">
        <v>3</v>
      </c>
      <c r="AG132" s="36">
        <f t="shared" si="68"/>
        <v>7</v>
      </c>
      <c r="AH132" s="36">
        <f t="shared" si="68"/>
        <v>1</v>
      </c>
      <c r="AI132" s="36">
        <f t="shared" si="68"/>
        <v>1</v>
      </c>
      <c r="AJ132" s="36">
        <f t="shared" si="68"/>
        <v>0</v>
      </c>
      <c r="AK132" s="36">
        <f t="shared" si="68"/>
        <v>0</v>
      </c>
      <c r="AL132" s="36">
        <f t="shared" si="68"/>
        <v>7</v>
      </c>
      <c r="AM132" s="7">
        <v>10</v>
      </c>
      <c r="AN132" s="7">
        <v>5</v>
      </c>
      <c r="AO132" s="7">
        <v>1</v>
      </c>
      <c r="AP132" s="7">
        <v>0</v>
      </c>
      <c r="AQ132" s="7">
        <v>0</v>
      </c>
      <c r="AR132" s="7">
        <v>10</v>
      </c>
      <c r="AS132" s="22">
        <f t="shared" ref="AS132:AS195" si="73">AN132+AO132+AP132+AQ132+AR132</f>
        <v>16</v>
      </c>
      <c r="AT132" s="22">
        <f t="shared" ref="AT132:AT195" si="74">Y132/L132</f>
        <v>1.965065502183406</v>
      </c>
      <c r="AU132" s="5">
        <f t="shared" si="52"/>
        <v>2</v>
      </c>
      <c r="AV132" s="5">
        <f t="shared" si="53"/>
        <v>0.4366812227074236</v>
      </c>
      <c r="AW132" s="5">
        <f t="shared" si="54"/>
        <v>4</v>
      </c>
      <c r="AX132" s="5">
        <f t="shared" si="55"/>
        <v>1.5283842794759825</v>
      </c>
      <c r="AY132" s="5">
        <f t="shared" si="56"/>
        <v>0.2183406113537118</v>
      </c>
      <c r="AZ132" s="5">
        <f t="shared" si="57"/>
        <v>0.2183406113537118</v>
      </c>
      <c r="BA132" s="5">
        <f t="shared" si="58"/>
        <v>0</v>
      </c>
      <c r="BB132" s="5">
        <f t="shared" si="59"/>
        <v>0</v>
      </c>
      <c r="BC132" s="5">
        <f t="shared" si="60"/>
        <v>1.5283842794759825</v>
      </c>
      <c r="BD132" s="6"/>
      <c r="BE132" s="6"/>
      <c r="BF132" s="59"/>
      <c r="BG132" s="6"/>
      <c r="BH132" s="12"/>
      <c r="BI132" s="12"/>
      <c r="BJ132" s="12" t="s">
        <v>258</v>
      </c>
    </row>
    <row r="133" spans="1:62">
      <c r="A133" s="2" t="s">
        <v>248</v>
      </c>
      <c r="B133" s="3" t="s">
        <v>85</v>
      </c>
      <c r="C133" s="3" t="s">
        <v>85</v>
      </c>
      <c r="D133" s="4">
        <v>85</v>
      </c>
      <c r="E133" s="4">
        <v>74</v>
      </c>
      <c r="F133" s="4">
        <v>2008</v>
      </c>
      <c r="G133" s="39">
        <v>70</v>
      </c>
      <c r="H133" s="28">
        <v>0</v>
      </c>
      <c r="I133" s="28">
        <v>2</v>
      </c>
      <c r="J133" s="5">
        <v>2018</v>
      </c>
      <c r="K133" s="5">
        <v>2024</v>
      </c>
      <c r="L133" s="5">
        <f t="shared" si="70"/>
        <v>5.58</v>
      </c>
      <c r="M133" s="5">
        <v>0</v>
      </c>
      <c r="N133" s="5" t="s">
        <v>591</v>
      </c>
      <c r="O133" s="5" t="s">
        <v>35</v>
      </c>
      <c r="P133" s="5">
        <v>0</v>
      </c>
      <c r="Q133" s="5"/>
      <c r="R133" s="5" t="s">
        <v>225</v>
      </c>
      <c r="S133" s="5" t="s">
        <v>259</v>
      </c>
      <c r="T133" s="6" t="s">
        <v>84</v>
      </c>
      <c r="U133" s="6">
        <v>0</v>
      </c>
      <c r="V133" s="25" t="s">
        <v>107</v>
      </c>
      <c r="W133" s="5">
        <v>1</v>
      </c>
      <c r="X133" s="7">
        <f t="shared" si="71"/>
        <v>14</v>
      </c>
      <c r="Y133" s="22">
        <f t="shared" si="72"/>
        <v>14</v>
      </c>
      <c r="Z133" s="15">
        <f t="shared" si="67"/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36">
        <f t="shared" si="68"/>
        <v>8</v>
      </c>
      <c r="AH133" s="36">
        <f t="shared" si="68"/>
        <v>0</v>
      </c>
      <c r="AI133" s="36">
        <f t="shared" si="68"/>
        <v>6</v>
      </c>
      <c r="AJ133" s="36">
        <f t="shared" si="68"/>
        <v>5</v>
      </c>
      <c r="AK133" s="36">
        <f t="shared" si="68"/>
        <v>0</v>
      </c>
      <c r="AL133" s="36">
        <f t="shared" si="68"/>
        <v>3</v>
      </c>
      <c r="AM133" s="7">
        <v>8</v>
      </c>
      <c r="AN133" s="7">
        <v>0</v>
      </c>
      <c r="AO133" s="7">
        <v>6</v>
      </c>
      <c r="AP133" s="7">
        <v>5</v>
      </c>
      <c r="AQ133" s="7">
        <v>0</v>
      </c>
      <c r="AR133" s="7">
        <v>3</v>
      </c>
      <c r="AS133" s="22">
        <f t="shared" si="73"/>
        <v>14</v>
      </c>
      <c r="AT133" s="22">
        <f t="shared" si="74"/>
        <v>2.5089605734767026</v>
      </c>
      <c r="AU133" s="5">
        <f t="shared" si="52"/>
        <v>11</v>
      </c>
      <c r="AV133" s="5">
        <f t="shared" si="53"/>
        <v>1.9713261648745519</v>
      </c>
      <c r="AW133" s="5">
        <f t="shared" si="54"/>
        <v>0</v>
      </c>
      <c r="AX133" s="5">
        <f t="shared" si="55"/>
        <v>1.4336917562724014</v>
      </c>
      <c r="AY133" s="5">
        <f t="shared" si="56"/>
        <v>0</v>
      </c>
      <c r="AZ133" s="5">
        <f t="shared" si="57"/>
        <v>1.075268817204301</v>
      </c>
      <c r="BA133" s="5">
        <f t="shared" si="58"/>
        <v>0.89605734767025091</v>
      </c>
      <c r="BB133" s="5">
        <f t="shared" si="59"/>
        <v>0</v>
      </c>
      <c r="BC133" s="5">
        <f t="shared" si="60"/>
        <v>0.5376344086021505</v>
      </c>
      <c r="BD133" s="6"/>
      <c r="BE133" s="6"/>
      <c r="BF133" s="59"/>
      <c r="BG133" s="6"/>
      <c r="BH133" s="5"/>
      <c r="BI133" s="5"/>
      <c r="BJ133" s="5" t="s">
        <v>591</v>
      </c>
    </row>
    <row r="134" spans="1:62">
      <c r="A134" s="2" t="s">
        <v>248</v>
      </c>
      <c r="B134" s="3" t="s">
        <v>85</v>
      </c>
      <c r="C134" s="3" t="s">
        <v>85</v>
      </c>
      <c r="D134" s="4">
        <v>85</v>
      </c>
      <c r="E134" s="4">
        <v>74</v>
      </c>
      <c r="F134" s="4">
        <v>2008</v>
      </c>
      <c r="G134" s="39">
        <v>70</v>
      </c>
      <c r="H134" s="28">
        <v>0</v>
      </c>
      <c r="I134" s="28">
        <v>2</v>
      </c>
      <c r="J134" s="5">
        <v>2018</v>
      </c>
      <c r="K134" s="5">
        <v>2024</v>
      </c>
      <c r="L134" s="5">
        <f t="shared" si="70"/>
        <v>5.58</v>
      </c>
      <c r="M134" s="5">
        <v>0</v>
      </c>
      <c r="N134" s="5" t="s">
        <v>592</v>
      </c>
      <c r="O134" s="5" t="s">
        <v>28</v>
      </c>
      <c r="P134" s="5">
        <v>0</v>
      </c>
      <c r="Q134" s="5"/>
      <c r="R134" s="5" t="s">
        <v>225</v>
      </c>
      <c r="S134" s="5" t="s">
        <v>260</v>
      </c>
      <c r="T134" s="6" t="s">
        <v>84</v>
      </c>
      <c r="U134" s="6">
        <v>0</v>
      </c>
      <c r="V134" s="25" t="s">
        <v>107</v>
      </c>
      <c r="W134" s="5">
        <v>1</v>
      </c>
      <c r="X134" s="7">
        <f t="shared" si="71"/>
        <v>2</v>
      </c>
      <c r="Y134" s="22">
        <f t="shared" si="72"/>
        <v>1</v>
      </c>
      <c r="Z134" s="15">
        <f t="shared" si="67"/>
        <v>1</v>
      </c>
      <c r="AA134" s="19">
        <v>0</v>
      </c>
      <c r="AB134" s="19">
        <v>1</v>
      </c>
      <c r="AC134" s="19">
        <v>0</v>
      </c>
      <c r="AD134" s="19">
        <v>0</v>
      </c>
      <c r="AE134" s="19">
        <v>0</v>
      </c>
      <c r="AF134" s="19">
        <v>0</v>
      </c>
      <c r="AG134" s="36">
        <f t="shared" si="68"/>
        <v>1</v>
      </c>
      <c r="AH134" s="36">
        <f t="shared" si="68"/>
        <v>0</v>
      </c>
      <c r="AI134" s="36">
        <f t="shared" si="68"/>
        <v>0</v>
      </c>
      <c r="AJ134" s="36">
        <f t="shared" si="68"/>
        <v>0</v>
      </c>
      <c r="AK134" s="36">
        <f t="shared" si="68"/>
        <v>0</v>
      </c>
      <c r="AL134" s="36">
        <f t="shared" si="68"/>
        <v>1</v>
      </c>
      <c r="AM134" s="7">
        <v>1</v>
      </c>
      <c r="AN134" s="7">
        <v>1</v>
      </c>
      <c r="AO134" s="7">
        <v>0</v>
      </c>
      <c r="AP134" s="7">
        <v>0</v>
      </c>
      <c r="AQ134" s="7">
        <v>0</v>
      </c>
      <c r="AR134" s="7">
        <v>1</v>
      </c>
      <c r="AS134" s="22">
        <f t="shared" si="73"/>
        <v>2</v>
      </c>
      <c r="AT134" s="22">
        <f t="shared" si="74"/>
        <v>0.17921146953405018</v>
      </c>
      <c r="AU134" s="5">
        <f t="shared" ref="AU134:AU197" si="75">Y134-AL134</f>
        <v>0</v>
      </c>
      <c r="AV134" s="5">
        <f t="shared" ref="AV134:AV197" si="76">AU134/L134</f>
        <v>0</v>
      </c>
      <c r="AW134" s="5">
        <f t="shared" ref="AW134:AW197" si="77">Z134-AF134</f>
        <v>1</v>
      </c>
      <c r="AX134" s="5">
        <f t="shared" ref="AX134:AX197" si="78">AG134/L134</f>
        <v>0.17921146953405018</v>
      </c>
      <c r="AY134" s="5">
        <f t="shared" ref="AY134:AY197" si="79">AH134/L134</f>
        <v>0</v>
      </c>
      <c r="AZ134" s="5">
        <f t="shared" ref="AZ134:AZ197" si="80">AI134/L134</f>
        <v>0</v>
      </c>
      <c r="BA134" s="5">
        <f t="shared" ref="BA134:BA197" si="81">AJ134/L134</f>
        <v>0</v>
      </c>
      <c r="BB134" s="5">
        <f t="shared" ref="BB134:BB197" si="82">AK134/L134</f>
        <v>0</v>
      </c>
      <c r="BC134" s="5">
        <f t="shared" ref="BC134:BC197" si="83">AL134/L134</f>
        <v>0.17921146953405018</v>
      </c>
      <c r="BD134" s="6"/>
      <c r="BE134" s="6"/>
      <c r="BF134" s="59"/>
      <c r="BG134" s="6"/>
      <c r="BH134" s="5"/>
      <c r="BI134" s="5"/>
      <c r="BJ134" s="5" t="s">
        <v>592</v>
      </c>
    </row>
    <row r="135" spans="1:62">
      <c r="A135" s="2" t="s">
        <v>248</v>
      </c>
      <c r="B135" s="3" t="s">
        <v>85</v>
      </c>
      <c r="C135" s="3" t="s">
        <v>85</v>
      </c>
      <c r="D135" s="4">
        <v>85</v>
      </c>
      <c r="E135" s="4">
        <v>74</v>
      </c>
      <c r="F135" s="4">
        <v>2008</v>
      </c>
      <c r="G135" s="39">
        <v>70</v>
      </c>
      <c r="H135" s="28">
        <v>0</v>
      </c>
      <c r="I135" s="28">
        <v>2</v>
      </c>
      <c r="J135" s="5">
        <v>2018</v>
      </c>
      <c r="K135" s="5">
        <v>2024</v>
      </c>
      <c r="L135" s="5">
        <f t="shared" si="70"/>
        <v>5.58</v>
      </c>
      <c r="M135" s="5">
        <v>0</v>
      </c>
      <c r="N135" s="5" t="s">
        <v>261</v>
      </c>
      <c r="O135" s="5" t="s">
        <v>28</v>
      </c>
      <c r="P135" s="5">
        <v>0</v>
      </c>
      <c r="Q135" s="5"/>
      <c r="R135" s="5" t="s">
        <v>225</v>
      </c>
      <c r="S135" s="5" t="s">
        <v>573</v>
      </c>
      <c r="T135" s="6" t="s">
        <v>84</v>
      </c>
      <c r="U135" s="6">
        <v>0</v>
      </c>
      <c r="V135" s="25">
        <v>56</v>
      </c>
      <c r="W135" s="5">
        <v>5</v>
      </c>
      <c r="X135" s="7">
        <f t="shared" si="71"/>
        <v>48</v>
      </c>
      <c r="Y135" s="22">
        <f t="shared" si="72"/>
        <v>45</v>
      </c>
      <c r="Z135" s="15">
        <f t="shared" si="67"/>
        <v>3</v>
      </c>
      <c r="AA135" s="19">
        <v>2</v>
      </c>
      <c r="AB135" s="19">
        <v>0</v>
      </c>
      <c r="AC135" s="19">
        <v>0</v>
      </c>
      <c r="AD135" s="19">
        <v>1</v>
      </c>
      <c r="AE135" s="19">
        <v>1</v>
      </c>
      <c r="AF135" s="19">
        <v>1</v>
      </c>
      <c r="AG135" s="36">
        <f t="shared" si="68"/>
        <v>21</v>
      </c>
      <c r="AH135" s="36">
        <f t="shared" si="68"/>
        <v>6</v>
      </c>
      <c r="AI135" s="36">
        <f t="shared" si="68"/>
        <v>21</v>
      </c>
      <c r="AJ135" s="36">
        <f t="shared" si="68"/>
        <v>1</v>
      </c>
      <c r="AK135" s="36">
        <f t="shared" si="68"/>
        <v>9</v>
      </c>
      <c r="AL135" s="36">
        <f t="shared" si="68"/>
        <v>8</v>
      </c>
      <c r="AM135" s="7">
        <v>23</v>
      </c>
      <c r="AN135" s="7">
        <v>6</v>
      </c>
      <c r="AO135" s="7">
        <v>21</v>
      </c>
      <c r="AP135" s="7">
        <v>2</v>
      </c>
      <c r="AQ135" s="7">
        <v>10</v>
      </c>
      <c r="AR135" s="7">
        <v>9</v>
      </c>
      <c r="AS135" s="22">
        <f t="shared" si="73"/>
        <v>48</v>
      </c>
      <c r="AT135" s="22">
        <f t="shared" si="74"/>
        <v>8.064516129032258</v>
      </c>
      <c r="AU135" s="5">
        <f t="shared" si="75"/>
        <v>37</v>
      </c>
      <c r="AV135" s="5">
        <f t="shared" si="76"/>
        <v>6.6308243727598564</v>
      </c>
      <c r="AW135" s="5">
        <f t="shared" si="77"/>
        <v>2</v>
      </c>
      <c r="AX135" s="5">
        <f t="shared" si="78"/>
        <v>3.7634408602150535</v>
      </c>
      <c r="AY135" s="5">
        <f t="shared" si="79"/>
        <v>1.075268817204301</v>
      </c>
      <c r="AZ135" s="5">
        <f t="shared" si="80"/>
        <v>3.7634408602150535</v>
      </c>
      <c r="BA135" s="5">
        <f t="shared" si="81"/>
        <v>0.17921146953405018</v>
      </c>
      <c r="BB135" s="5">
        <f t="shared" si="82"/>
        <v>1.6129032258064515</v>
      </c>
      <c r="BC135" s="5">
        <f t="shared" si="83"/>
        <v>1.4336917562724014</v>
      </c>
      <c r="BD135" s="6"/>
      <c r="BE135" s="6"/>
      <c r="BF135" s="59"/>
      <c r="BG135" s="6"/>
      <c r="BH135" s="5"/>
      <c r="BI135" s="5"/>
      <c r="BJ135" s="5" t="s">
        <v>261</v>
      </c>
    </row>
    <row r="136" spans="1:62">
      <c r="A136" s="2" t="s">
        <v>248</v>
      </c>
      <c r="B136" s="3" t="s">
        <v>85</v>
      </c>
      <c r="C136" s="3" t="s">
        <v>85</v>
      </c>
      <c r="D136" s="4">
        <v>85</v>
      </c>
      <c r="E136" s="4">
        <v>74</v>
      </c>
      <c r="F136" s="4">
        <v>2008</v>
      </c>
      <c r="G136" s="39">
        <v>70</v>
      </c>
      <c r="H136" s="28">
        <v>0</v>
      </c>
      <c r="I136" s="28">
        <v>2</v>
      </c>
      <c r="J136" s="5">
        <v>2016</v>
      </c>
      <c r="K136" s="5">
        <v>2022</v>
      </c>
      <c r="L136" s="5">
        <f>(K136-J136)</f>
        <v>6</v>
      </c>
      <c r="M136" s="5">
        <v>1</v>
      </c>
      <c r="N136" s="5" t="s">
        <v>593</v>
      </c>
      <c r="O136" s="5" t="s">
        <v>35</v>
      </c>
      <c r="P136" s="5">
        <v>0</v>
      </c>
      <c r="Q136" s="5"/>
      <c r="R136" s="5" t="s">
        <v>225</v>
      </c>
      <c r="S136" s="5" t="s">
        <v>475</v>
      </c>
      <c r="T136" s="6" t="s">
        <v>84</v>
      </c>
      <c r="U136" s="6">
        <v>0</v>
      </c>
      <c r="V136" s="25">
        <v>101</v>
      </c>
      <c r="W136" s="5">
        <v>1</v>
      </c>
      <c r="X136" s="7">
        <f t="shared" si="71"/>
        <v>6</v>
      </c>
      <c r="Y136" s="22">
        <f t="shared" si="72"/>
        <v>6</v>
      </c>
      <c r="Z136" s="15">
        <f t="shared" si="67"/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36">
        <f t="shared" si="68"/>
        <v>5</v>
      </c>
      <c r="AH136" s="36">
        <f t="shared" si="68"/>
        <v>0</v>
      </c>
      <c r="AI136" s="36">
        <f t="shared" si="68"/>
        <v>0</v>
      </c>
      <c r="AJ136" s="36">
        <f t="shared" si="68"/>
        <v>2</v>
      </c>
      <c r="AK136" s="36">
        <f t="shared" si="68"/>
        <v>0</v>
      </c>
      <c r="AL136" s="36">
        <f t="shared" si="68"/>
        <v>4</v>
      </c>
      <c r="AM136" s="45">
        <v>5</v>
      </c>
      <c r="AN136" s="45">
        <v>0</v>
      </c>
      <c r="AO136" s="45">
        <v>0</v>
      </c>
      <c r="AP136" s="45">
        <v>2</v>
      </c>
      <c r="AQ136" s="45">
        <v>0</v>
      </c>
      <c r="AR136" s="45">
        <v>4</v>
      </c>
      <c r="AS136" s="22">
        <f t="shared" si="73"/>
        <v>6</v>
      </c>
      <c r="AT136" s="22">
        <f t="shared" si="74"/>
        <v>1</v>
      </c>
      <c r="AU136" s="5">
        <f t="shared" si="75"/>
        <v>2</v>
      </c>
      <c r="AV136" s="5">
        <f t="shared" si="76"/>
        <v>0.33333333333333331</v>
      </c>
      <c r="AW136" s="5">
        <f t="shared" si="77"/>
        <v>0</v>
      </c>
      <c r="AX136" s="5">
        <f t="shared" si="78"/>
        <v>0.83333333333333337</v>
      </c>
      <c r="AY136" s="5">
        <f t="shared" si="79"/>
        <v>0</v>
      </c>
      <c r="AZ136" s="5">
        <f t="shared" si="80"/>
        <v>0</v>
      </c>
      <c r="BA136" s="5">
        <f t="shared" si="81"/>
        <v>0.33333333333333331</v>
      </c>
      <c r="BB136" s="5">
        <f t="shared" si="82"/>
        <v>0</v>
      </c>
      <c r="BC136" s="5">
        <f t="shared" si="83"/>
        <v>0.66666666666666663</v>
      </c>
      <c r="BD136" s="6"/>
      <c r="BE136" s="6"/>
      <c r="BF136" s="59">
        <v>1</v>
      </c>
      <c r="BG136" s="6" t="s">
        <v>705</v>
      </c>
      <c r="BH136" s="5"/>
      <c r="BI136" s="5"/>
      <c r="BJ136" s="5" t="s">
        <v>593</v>
      </c>
    </row>
    <row r="137" spans="1:62">
      <c r="A137" s="2" t="s">
        <v>248</v>
      </c>
      <c r="B137" s="3" t="s">
        <v>85</v>
      </c>
      <c r="C137" s="3" t="s">
        <v>85</v>
      </c>
      <c r="D137" s="4">
        <v>85</v>
      </c>
      <c r="E137" s="4">
        <v>74</v>
      </c>
      <c r="F137" s="4">
        <v>2008</v>
      </c>
      <c r="G137" s="39">
        <v>70</v>
      </c>
      <c r="H137" s="28">
        <v>0</v>
      </c>
      <c r="I137" s="28">
        <v>2</v>
      </c>
      <c r="J137" s="5">
        <v>2015</v>
      </c>
      <c r="K137" s="5">
        <v>2021</v>
      </c>
      <c r="L137" s="5">
        <f>(K137-J137)</f>
        <v>6</v>
      </c>
      <c r="M137" s="5">
        <v>1</v>
      </c>
      <c r="N137" s="5" t="s">
        <v>594</v>
      </c>
      <c r="O137" s="5" t="s">
        <v>35</v>
      </c>
      <c r="P137" s="5">
        <v>0</v>
      </c>
      <c r="Q137" s="5"/>
      <c r="R137" s="5" t="s">
        <v>225</v>
      </c>
      <c r="S137" s="12" t="s">
        <v>573</v>
      </c>
      <c r="T137" s="6" t="s">
        <v>84</v>
      </c>
      <c r="U137" s="6">
        <v>0</v>
      </c>
      <c r="V137" s="25">
        <v>56</v>
      </c>
      <c r="W137" s="5">
        <v>7</v>
      </c>
      <c r="X137" s="7">
        <f t="shared" si="71"/>
        <v>16</v>
      </c>
      <c r="Y137" s="22">
        <f t="shared" si="72"/>
        <v>12</v>
      </c>
      <c r="Z137" s="15">
        <f t="shared" si="67"/>
        <v>4</v>
      </c>
      <c r="AA137" s="47">
        <v>1</v>
      </c>
      <c r="AB137" s="47">
        <v>2</v>
      </c>
      <c r="AC137" s="47">
        <v>1</v>
      </c>
      <c r="AD137" s="47">
        <v>1</v>
      </c>
      <c r="AE137" s="47">
        <v>0</v>
      </c>
      <c r="AF137" s="47">
        <v>0</v>
      </c>
      <c r="AG137" s="36">
        <f t="shared" si="68"/>
        <v>1</v>
      </c>
      <c r="AH137" s="36">
        <f t="shared" si="68"/>
        <v>2</v>
      </c>
      <c r="AI137" s="36">
        <f t="shared" si="68"/>
        <v>4</v>
      </c>
      <c r="AJ137" s="36">
        <f t="shared" si="68"/>
        <v>3</v>
      </c>
      <c r="AK137" s="36">
        <f t="shared" si="68"/>
        <v>0</v>
      </c>
      <c r="AL137" s="36">
        <f t="shared" si="68"/>
        <v>3</v>
      </c>
      <c r="AM137" s="45">
        <v>2</v>
      </c>
      <c r="AN137" s="45">
        <v>4</v>
      </c>
      <c r="AO137" s="45">
        <v>5</v>
      </c>
      <c r="AP137" s="45">
        <v>4</v>
      </c>
      <c r="AQ137" s="45">
        <v>0</v>
      </c>
      <c r="AR137" s="45">
        <v>3</v>
      </c>
      <c r="AS137" s="22">
        <f t="shared" si="73"/>
        <v>16</v>
      </c>
      <c r="AT137" s="22">
        <f t="shared" si="74"/>
        <v>2</v>
      </c>
      <c r="AU137" s="5">
        <f t="shared" si="75"/>
        <v>9</v>
      </c>
      <c r="AV137" s="5">
        <f t="shared" si="76"/>
        <v>1.5</v>
      </c>
      <c r="AW137" s="5">
        <f t="shared" si="77"/>
        <v>4</v>
      </c>
      <c r="AX137" s="5">
        <f t="shared" si="78"/>
        <v>0.16666666666666666</v>
      </c>
      <c r="AY137" s="5">
        <f t="shared" si="79"/>
        <v>0.33333333333333331</v>
      </c>
      <c r="AZ137" s="5">
        <f t="shared" si="80"/>
        <v>0.66666666666666663</v>
      </c>
      <c r="BA137" s="5">
        <f t="shared" si="81"/>
        <v>0.5</v>
      </c>
      <c r="BB137" s="5">
        <f t="shared" si="82"/>
        <v>0</v>
      </c>
      <c r="BC137" s="5">
        <f t="shared" si="83"/>
        <v>0.5</v>
      </c>
      <c r="BD137" s="6">
        <v>0</v>
      </c>
      <c r="BE137" s="6"/>
      <c r="BF137" s="59">
        <v>1</v>
      </c>
      <c r="BG137" s="6" t="s">
        <v>706</v>
      </c>
      <c r="BH137" s="5"/>
      <c r="BI137" s="5"/>
      <c r="BJ137" s="5" t="s">
        <v>594</v>
      </c>
    </row>
    <row r="138" spans="1:62" ht="31">
      <c r="A138" s="2" t="s">
        <v>262</v>
      </c>
      <c r="B138" s="6" t="s">
        <v>32</v>
      </c>
      <c r="C138" s="6" t="s">
        <v>32</v>
      </c>
      <c r="D138" s="4">
        <v>50</v>
      </c>
      <c r="E138" s="4">
        <v>74</v>
      </c>
      <c r="F138" s="4">
        <v>2011</v>
      </c>
      <c r="G138" s="39">
        <v>23</v>
      </c>
      <c r="H138" s="28">
        <v>0</v>
      </c>
      <c r="I138" s="28">
        <v>2</v>
      </c>
      <c r="J138" s="5">
        <v>2018</v>
      </c>
      <c r="K138" s="5">
        <v>2024</v>
      </c>
      <c r="L138" s="5">
        <f>(K138-J138)-0.42</f>
        <v>5.58</v>
      </c>
      <c r="M138" s="5">
        <v>0</v>
      </c>
      <c r="N138" s="5" t="s">
        <v>515</v>
      </c>
      <c r="O138" s="5" t="s">
        <v>35</v>
      </c>
      <c r="P138" s="5">
        <v>0</v>
      </c>
      <c r="Q138" s="5"/>
      <c r="R138" s="5" t="s">
        <v>225</v>
      </c>
      <c r="S138" s="5" t="s">
        <v>489</v>
      </c>
      <c r="T138" s="6" t="s">
        <v>218</v>
      </c>
      <c r="U138" s="6">
        <v>0</v>
      </c>
      <c r="V138" s="25">
        <v>13</v>
      </c>
      <c r="W138" s="5">
        <v>4</v>
      </c>
      <c r="X138" s="7">
        <f t="shared" si="71"/>
        <v>12</v>
      </c>
      <c r="Y138" s="22">
        <f t="shared" si="72"/>
        <v>12</v>
      </c>
      <c r="Z138" s="15">
        <f t="shared" si="67"/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36">
        <f t="shared" si="68"/>
        <v>9</v>
      </c>
      <c r="AH138" s="36">
        <f t="shared" si="68"/>
        <v>0</v>
      </c>
      <c r="AI138" s="36">
        <f t="shared" si="68"/>
        <v>12</v>
      </c>
      <c r="AJ138" s="36">
        <f t="shared" si="68"/>
        <v>0</v>
      </c>
      <c r="AK138" s="36">
        <f t="shared" si="68"/>
        <v>0</v>
      </c>
      <c r="AL138" s="36">
        <f t="shared" si="68"/>
        <v>0</v>
      </c>
      <c r="AM138" s="45">
        <v>9</v>
      </c>
      <c r="AN138" s="45">
        <v>0</v>
      </c>
      <c r="AO138" s="45">
        <v>12</v>
      </c>
      <c r="AP138" s="45">
        <v>0</v>
      </c>
      <c r="AQ138" s="45">
        <v>0</v>
      </c>
      <c r="AR138" s="45">
        <v>0</v>
      </c>
      <c r="AS138" s="22">
        <f t="shared" si="73"/>
        <v>12</v>
      </c>
      <c r="AT138" s="22">
        <f t="shared" si="74"/>
        <v>2.150537634408602</v>
      </c>
      <c r="AU138" s="5">
        <f t="shared" si="75"/>
        <v>12</v>
      </c>
      <c r="AV138" s="5">
        <f t="shared" si="76"/>
        <v>2.150537634408602</v>
      </c>
      <c r="AW138" s="5">
        <f t="shared" si="77"/>
        <v>0</v>
      </c>
      <c r="AX138" s="5">
        <f t="shared" si="78"/>
        <v>1.6129032258064515</v>
      </c>
      <c r="AY138" s="5">
        <f t="shared" si="79"/>
        <v>0</v>
      </c>
      <c r="AZ138" s="5">
        <f t="shared" si="80"/>
        <v>2.150537634408602</v>
      </c>
      <c r="BA138" s="5">
        <f t="shared" si="81"/>
        <v>0</v>
      </c>
      <c r="BB138" s="5">
        <f t="shared" si="82"/>
        <v>0</v>
      </c>
      <c r="BC138" s="5">
        <f t="shared" si="83"/>
        <v>0</v>
      </c>
      <c r="BD138" s="6"/>
      <c r="BE138" s="6"/>
      <c r="BF138" s="59"/>
      <c r="BG138" s="6"/>
      <c r="BH138" s="5"/>
      <c r="BI138" s="5"/>
      <c r="BJ138" s="5" t="s">
        <v>515</v>
      </c>
    </row>
    <row r="139" spans="1:62" ht="31">
      <c r="A139" s="2" t="s">
        <v>262</v>
      </c>
      <c r="B139" s="6" t="s">
        <v>32</v>
      </c>
      <c r="C139" s="6" t="s">
        <v>32</v>
      </c>
      <c r="D139" s="4">
        <v>50</v>
      </c>
      <c r="E139" s="4">
        <v>74</v>
      </c>
      <c r="F139" s="4">
        <v>2011</v>
      </c>
      <c r="G139" s="39">
        <v>23</v>
      </c>
      <c r="H139" s="28">
        <v>0</v>
      </c>
      <c r="I139" s="28">
        <v>2</v>
      </c>
      <c r="J139" s="5">
        <v>2016</v>
      </c>
      <c r="K139" s="5">
        <v>2022</v>
      </c>
      <c r="L139" s="5">
        <f>(K139-J139)</f>
        <v>6</v>
      </c>
      <c r="M139" s="5">
        <v>1</v>
      </c>
      <c r="N139" s="5" t="s">
        <v>595</v>
      </c>
      <c r="O139" s="5" t="s">
        <v>35</v>
      </c>
      <c r="P139" s="5">
        <v>0</v>
      </c>
      <c r="Q139" s="5"/>
      <c r="R139" s="5" t="s">
        <v>225</v>
      </c>
      <c r="S139" s="39" t="s">
        <v>516</v>
      </c>
      <c r="T139" s="6" t="s">
        <v>84</v>
      </c>
      <c r="U139" s="6">
        <v>0</v>
      </c>
      <c r="V139" s="25">
        <v>71</v>
      </c>
      <c r="W139" s="5">
        <v>6</v>
      </c>
      <c r="X139" s="7">
        <f t="shared" si="71"/>
        <v>10</v>
      </c>
      <c r="Y139" s="22">
        <f t="shared" si="72"/>
        <v>10</v>
      </c>
      <c r="Z139" s="15">
        <f t="shared" si="67"/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36">
        <f t="shared" si="68"/>
        <v>3</v>
      </c>
      <c r="AH139" s="36">
        <f t="shared" si="68"/>
        <v>0</v>
      </c>
      <c r="AI139" s="36">
        <f t="shared" si="68"/>
        <v>7</v>
      </c>
      <c r="AJ139" s="36">
        <f t="shared" si="68"/>
        <v>2</v>
      </c>
      <c r="AK139" s="36">
        <f t="shared" si="68"/>
        <v>0</v>
      </c>
      <c r="AL139" s="36">
        <f t="shared" si="68"/>
        <v>1</v>
      </c>
      <c r="AM139" s="45">
        <v>3</v>
      </c>
      <c r="AN139" s="45">
        <v>0</v>
      </c>
      <c r="AO139" s="45">
        <v>7</v>
      </c>
      <c r="AP139" s="45">
        <v>2</v>
      </c>
      <c r="AQ139" s="45">
        <v>0</v>
      </c>
      <c r="AR139" s="45">
        <v>1</v>
      </c>
      <c r="AS139" s="22">
        <f t="shared" si="73"/>
        <v>10</v>
      </c>
      <c r="AT139" s="22">
        <f t="shared" si="74"/>
        <v>1.6666666666666667</v>
      </c>
      <c r="AU139" s="5">
        <f t="shared" si="75"/>
        <v>9</v>
      </c>
      <c r="AV139" s="5">
        <f t="shared" si="76"/>
        <v>1.5</v>
      </c>
      <c r="AW139" s="5">
        <f t="shared" si="77"/>
        <v>0</v>
      </c>
      <c r="AX139" s="5">
        <f t="shared" si="78"/>
        <v>0.5</v>
      </c>
      <c r="AY139" s="5">
        <f t="shared" si="79"/>
        <v>0</v>
      </c>
      <c r="AZ139" s="5">
        <f t="shared" si="80"/>
        <v>1.1666666666666667</v>
      </c>
      <c r="BA139" s="5">
        <f t="shared" si="81"/>
        <v>0.33333333333333331</v>
      </c>
      <c r="BB139" s="5">
        <f t="shared" si="82"/>
        <v>0</v>
      </c>
      <c r="BC139" s="5">
        <f t="shared" si="83"/>
        <v>0.16666666666666666</v>
      </c>
      <c r="BD139" s="6"/>
      <c r="BE139" s="6"/>
      <c r="BF139" s="59">
        <v>0</v>
      </c>
      <c r="BG139" s="6" t="s">
        <v>707</v>
      </c>
      <c r="BH139" s="5"/>
      <c r="BI139" s="5"/>
      <c r="BJ139" s="5" t="s">
        <v>595</v>
      </c>
    </row>
    <row r="140" spans="1:62" ht="31">
      <c r="A140" s="2" t="s">
        <v>262</v>
      </c>
      <c r="B140" s="6" t="s">
        <v>32</v>
      </c>
      <c r="C140" s="6" t="s">
        <v>32</v>
      </c>
      <c r="D140" s="4">
        <v>50</v>
      </c>
      <c r="E140" s="4">
        <v>74</v>
      </c>
      <c r="F140" s="4">
        <v>2011</v>
      </c>
      <c r="G140" s="39">
        <v>23</v>
      </c>
      <c r="H140" s="28">
        <v>0</v>
      </c>
      <c r="I140" s="28">
        <v>2</v>
      </c>
      <c r="J140" s="5">
        <v>2022</v>
      </c>
      <c r="K140" s="5">
        <v>2024</v>
      </c>
      <c r="L140" s="5">
        <f>(K140-J140)-0.42</f>
        <v>1.58</v>
      </c>
      <c r="M140" s="5">
        <v>0</v>
      </c>
      <c r="N140" s="5" t="s">
        <v>263</v>
      </c>
      <c r="O140" s="5" t="s">
        <v>35</v>
      </c>
      <c r="P140" s="5">
        <v>0</v>
      </c>
      <c r="Q140" s="5"/>
      <c r="R140" s="5" t="s">
        <v>225</v>
      </c>
      <c r="S140" s="5" t="s">
        <v>264</v>
      </c>
      <c r="T140" s="6" t="s">
        <v>218</v>
      </c>
      <c r="U140" s="6">
        <v>0</v>
      </c>
      <c r="V140" s="25">
        <v>13</v>
      </c>
      <c r="W140" s="5">
        <v>7</v>
      </c>
      <c r="X140" s="7">
        <f t="shared" si="71"/>
        <v>19</v>
      </c>
      <c r="Y140" s="22">
        <f t="shared" si="72"/>
        <v>3</v>
      </c>
      <c r="Z140" s="15">
        <f t="shared" si="67"/>
        <v>16</v>
      </c>
      <c r="AA140" s="19">
        <v>2</v>
      </c>
      <c r="AB140" s="19">
        <v>0</v>
      </c>
      <c r="AC140" s="19">
        <v>8</v>
      </c>
      <c r="AD140" s="19">
        <v>4</v>
      </c>
      <c r="AE140" s="19">
        <v>1</v>
      </c>
      <c r="AF140" s="19">
        <v>3</v>
      </c>
      <c r="AG140" s="36">
        <f t="shared" si="68"/>
        <v>1</v>
      </c>
      <c r="AH140" s="36">
        <f t="shared" si="68"/>
        <v>0</v>
      </c>
      <c r="AI140" s="36">
        <f t="shared" si="68"/>
        <v>3</v>
      </c>
      <c r="AJ140" s="36">
        <f t="shared" si="68"/>
        <v>0</v>
      </c>
      <c r="AK140" s="36">
        <f t="shared" si="68"/>
        <v>0</v>
      </c>
      <c r="AL140" s="36">
        <f t="shared" si="68"/>
        <v>0</v>
      </c>
      <c r="AM140" s="7">
        <v>3</v>
      </c>
      <c r="AN140" s="7">
        <v>0</v>
      </c>
      <c r="AO140" s="7">
        <v>11</v>
      </c>
      <c r="AP140" s="7">
        <v>4</v>
      </c>
      <c r="AQ140" s="7">
        <v>1</v>
      </c>
      <c r="AR140" s="7">
        <v>3</v>
      </c>
      <c r="AS140" s="22">
        <f t="shared" si="73"/>
        <v>19</v>
      </c>
      <c r="AT140" s="22">
        <f t="shared" si="74"/>
        <v>1.8987341772151898</v>
      </c>
      <c r="AU140" s="5">
        <f t="shared" si="75"/>
        <v>3</v>
      </c>
      <c r="AV140" s="5">
        <f t="shared" si="76"/>
        <v>1.8987341772151898</v>
      </c>
      <c r="AW140" s="5">
        <f t="shared" si="77"/>
        <v>13</v>
      </c>
      <c r="AX140" s="5">
        <f t="shared" si="78"/>
        <v>0.63291139240506322</v>
      </c>
      <c r="AY140" s="5">
        <f t="shared" si="79"/>
        <v>0</v>
      </c>
      <c r="AZ140" s="5">
        <f t="shared" si="80"/>
        <v>1.8987341772151898</v>
      </c>
      <c r="BA140" s="5">
        <f t="shared" si="81"/>
        <v>0</v>
      </c>
      <c r="BB140" s="5">
        <f t="shared" si="82"/>
        <v>0</v>
      </c>
      <c r="BC140" s="5">
        <f t="shared" si="83"/>
        <v>0</v>
      </c>
      <c r="BD140" s="6"/>
      <c r="BE140" s="6"/>
      <c r="BF140" s="59"/>
      <c r="BG140" s="6"/>
      <c r="BH140" s="5"/>
      <c r="BI140" s="5"/>
      <c r="BJ140" s="5" t="s">
        <v>263</v>
      </c>
    </row>
    <row r="141" spans="1:62" ht="31">
      <c r="A141" s="2" t="s">
        <v>262</v>
      </c>
      <c r="B141" s="6" t="s">
        <v>32</v>
      </c>
      <c r="C141" s="6" t="s">
        <v>32</v>
      </c>
      <c r="D141" s="4">
        <v>50</v>
      </c>
      <c r="E141" s="4">
        <v>74</v>
      </c>
      <c r="F141" s="4">
        <v>2011</v>
      </c>
      <c r="G141" s="39">
        <v>23</v>
      </c>
      <c r="H141" s="28">
        <v>0</v>
      </c>
      <c r="I141" s="28">
        <v>2</v>
      </c>
      <c r="J141" s="5">
        <v>2021</v>
      </c>
      <c r="K141" s="5">
        <v>2024</v>
      </c>
      <c r="L141" s="5">
        <f>(K141-J141)-0.42</f>
        <v>2.58</v>
      </c>
      <c r="M141" s="5">
        <v>0</v>
      </c>
      <c r="N141" s="5" t="s">
        <v>265</v>
      </c>
      <c r="O141" s="5" t="s">
        <v>28</v>
      </c>
      <c r="P141" s="5">
        <v>0</v>
      </c>
      <c r="Q141" s="5"/>
      <c r="R141" s="5" t="s">
        <v>225</v>
      </c>
      <c r="S141" s="5" t="s">
        <v>266</v>
      </c>
      <c r="T141" s="6" t="s">
        <v>218</v>
      </c>
      <c r="U141" s="6" t="s">
        <v>559</v>
      </c>
      <c r="V141" s="25">
        <v>1</v>
      </c>
      <c r="W141" s="5">
        <v>8</v>
      </c>
      <c r="X141" s="7">
        <f t="shared" si="71"/>
        <v>27</v>
      </c>
      <c r="Y141" s="22">
        <f t="shared" si="72"/>
        <v>9</v>
      </c>
      <c r="Z141" s="15">
        <f t="shared" si="67"/>
        <v>18</v>
      </c>
      <c r="AA141" s="19">
        <v>2</v>
      </c>
      <c r="AB141" s="19">
        <v>0</v>
      </c>
      <c r="AC141" s="19">
        <v>16</v>
      </c>
      <c r="AD141" s="19">
        <v>1</v>
      </c>
      <c r="AE141" s="19">
        <v>1</v>
      </c>
      <c r="AF141" s="19">
        <v>0</v>
      </c>
      <c r="AG141" s="36">
        <f t="shared" si="68"/>
        <v>3</v>
      </c>
      <c r="AH141" s="36">
        <f t="shared" si="68"/>
        <v>0</v>
      </c>
      <c r="AI141" s="36">
        <f t="shared" si="68"/>
        <v>8</v>
      </c>
      <c r="AJ141" s="36">
        <f t="shared" si="68"/>
        <v>0</v>
      </c>
      <c r="AK141" s="36">
        <f t="shared" si="68"/>
        <v>1</v>
      </c>
      <c r="AL141" s="36">
        <f t="shared" si="68"/>
        <v>0</v>
      </c>
      <c r="AM141" s="7">
        <v>5</v>
      </c>
      <c r="AN141" s="7">
        <v>0</v>
      </c>
      <c r="AO141" s="7">
        <v>24</v>
      </c>
      <c r="AP141" s="7">
        <v>1</v>
      </c>
      <c r="AQ141" s="7">
        <v>2</v>
      </c>
      <c r="AR141" s="7">
        <v>0</v>
      </c>
      <c r="AS141" s="22">
        <f t="shared" si="73"/>
        <v>27</v>
      </c>
      <c r="AT141" s="22">
        <f t="shared" si="74"/>
        <v>3.4883720930232558</v>
      </c>
      <c r="AU141" s="5">
        <f t="shared" si="75"/>
        <v>9</v>
      </c>
      <c r="AV141" s="5">
        <f t="shared" si="76"/>
        <v>3.4883720930232558</v>
      </c>
      <c r="AW141" s="5">
        <f t="shared" si="77"/>
        <v>18</v>
      </c>
      <c r="AX141" s="5">
        <f t="shared" si="78"/>
        <v>1.1627906976744187</v>
      </c>
      <c r="AY141" s="5">
        <f t="shared" si="79"/>
        <v>0</v>
      </c>
      <c r="AZ141" s="5">
        <f t="shared" si="80"/>
        <v>3.1007751937984493</v>
      </c>
      <c r="BA141" s="5">
        <f t="shared" si="81"/>
        <v>0</v>
      </c>
      <c r="BB141" s="5">
        <f t="shared" si="82"/>
        <v>0.38759689922480617</v>
      </c>
      <c r="BC141" s="5">
        <f t="shared" si="83"/>
        <v>0</v>
      </c>
      <c r="BD141" s="6"/>
      <c r="BE141" s="6"/>
      <c r="BF141" s="59"/>
      <c r="BG141" s="6"/>
      <c r="BH141" s="5"/>
      <c r="BI141" s="5"/>
      <c r="BJ141" s="5" t="s">
        <v>265</v>
      </c>
    </row>
    <row r="142" spans="1:62" ht="31">
      <c r="A142" s="2" t="s">
        <v>262</v>
      </c>
      <c r="B142" s="6" t="s">
        <v>32</v>
      </c>
      <c r="C142" s="6" t="s">
        <v>32</v>
      </c>
      <c r="D142" s="4">
        <v>50</v>
      </c>
      <c r="E142" s="4">
        <v>74</v>
      </c>
      <c r="F142" s="4">
        <v>2011</v>
      </c>
      <c r="G142" s="39">
        <v>23</v>
      </c>
      <c r="H142" s="28">
        <v>0</v>
      </c>
      <c r="I142" s="28">
        <v>2</v>
      </c>
      <c r="J142" s="5">
        <v>2020</v>
      </c>
      <c r="K142" s="5">
        <v>2024</v>
      </c>
      <c r="L142" s="5">
        <f>(K142-J142)-0.42</f>
        <v>3.58</v>
      </c>
      <c r="M142" s="5">
        <v>0</v>
      </c>
      <c r="N142" s="5" t="s">
        <v>267</v>
      </c>
      <c r="O142" s="5" t="s">
        <v>35</v>
      </c>
      <c r="P142" s="5">
        <v>0</v>
      </c>
      <c r="Q142" s="5"/>
      <c r="R142" s="5" t="s">
        <v>225</v>
      </c>
      <c r="S142" s="5" t="s">
        <v>264</v>
      </c>
      <c r="T142" s="6" t="s">
        <v>218</v>
      </c>
      <c r="U142" s="6">
        <v>0</v>
      </c>
      <c r="V142" s="25">
        <v>13</v>
      </c>
      <c r="W142" s="5">
        <v>1</v>
      </c>
      <c r="X142" s="7">
        <f t="shared" si="71"/>
        <v>9</v>
      </c>
      <c r="Y142" s="22">
        <f t="shared" si="72"/>
        <v>8</v>
      </c>
      <c r="Z142" s="15">
        <f t="shared" si="67"/>
        <v>1</v>
      </c>
      <c r="AA142" s="19">
        <v>0</v>
      </c>
      <c r="AB142" s="19">
        <v>0</v>
      </c>
      <c r="AC142" s="19">
        <v>0</v>
      </c>
      <c r="AD142" s="19">
        <v>1</v>
      </c>
      <c r="AE142" s="19">
        <v>0</v>
      </c>
      <c r="AF142" s="19">
        <v>0</v>
      </c>
      <c r="AG142" s="36">
        <f t="shared" si="68"/>
        <v>4</v>
      </c>
      <c r="AH142" s="36">
        <f t="shared" si="68"/>
        <v>0</v>
      </c>
      <c r="AI142" s="36">
        <f t="shared" si="68"/>
        <v>5</v>
      </c>
      <c r="AJ142" s="36">
        <f t="shared" si="68"/>
        <v>1</v>
      </c>
      <c r="AK142" s="36">
        <f t="shared" si="68"/>
        <v>1</v>
      </c>
      <c r="AL142" s="36">
        <f t="shared" si="68"/>
        <v>1</v>
      </c>
      <c r="AM142" s="7">
        <v>4</v>
      </c>
      <c r="AN142" s="7">
        <v>0</v>
      </c>
      <c r="AO142" s="7">
        <v>5</v>
      </c>
      <c r="AP142" s="7">
        <v>2</v>
      </c>
      <c r="AQ142" s="7">
        <v>1</v>
      </c>
      <c r="AR142" s="7">
        <v>1</v>
      </c>
      <c r="AS142" s="22">
        <f t="shared" si="73"/>
        <v>9</v>
      </c>
      <c r="AT142" s="22">
        <f t="shared" si="74"/>
        <v>2.2346368715083798</v>
      </c>
      <c r="AU142" s="5">
        <f t="shared" si="75"/>
        <v>7</v>
      </c>
      <c r="AV142" s="5">
        <f t="shared" si="76"/>
        <v>1.9553072625698324</v>
      </c>
      <c r="AW142" s="5">
        <f t="shared" si="77"/>
        <v>1</v>
      </c>
      <c r="AX142" s="5">
        <f t="shared" si="78"/>
        <v>1.1173184357541899</v>
      </c>
      <c r="AY142" s="5">
        <f t="shared" si="79"/>
        <v>0</v>
      </c>
      <c r="AZ142" s="5">
        <f t="shared" si="80"/>
        <v>1.3966480446927374</v>
      </c>
      <c r="BA142" s="5">
        <f t="shared" si="81"/>
        <v>0.27932960893854747</v>
      </c>
      <c r="BB142" s="5">
        <f t="shared" si="82"/>
        <v>0.27932960893854747</v>
      </c>
      <c r="BC142" s="5">
        <f t="shared" si="83"/>
        <v>0.27932960893854747</v>
      </c>
      <c r="BD142" s="6"/>
      <c r="BE142" s="6"/>
      <c r="BF142" s="59"/>
      <c r="BG142" s="6"/>
      <c r="BH142" s="5"/>
      <c r="BI142" s="5"/>
      <c r="BJ142" s="5" t="s">
        <v>267</v>
      </c>
    </row>
    <row r="143" spans="1:62" ht="31">
      <c r="A143" s="2" t="s">
        <v>262</v>
      </c>
      <c r="B143" s="6" t="s">
        <v>32</v>
      </c>
      <c r="C143" s="6" t="s">
        <v>32</v>
      </c>
      <c r="D143" s="4">
        <v>50</v>
      </c>
      <c r="E143" s="4">
        <v>74</v>
      </c>
      <c r="F143" s="4">
        <v>2011</v>
      </c>
      <c r="G143" s="39">
        <v>23</v>
      </c>
      <c r="H143" s="28">
        <v>0</v>
      </c>
      <c r="I143" s="28">
        <v>2</v>
      </c>
      <c r="J143" s="12">
        <v>2019</v>
      </c>
      <c r="K143" s="5">
        <v>2024</v>
      </c>
      <c r="L143" s="5">
        <f>(K143-J143)-0.42</f>
        <v>4.58</v>
      </c>
      <c r="M143" s="5">
        <v>0</v>
      </c>
      <c r="N143" s="12" t="s">
        <v>268</v>
      </c>
      <c r="O143" s="12" t="s">
        <v>35</v>
      </c>
      <c r="P143" s="12">
        <v>0</v>
      </c>
      <c r="Q143" s="12"/>
      <c r="R143" s="12" t="s">
        <v>225</v>
      </c>
      <c r="S143" s="12" t="s">
        <v>571</v>
      </c>
      <c r="T143" s="6" t="s">
        <v>84</v>
      </c>
      <c r="U143" s="6">
        <v>0</v>
      </c>
      <c r="V143" s="25">
        <v>42</v>
      </c>
      <c r="W143" s="12">
        <v>0</v>
      </c>
      <c r="X143" s="7">
        <f t="shared" si="71"/>
        <v>3</v>
      </c>
      <c r="Y143" s="22">
        <f t="shared" si="72"/>
        <v>3</v>
      </c>
      <c r="Z143" s="15">
        <f t="shared" si="67"/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36">
        <f t="shared" si="68"/>
        <v>2</v>
      </c>
      <c r="AH143" s="36">
        <f t="shared" si="68"/>
        <v>0</v>
      </c>
      <c r="AI143" s="36">
        <f t="shared" si="68"/>
        <v>0</v>
      </c>
      <c r="AJ143" s="36">
        <f t="shared" si="68"/>
        <v>3</v>
      </c>
      <c r="AK143" s="36">
        <f t="shared" si="68"/>
        <v>0</v>
      </c>
      <c r="AL143" s="36">
        <f t="shared" si="68"/>
        <v>0</v>
      </c>
      <c r="AM143" s="7">
        <v>2</v>
      </c>
      <c r="AN143" s="7">
        <v>0</v>
      </c>
      <c r="AO143" s="7">
        <v>0</v>
      </c>
      <c r="AP143" s="7">
        <v>3</v>
      </c>
      <c r="AQ143" s="7">
        <v>0</v>
      </c>
      <c r="AR143" s="7">
        <v>0</v>
      </c>
      <c r="AS143" s="22">
        <f t="shared" si="73"/>
        <v>3</v>
      </c>
      <c r="AT143" s="22">
        <f t="shared" si="74"/>
        <v>0.65502183406113534</v>
      </c>
      <c r="AU143" s="5">
        <f t="shared" si="75"/>
        <v>3</v>
      </c>
      <c r="AV143" s="5">
        <f t="shared" si="76"/>
        <v>0.65502183406113534</v>
      </c>
      <c r="AW143" s="5">
        <f t="shared" si="77"/>
        <v>0</v>
      </c>
      <c r="AX143" s="5">
        <f t="shared" si="78"/>
        <v>0.4366812227074236</v>
      </c>
      <c r="AY143" s="5">
        <f t="shared" si="79"/>
        <v>0</v>
      </c>
      <c r="AZ143" s="5">
        <f t="shared" si="80"/>
        <v>0</v>
      </c>
      <c r="BA143" s="5">
        <f t="shared" si="81"/>
        <v>0.65502183406113534</v>
      </c>
      <c r="BB143" s="5">
        <f t="shared" si="82"/>
        <v>0</v>
      </c>
      <c r="BC143" s="5">
        <f t="shared" si="83"/>
        <v>0</v>
      </c>
      <c r="BD143" s="6"/>
      <c r="BE143" s="6"/>
      <c r="BF143" s="59"/>
      <c r="BG143" s="6"/>
      <c r="BH143" s="12"/>
      <c r="BI143" s="12"/>
      <c r="BJ143" s="12" t="s">
        <v>268</v>
      </c>
    </row>
    <row r="144" spans="1:62" ht="31">
      <c r="A144" s="2" t="s">
        <v>262</v>
      </c>
      <c r="B144" s="6" t="s">
        <v>32</v>
      </c>
      <c r="C144" s="6" t="s">
        <v>32</v>
      </c>
      <c r="D144" s="4">
        <v>50</v>
      </c>
      <c r="E144" s="4">
        <v>74</v>
      </c>
      <c r="F144" s="4">
        <v>2011</v>
      </c>
      <c r="G144" s="39">
        <v>23</v>
      </c>
      <c r="H144" s="28">
        <v>0</v>
      </c>
      <c r="I144" s="28">
        <v>2</v>
      </c>
      <c r="J144" s="5">
        <v>2017</v>
      </c>
      <c r="K144" s="5">
        <v>2023</v>
      </c>
      <c r="L144" s="5">
        <f>(K144-J144)</f>
        <v>6</v>
      </c>
      <c r="M144" s="5">
        <v>1</v>
      </c>
      <c r="N144" s="5" t="s">
        <v>269</v>
      </c>
      <c r="O144" s="5" t="s">
        <v>35</v>
      </c>
      <c r="P144" s="5">
        <v>0</v>
      </c>
      <c r="Q144" s="5"/>
      <c r="R144" s="5" t="s">
        <v>225</v>
      </c>
      <c r="S144" s="5" t="s">
        <v>271</v>
      </c>
      <c r="T144" s="6" t="s">
        <v>218</v>
      </c>
      <c r="U144" s="6">
        <v>0</v>
      </c>
      <c r="V144" s="25">
        <v>10</v>
      </c>
      <c r="W144" s="5">
        <v>7</v>
      </c>
      <c r="X144" s="7">
        <f t="shared" si="71"/>
        <v>23</v>
      </c>
      <c r="Y144" s="22">
        <f t="shared" si="72"/>
        <v>15</v>
      </c>
      <c r="Z144" s="15">
        <f t="shared" si="67"/>
        <v>8</v>
      </c>
      <c r="AA144" s="19">
        <v>4</v>
      </c>
      <c r="AB144" s="19">
        <v>0</v>
      </c>
      <c r="AC144" s="19">
        <v>3</v>
      </c>
      <c r="AD144" s="19">
        <v>4</v>
      </c>
      <c r="AE144" s="19">
        <v>1</v>
      </c>
      <c r="AF144" s="19">
        <v>0</v>
      </c>
      <c r="AG144" s="36">
        <f t="shared" si="68"/>
        <v>5</v>
      </c>
      <c r="AH144" s="36">
        <f t="shared" si="68"/>
        <v>0</v>
      </c>
      <c r="AI144" s="36">
        <f t="shared" si="68"/>
        <v>8</v>
      </c>
      <c r="AJ144" s="36">
        <f t="shared" si="68"/>
        <v>4</v>
      </c>
      <c r="AK144" s="36">
        <f t="shared" si="68"/>
        <v>3</v>
      </c>
      <c r="AL144" s="36">
        <f t="shared" si="68"/>
        <v>0</v>
      </c>
      <c r="AM144" s="7">
        <v>9</v>
      </c>
      <c r="AN144" s="7">
        <v>0</v>
      </c>
      <c r="AO144" s="7">
        <v>11</v>
      </c>
      <c r="AP144" s="7">
        <v>8</v>
      </c>
      <c r="AQ144" s="7">
        <v>4</v>
      </c>
      <c r="AR144" s="7">
        <v>0</v>
      </c>
      <c r="AS144" s="22">
        <f t="shared" si="73"/>
        <v>23</v>
      </c>
      <c r="AT144" s="22">
        <f t="shared" si="74"/>
        <v>2.5</v>
      </c>
      <c r="AU144" s="5">
        <f t="shared" si="75"/>
        <v>15</v>
      </c>
      <c r="AV144" s="5">
        <f t="shared" si="76"/>
        <v>2.5</v>
      </c>
      <c r="AW144" s="5">
        <f t="shared" si="77"/>
        <v>8</v>
      </c>
      <c r="AX144" s="5">
        <f t="shared" si="78"/>
        <v>0.83333333333333337</v>
      </c>
      <c r="AY144" s="5">
        <f t="shared" si="79"/>
        <v>0</v>
      </c>
      <c r="AZ144" s="5">
        <f t="shared" si="80"/>
        <v>1.3333333333333333</v>
      </c>
      <c r="BA144" s="5">
        <f t="shared" si="81"/>
        <v>0.66666666666666663</v>
      </c>
      <c r="BB144" s="5">
        <f t="shared" si="82"/>
        <v>0.5</v>
      </c>
      <c r="BC144" s="5">
        <f t="shared" si="83"/>
        <v>0</v>
      </c>
      <c r="BD144" s="6">
        <v>0</v>
      </c>
      <c r="BE144" s="6"/>
      <c r="BF144" s="59">
        <v>1</v>
      </c>
      <c r="BG144" s="6" t="s">
        <v>270</v>
      </c>
      <c r="BH144" s="5"/>
      <c r="BI144" s="5"/>
      <c r="BJ144" s="5" t="s">
        <v>269</v>
      </c>
    </row>
    <row r="145" spans="1:62" ht="31">
      <c r="A145" s="2" t="s">
        <v>262</v>
      </c>
      <c r="B145" s="6" t="s">
        <v>32</v>
      </c>
      <c r="C145" s="6" t="s">
        <v>32</v>
      </c>
      <c r="D145" s="4">
        <v>50</v>
      </c>
      <c r="E145" s="4">
        <v>74</v>
      </c>
      <c r="F145" s="4">
        <v>2011</v>
      </c>
      <c r="G145" s="39">
        <v>23</v>
      </c>
      <c r="H145" s="28">
        <v>0</v>
      </c>
      <c r="I145" s="28">
        <v>2</v>
      </c>
      <c r="J145" s="12">
        <v>2015</v>
      </c>
      <c r="K145" s="5">
        <v>2023</v>
      </c>
      <c r="L145" s="5">
        <f>(K145-J145)</f>
        <v>8</v>
      </c>
      <c r="M145" s="5">
        <v>1</v>
      </c>
      <c r="N145" s="12" t="s">
        <v>272</v>
      </c>
      <c r="O145" s="12" t="s">
        <v>35</v>
      </c>
      <c r="P145" s="12">
        <v>0</v>
      </c>
      <c r="Q145" s="12"/>
      <c r="R145" s="12" t="s">
        <v>225</v>
      </c>
      <c r="S145" s="12" t="s">
        <v>264</v>
      </c>
      <c r="T145" s="6" t="s">
        <v>218</v>
      </c>
      <c r="U145" s="6">
        <v>0</v>
      </c>
      <c r="V145" s="25">
        <v>13</v>
      </c>
      <c r="W145" s="12">
        <v>8</v>
      </c>
      <c r="X145" s="7">
        <f t="shared" si="71"/>
        <v>26</v>
      </c>
      <c r="Y145" s="22">
        <f t="shared" si="72"/>
        <v>24</v>
      </c>
      <c r="Z145" s="15">
        <f t="shared" si="67"/>
        <v>2</v>
      </c>
      <c r="AA145" s="19">
        <v>2</v>
      </c>
      <c r="AB145" s="19">
        <v>0</v>
      </c>
      <c r="AC145" s="19">
        <v>1</v>
      </c>
      <c r="AD145" s="19">
        <v>0</v>
      </c>
      <c r="AE145" s="19">
        <v>1</v>
      </c>
      <c r="AF145" s="19">
        <v>0</v>
      </c>
      <c r="AG145" s="36">
        <f t="shared" si="68"/>
        <v>6</v>
      </c>
      <c r="AH145" s="36">
        <f t="shared" si="68"/>
        <v>0</v>
      </c>
      <c r="AI145" s="36">
        <f t="shared" si="68"/>
        <v>15</v>
      </c>
      <c r="AJ145" s="36">
        <f t="shared" si="68"/>
        <v>1</v>
      </c>
      <c r="AK145" s="36">
        <f t="shared" si="68"/>
        <v>0</v>
      </c>
      <c r="AL145" s="36">
        <f t="shared" si="68"/>
        <v>8</v>
      </c>
      <c r="AM145" s="7">
        <v>8</v>
      </c>
      <c r="AN145" s="7">
        <v>0</v>
      </c>
      <c r="AO145" s="7">
        <v>16</v>
      </c>
      <c r="AP145" s="7">
        <v>1</v>
      </c>
      <c r="AQ145" s="7">
        <v>1</v>
      </c>
      <c r="AR145" s="7">
        <v>8</v>
      </c>
      <c r="AS145" s="22">
        <f t="shared" si="73"/>
        <v>26</v>
      </c>
      <c r="AT145" s="22">
        <f t="shared" si="74"/>
        <v>3</v>
      </c>
      <c r="AU145" s="5">
        <f t="shared" si="75"/>
        <v>16</v>
      </c>
      <c r="AV145" s="5">
        <f t="shared" si="76"/>
        <v>2</v>
      </c>
      <c r="AW145" s="5">
        <f t="shared" si="77"/>
        <v>2</v>
      </c>
      <c r="AX145" s="5">
        <f t="shared" si="78"/>
        <v>0.75</v>
      </c>
      <c r="AY145" s="5">
        <f t="shared" si="79"/>
        <v>0</v>
      </c>
      <c r="AZ145" s="5">
        <f t="shared" si="80"/>
        <v>1.875</v>
      </c>
      <c r="BA145" s="5">
        <f t="shared" si="81"/>
        <v>0.125</v>
      </c>
      <c r="BB145" s="5">
        <f t="shared" si="82"/>
        <v>0</v>
      </c>
      <c r="BC145" s="5">
        <f t="shared" si="83"/>
        <v>1</v>
      </c>
      <c r="BD145" s="6">
        <v>2</v>
      </c>
      <c r="BE145" s="6"/>
      <c r="BF145" s="59">
        <v>2</v>
      </c>
      <c r="BG145" s="6" t="s">
        <v>273</v>
      </c>
      <c r="BH145" s="12"/>
      <c r="BI145" s="12" t="s">
        <v>274</v>
      </c>
      <c r="BJ145" s="12" t="s">
        <v>272</v>
      </c>
    </row>
    <row r="146" spans="1:62">
      <c r="A146" s="2" t="s">
        <v>275</v>
      </c>
      <c r="B146" s="6" t="s">
        <v>32</v>
      </c>
      <c r="C146" s="6" t="s">
        <v>32</v>
      </c>
      <c r="D146" s="4">
        <v>18</v>
      </c>
      <c r="E146" s="4">
        <v>74</v>
      </c>
      <c r="F146" s="4">
        <v>2019</v>
      </c>
      <c r="G146" s="39">
        <v>22</v>
      </c>
      <c r="H146" s="28">
        <v>0</v>
      </c>
      <c r="I146" s="28">
        <v>2</v>
      </c>
      <c r="J146" s="5">
        <v>2022</v>
      </c>
      <c r="K146" s="5">
        <v>2024</v>
      </c>
      <c r="L146" s="5">
        <f t="shared" ref="L146:L164" si="84">(K146-J146)-0.42</f>
        <v>1.58</v>
      </c>
      <c r="M146" s="5">
        <v>0</v>
      </c>
      <c r="N146" s="5" t="s">
        <v>276</v>
      </c>
      <c r="O146" s="5" t="s">
        <v>35</v>
      </c>
      <c r="P146" s="5">
        <v>0</v>
      </c>
      <c r="Q146" s="5"/>
      <c r="R146" s="5" t="s">
        <v>30</v>
      </c>
      <c r="S146" s="5" t="s">
        <v>277</v>
      </c>
      <c r="T146" s="6" t="s">
        <v>84</v>
      </c>
      <c r="U146" s="6">
        <v>0</v>
      </c>
      <c r="V146" s="25">
        <v>74</v>
      </c>
      <c r="W146" s="5">
        <v>3</v>
      </c>
      <c r="X146" s="7">
        <f t="shared" si="71"/>
        <v>9</v>
      </c>
      <c r="Y146" s="22">
        <f t="shared" si="72"/>
        <v>4</v>
      </c>
      <c r="Z146" s="15">
        <f t="shared" si="67"/>
        <v>5</v>
      </c>
      <c r="AA146" s="19">
        <v>2</v>
      </c>
      <c r="AB146" s="19">
        <v>2</v>
      </c>
      <c r="AC146" s="19">
        <v>1</v>
      </c>
      <c r="AD146" s="19">
        <v>0</v>
      </c>
      <c r="AE146" s="19">
        <v>0</v>
      </c>
      <c r="AF146" s="19">
        <v>2</v>
      </c>
      <c r="AG146" s="36">
        <f t="shared" si="68"/>
        <v>4</v>
      </c>
      <c r="AH146" s="36">
        <f t="shared" si="68"/>
        <v>0</v>
      </c>
      <c r="AI146" s="36">
        <f t="shared" si="68"/>
        <v>0</v>
      </c>
      <c r="AJ146" s="36">
        <f t="shared" si="68"/>
        <v>0</v>
      </c>
      <c r="AK146" s="36">
        <f t="shared" si="68"/>
        <v>0</v>
      </c>
      <c r="AL146" s="36">
        <f t="shared" si="68"/>
        <v>4</v>
      </c>
      <c r="AM146" s="7">
        <v>6</v>
      </c>
      <c r="AN146" s="7">
        <v>2</v>
      </c>
      <c r="AO146" s="7">
        <v>1</v>
      </c>
      <c r="AP146" s="7">
        <v>0</v>
      </c>
      <c r="AQ146" s="7">
        <v>0</v>
      </c>
      <c r="AR146" s="7">
        <v>6</v>
      </c>
      <c r="AS146" s="22">
        <f t="shared" si="73"/>
        <v>9</v>
      </c>
      <c r="AT146" s="22">
        <f t="shared" si="74"/>
        <v>2.5316455696202529</v>
      </c>
      <c r="AU146" s="5">
        <f t="shared" si="75"/>
        <v>0</v>
      </c>
      <c r="AV146" s="5">
        <f t="shared" si="76"/>
        <v>0</v>
      </c>
      <c r="AW146" s="5">
        <f t="shared" si="77"/>
        <v>3</v>
      </c>
      <c r="AX146" s="5">
        <f t="shared" si="78"/>
        <v>2.5316455696202529</v>
      </c>
      <c r="AY146" s="5">
        <f t="shared" si="79"/>
        <v>0</v>
      </c>
      <c r="AZ146" s="5">
        <f t="shared" si="80"/>
        <v>0</v>
      </c>
      <c r="BA146" s="5">
        <f t="shared" si="81"/>
        <v>0</v>
      </c>
      <c r="BB146" s="5">
        <f t="shared" si="82"/>
        <v>0</v>
      </c>
      <c r="BC146" s="5">
        <f t="shared" si="83"/>
        <v>2.5316455696202529</v>
      </c>
      <c r="BD146" s="6"/>
      <c r="BE146" s="6"/>
      <c r="BF146" s="59"/>
      <c r="BG146" s="6"/>
      <c r="BH146" s="5" t="s">
        <v>278</v>
      </c>
      <c r="BI146" s="5"/>
      <c r="BJ146" s="5" t="s">
        <v>276</v>
      </c>
    </row>
    <row r="147" spans="1:62">
      <c r="A147" s="2" t="s">
        <v>275</v>
      </c>
      <c r="B147" s="6" t="s">
        <v>32</v>
      </c>
      <c r="C147" s="6" t="s">
        <v>32</v>
      </c>
      <c r="D147" s="4">
        <v>18</v>
      </c>
      <c r="E147" s="4">
        <v>74</v>
      </c>
      <c r="F147" s="4">
        <v>2019</v>
      </c>
      <c r="G147" s="39">
        <v>22</v>
      </c>
      <c r="H147" s="28">
        <v>0</v>
      </c>
      <c r="I147" s="28">
        <v>2</v>
      </c>
      <c r="J147" s="5">
        <v>2021</v>
      </c>
      <c r="K147" s="5">
        <v>2024</v>
      </c>
      <c r="L147" s="5">
        <f t="shared" si="84"/>
        <v>2.58</v>
      </c>
      <c r="M147" s="5">
        <v>0</v>
      </c>
      <c r="N147" s="5" t="s">
        <v>279</v>
      </c>
      <c r="O147" s="5" t="s">
        <v>28</v>
      </c>
      <c r="P147" s="5">
        <v>0</v>
      </c>
      <c r="Q147" s="5"/>
      <c r="R147" s="5" t="s">
        <v>30</v>
      </c>
      <c r="S147" s="5" t="s">
        <v>583</v>
      </c>
      <c r="T147" s="6" t="s">
        <v>47</v>
      </c>
      <c r="U147" s="6">
        <v>0</v>
      </c>
      <c r="V147" s="25">
        <v>18</v>
      </c>
      <c r="W147" s="5">
        <v>5</v>
      </c>
      <c r="X147" s="7">
        <f t="shared" si="71"/>
        <v>9</v>
      </c>
      <c r="Y147" s="22">
        <f t="shared" si="72"/>
        <v>0</v>
      </c>
      <c r="Z147" s="15">
        <f t="shared" si="67"/>
        <v>9</v>
      </c>
      <c r="AA147" s="19">
        <v>3</v>
      </c>
      <c r="AB147" s="19">
        <v>0</v>
      </c>
      <c r="AC147" s="19">
        <v>4</v>
      </c>
      <c r="AD147" s="19">
        <v>1</v>
      </c>
      <c r="AE147" s="19">
        <v>1</v>
      </c>
      <c r="AF147" s="19">
        <v>3</v>
      </c>
      <c r="AG147" s="36">
        <f t="shared" si="68"/>
        <v>0</v>
      </c>
      <c r="AH147" s="36">
        <f t="shared" si="68"/>
        <v>0</v>
      </c>
      <c r="AI147" s="36">
        <f t="shared" si="68"/>
        <v>0</v>
      </c>
      <c r="AJ147" s="36">
        <f t="shared" si="68"/>
        <v>0</v>
      </c>
      <c r="AK147" s="36">
        <f t="shared" si="68"/>
        <v>0</v>
      </c>
      <c r="AL147" s="36">
        <f t="shared" si="68"/>
        <v>0</v>
      </c>
      <c r="AM147" s="7">
        <v>3</v>
      </c>
      <c r="AN147" s="7">
        <v>0</v>
      </c>
      <c r="AO147" s="7">
        <v>4</v>
      </c>
      <c r="AP147" s="7">
        <v>1</v>
      </c>
      <c r="AQ147" s="7">
        <v>1</v>
      </c>
      <c r="AR147" s="7">
        <v>3</v>
      </c>
      <c r="AS147" s="22">
        <f t="shared" si="73"/>
        <v>9</v>
      </c>
      <c r="AT147" s="22">
        <f t="shared" si="74"/>
        <v>0</v>
      </c>
      <c r="AU147" s="5">
        <f t="shared" si="75"/>
        <v>0</v>
      </c>
      <c r="AV147" s="5">
        <f t="shared" si="76"/>
        <v>0</v>
      </c>
      <c r="AW147" s="5">
        <f t="shared" si="77"/>
        <v>6</v>
      </c>
      <c r="AX147" s="5">
        <f t="shared" si="78"/>
        <v>0</v>
      </c>
      <c r="AY147" s="5">
        <f t="shared" si="79"/>
        <v>0</v>
      </c>
      <c r="AZ147" s="5">
        <f t="shared" si="80"/>
        <v>0</v>
      </c>
      <c r="BA147" s="5">
        <f t="shared" si="81"/>
        <v>0</v>
      </c>
      <c r="BB147" s="5">
        <f t="shared" si="82"/>
        <v>0</v>
      </c>
      <c r="BC147" s="5">
        <f t="shared" si="83"/>
        <v>0</v>
      </c>
      <c r="BD147" s="6"/>
      <c r="BE147" s="6"/>
      <c r="BF147" s="59"/>
      <c r="BG147" s="6"/>
      <c r="BH147" s="5"/>
      <c r="BI147" s="5"/>
      <c r="BJ147" s="5" t="s">
        <v>279</v>
      </c>
    </row>
    <row r="148" spans="1:62">
      <c r="A148" s="2" t="s">
        <v>275</v>
      </c>
      <c r="B148" s="6" t="s">
        <v>32</v>
      </c>
      <c r="C148" s="6" t="s">
        <v>32</v>
      </c>
      <c r="D148" s="4">
        <v>18</v>
      </c>
      <c r="E148" s="4">
        <v>74</v>
      </c>
      <c r="F148" s="4">
        <v>2019</v>
      </c>
      <c r="G148" s="39">
        <v>22</v>
      </c>
      <c r="H148" s="28">
        <v>0</v>
      </c>
      <c r="I148" s="28">
        <v>2</v>
      </c>
      <c r="J148" s="5">
        <v>2020</v>
      </c>
      <c r="K148" s="5">
        <v>2024</v>
      </c>
      <c r="L148" s="5">
        <f t="shared" si="84"/>
        <v>3.58</v>
      </c>
      <c r="M148" s="5">
        <v>0</v>
      </c>
      <c r="N148" s="5" t="s">
        <v>280</v>
      </c>
      <c r="O148" s="5" t="s">
        <v>28</v>
      </c>
      <c r="P148" s="5">
        <v>0</v>
      </c>
      <c r="Q148" s="5"/>
      <c r="R148" s="5" t="s">
        <v>30</v>
      </c>
      <c r="S148" s="5" t="s">
        <v>114</v>
      </c>
      <c r="T148" s="6" t="s">
        <v>101</v>
      </c>
      <c r="U148" s="6">
        <v>0</v>
      </c>
      <c r="V148" s="25">
        <v>25</v>
      </c>
      <c r="W148" s="5">
        <v>3</v>
      </c>
      <c r="X148" s="7">
        <f t="shared" si="71"/>
        <v>7</v>
      </c>
      <c r="Y148" s="22">
        <f t="shared" si="72"/>
        <v>3</v>
      </c>
      <c r="Z148" s="15">
        <f t="shared" si="67"/>
        <v>4</v>
      </c>
      <c r="AA148" s="19">
        <v>0</v>
      </c>
      <c r="AB148" s="19">
        <v>0</v>
      </c>
      <c r="AC148" s="19">
        <v>3</v>
      </c>
      <c r="AD148" s="19">
        <v>0</v>
      </c>
      <c r="AE148" s="19">
        <v>1</v>
      </c>
      <c r="AF148" s="19">
        <v>0</v>
      </c>
      <c r="AG148" s="36">
        <f t="shared" si="68"/>
        <v>1</v>
      </c>
      <c r="AH148" s="36">
        <f t="shared" si="68"/>
        <v>0</v>
      </c>
      <c r="AI148" s="36">
        <f t="shared" si="68"/>
        <v>2</v>
      </c>
      <c r="AJ148" s="36">
        <f t="shared" si="68"/>
        <v>0</v>
      </c>
      <c r="AK148" s="36">
        <f t="shared" si="68"/>
        <v>0</v>
      </c>
      <c r="AL148" s="36">
        <f t="shared" si="68"/>
        <v>1</v>
      </c>
      <c r="AM148" s="7">
        <v>1</v>
      </c>
      <c r="AN148" s="7">
        <v>0</v>
      </c>
      <c r="AO148" s="7">
        <v>5</v>
      </c>
      <c r="AP148" s="7">
        <v>0</v>
      </c>
      <c r="AQ148" s="7">
        <v>1</v>
      </c>
      <c r="AR148" s="7">
        <v>1</v>
      </c>
      <c r="AS148" s="22">
        <f t="shared" si="73"/>
        <v>7</v>
      </c>
      <c r="AT148" s="22">
        <f t="shared" si="74"/>
        <v>0.83798882681564246</v>
      </c>
      <c r="AU148" s="5">
        <f t="shared" si="75"/>
        <v>2</v>
      </c>
      <c r="AV148" s="5">
        <f t="shared" si="76"/>
        <v>0.55865921787709494</v>
      </c>
      <c r="AW148" s="5">
        <f t="shared" si="77"/>
        <v>4</v>
      </c>
      <c r="AX148" s="5">
        <f t="shared" si="78"/>
        <v>0.27932960893854747</v>
      </c>
      <c r="AY148" s="5">
        <f t="shared" si="79"/>
        <v>0</v>
      </c>
      <c r="AZ148" s="5">
        <f t="shared" si="80"/>
        <v>0.55865921787709494</v>
      </c>
      <c r="BA148" s="5">
        <f t="shared" si="81"/>
        <v>0</v>
      </c>
      <c r="BB148" s="5">
        <f t="shared" si="82"/>
        <v>0</v>
      </c>
      <c r="BC148" s="5">
        <f t="shared" si="83"/>
        <v>0.27932960893854747</v>
      </c>
      <c r="BD148" s="6"/>
      <c r="BE148" s="6"/>
      <c r="BF148" s="59"/>
      <c r="BG148" s="6"/>
      <c r="BH148" s="5"/>
      <c r="BI148" s="5"/>
      <c r="BJ148" s="5" t="s">
        <v>280</v>
      </c>
    </row>
    <row r="149" spans="1:62">
      <c r="A149" s="2" t="s">
        <v>275</v>
      </c>
      <c r="B149" s="6" t="s">
        <v>32</v>
      </c>
      <c r="C149" s="6" t="s">
        <v>32</v>
      </c>
      <c r="D149" s="4">
        <v>18</v>
      </c>
      <c r="E149" s="4">
        <v>74</v>
      </c>
      <c r="F149" s="4">
        <v>2019</v>
      </c>
      <c r="G149" s="39">
        <v>22</v>
      </c>
      <c r="H149" s="28">
        <v>0</v>
      </c>
      <c r="I149" s="28">
        <v>2</v>
      </c>
      <c r="J149" s="5">
        <v>2019</v>
      </c>
      <c r="K149" s="5">
        <v>2024</v>
      </c>
      <c r="L149" s="5">
        <f t="shared" si="84"/>
        <v>4.58</v>
      </c>
      <c r="M149" s="5">
        <v>0</v>
      </c>
      <c r="N149" s="5" t="s">
        <v>281</v>
      </c>
      <c r="O149" s="5" t="s">
        <v>28</v>
      </c>
      <c r="P149" s="5">
        <v>0</v>
      </c>
      <c r="Q149" s="5"/>
      <c r="R149" s="5" t="s">
        <v>30</v>
      </c>
      <c r="S149" s="5" t="s">
        <v>282</v>
      </c>
      <c r="T149" s="6" t="s">
        <v>218</v>
      </c>
      <c r="U149" s="6">
        <v>0</v>
      </c>
      <c r="V149" s="25">
        <v>10</v>
      </c>
      <c r="W149" s="5">
        <v>3</v>
      </c>
      <c r="X149" s="7">
        <f t="shared" si="71"/>
        <v>8</v>
      </c>
      <c r="Y149" s="22">
        <f t="shared" si="72"/>
        <v>7</v>
      </c>
      <c r="Z149" s="15">
        <f t="shared" si="67"/>
        <v>1</v>
      </c>
      <c r="AA149" s="19">
        <v>0</v>
      </c>
      <c r="AB149" s="19">
        <v>0</v>
      </c>
      <c r="AC149" s="19">
        <v>1</v>
      </c>
      <c r="AD149" s="19">
        <v>0</v>
      </c>
      <c r="AE149" s="19">
        <v>0</v>
      </c>
      <c r="AF149" s="19">
        <v>0</v>
      </c>
      <c r="AG149" s="36">
        <f t="shared" si="68"/>
        <v>1</v>
      </c>
      <c r="AH149" s="36">
        <f t="shared" si="68"/>
        <v>0</v>
      </c>
      <c r="AI149" s="36">
        <f t="shared" si="68"/>
        <v>6</v>
      </c>
      <c r="AJ149" s="36">
        <f t="shared" si="68"/>
        <v>1</v>
      </c>
      <c r="AK149" s="36">
        <f t="shared" si="68"/>
        <v>0</v>
      </c>
      <c r="AL149" s="36">
        <f t="shared" si="68"/>
        <v>0</v>
      </c>
      <c r="AM149" s="7">
        <v>1</v>
      </c>
      <c r="AN149" s="7">
        <v>0</v>
      </c>
      <c r="AO149" s="7">
        <v>7</v>
      </c>
      <c r="AP149" s="7">
        <v>1</v>
      </c>
      <c r="AQ149" s="7">
        <v>0</v>
      </c>
      <c r="AR149" s="7">
        <v>0</v>
      </c>
      <c r="AS149" s="22">
        <f t="shared" si="73"/>
        <v>8</v>
      </c>
      <c r="AT149" s="22">
        <f t="shared" si="74"/>
        <v>1.5283842794759825</v>
      </c>
      <c r="AU149" s="5">
        <f t="shared" si="75"/>
        <v>7</v>
      </c>
      <c r="AV149" s="5">
        <f t="shared" si="76"/>
        <v>1.5283842794759825</v>
      </c>
      <c r="AW149" s="5">
        <f t="shared" si="77"/>
        <v>1</v>
      </c>
      <c r="AX149" s="5">
        <f t="shared" si="78"/>
        <v>0.2183406113537118</v>
      </c>
      <c r="AY149" s="5">
        <f t="shared" si="79"/>
        <v>0</v>
      </c>
      <c r="AZ149" s="5">
        <f t="shared" si="80"/>
        <v>1.3100436681222707</v>
      </c>
      <c r="BA149" s="5">
        <f t="shared" si="81"/>
        <v>0.2183406113537118</v>
      </c>
      <c r="BB149" s="5">
        <f t="shared" si="82"/>
        <v>0</v>
      </c>
      <c r="BC149" s="5">
        <f t="shared" si="83"/>
        <v>0</v>
      </c>
      <c r="BD149" s="6"/>
      <c r="BE149" s="6"/>
      <c r="BF149" s="59"/>
      <c r="BG149" s="6"/>
      <c r="BH149" s="5"/>
      <c r="BI149" s="5"/>
      <c r="BJ149" s="5" t="s">
        <v>281</v>
      </c>
    </row>
    <row r="150" spans="1:62">
      <c r="A150" s="23" t="s">
        <v>283</v>
      </c>
      <c r="B150" s="6" t="s">
        <v>32</v>
      </c>
      <c r="C150" s="6" t="s">
        <v>32</v>
      </c>
      <c r="D150" s="4">
        <v>12</v>
      </c>
      <c r="E150" s="4">
        <v>74</v>
      </c>
      <c r="F150" s="4">
        <v>2020</v>
      </c>
      <c r="G150" s="39">
        <v>40</v>
      </c>
      <c r="H150" s="28">
        <v>0</v>
      </c>
      <c r="I150" s="28">
        <v>0</v>
      </c>
      <c r="J150" s="5">
        <v>2022</v>
      </c>
      <c r="K150" s="5">
        <v>2024</v>
      </c>
      <c r="L150" s="5">
        <f t="shared" si="84"/>
        <v>1.58</v>
      </c>
      <c r="M150" s="5">
        <v>0</v>
      </c>
      <c r="N150" s="5" t="s">
        <v>596</v>
      </c>
      <c r="O150" s="5" t="s">
        <v>28</v>
      </c>
      <c r="P150" s="5">
        <v>0</v>
      </c>
      <c r="Q150" s="5"/>
      <c r="R150" s="5" t="s">
        <v>30</v>
      </c>
      <c r="S150" s="5" t="s">
        <v>284</v>
      </c>
      <c r="T150" s="6" t="s">
        <v>84</v>
      </c>
      <c r="U150" s="6">
        <v>0</v>
      </c>
      <c r="V150" s="25">
        <v>104</v>
      </c>
      <c r="W150" s="5">
        <v>2</v>
      </c>
      <c r="X150" s="7">
        <f t="shared" si="71"/>
        <v>10</v>
      </c>
      <c r="Y150" s="22">
        <f t="shared" si="72"/>
        <v>6</v>
      </c>
      <c r="Z150" s="15">
        <f t="shared" si="67"/>
        <v>4</v>
      </c>
      <c r="AA150" s="19">
        <v>1</v>
      </c>
      <c r="AB150" s="19">
        <v>0</v>
      </c>
      <c r="AC150" s="19">
        <v>1</v>
      </c>
      <c r="AD150" s="19">
        <v>0</v>
      </c>
      <c r="AE150" s="19">
        <v>0</v>
      </c>
      <c r="AF150" s="19">
        <v>3</v>
      </c>
      <c r="AG150" s="36">
        <f t="shared" si="68"/>
        <v>1</v>
      </c>
      <c r="AH150" s="36">
        <f t="shared" si="68"/>
        <v>0</v>
      </c>
      <c r="AI150" s="36">
        <f t="shared" si="68"/>
        <v>0</v>
      </c>
      <c r="AJ150" s="36">
        <f t="shared" si="68"/>
        <v>6</v>
      </c>
      <c r="AK150" s="36">
        <f t="shared" si="68"/>
        <v>0</v>
      </c>
      <c r="AL150" s="36">
        <f t="shared" si="68"/>
        <v>0</v>
      </c>
      <c r="AM150" s="7">
        <v>2</v>
      </c>
      <c r="AN150" s="7">
        <v>0</v>
      </c>
      <c r="AO150" s="7">
        <v>1</v>
      </c>
      <c r="AP150" s="7">
        <v>6</v>
      </c>
      <c r="AQ150" s="7">
        <v>0</v>
      </c>
      <c r="AR150" s="7">
        <v>3</v>
      </c>
      <c r="AS150" s="22">
        <f t="shared" si="73"/>
        <v>10</v>
      </c>
      <c r="AT150" s="22">
        <f t="shared" si="74"/>
        <v>3.7974683544303796</v>
      </c>
      <c r="AU150" s="5">
        <f t="shared" si="75"/>
        <v>6</v>
      </c>
      <c r="AV150" s="5">
        <f t="shared" si="76"/>
        <v>3.7974683544303796</v>
      </c>
      <c r="AW150" s="5">
        <f t="shared" si="77"/>
        <v>1</v>
      </c>
      <c r="AX150" s="5">
        <f t="shared" si="78"/>
        <v>0.63291139240506322</v>
      </c>
      <c r="AY150" s="5">
        <f t="shared" si="79"/>
        <v>0</v>
      </c>
      <c r="AZ150" s="5">
        <f t="shared" si="80"/>
        <v>0</v>
      </c>
      <c r="BA150" s="5">
        <f t="shared" si="81"/>
        <v>3.7974683544303796</v>
      </c>
      <c r="BB150" s="5">
        <f t="shared" si="82"/>
        <v>0</v>
      </c>
      <c r="BC150" s="5">
        <f t="shared" si="83"/>
        <v>0</v>
      </c>
      <c r="BD150" s="6"/>
      <c r="BE150" s="6"/>
      <c r="BF150" s="59"/>
      <c r="BG150" s="6"/>
      <c r="BH150" s="5"/>
      <c r="BI150" s="5"/>
      <c r="BJ150" s="5" t="s">
        <v>596</v>
      </c>
    </row>
    <row r="151" spans="1:62">
      <c r="A151" s="2" t="s">
        <v>283</v>
      </c>
      <c r="B151" s="6" t="s">
        <v>32</v>
      </c>
      <c r="C151" s="6" t="s">
        <v>32</v>
      </c>
      <c r="D151" s="4">
        <v>12</v>
      </c>
      <c r="E151" s="4">
        <v>74</v>
      </c>
      <c r="F151" s="4">
        <v>2020</v>
      </c>
      <c r="G151" s="39">
        <v>40</v>
      </c>
      <c r="H151" s="28">
        <v>0</v>
      </c>
      <c r="I151" s="28">
        <v>0</v>
      </c>
      <c r="J151" s="5">
        <v>2021</v>
      </c>
      <c r="K151" s="5">
        <v>2024</v>
      </c>
      <c r="L151" s="5">
        <f t="shared" si="84"/>
        <v>2.58</v>
      </c>
      <c r="M151" s="5">
        <v>0</v>
      </c>
      <c r="N151" s="5" t="s">
        <v>285</v>
      </c>
      <c r="O151" s="5" t="s">
        <v>35</v>
      </c>
      <c r="P151" s="5">
        <v>0</v>
      </c>
      <c r="Q151" s="5"/>
      <c r="R151" s="5" t="s">
        <v>54</v>
      </c>
      <c r="S151" s="5" t="s">
        <v>217</v>
      </c>
      <c r="T151" s="6" t="s">
        <v>218</v>
      </c>
      <c r="U151" s="6" t="s">
        <v>559</v>
      </c>
      <c r="V151" s="25">
        <v>3</v>
      </c>
      <c r="W151" s="5">
        <v>4</v>
      </c>
      <c r="X151" s="7">
        <f t="shared" si="71"/>
        <v>16</v>
      </c>
      <c r="Y151" s="22">
        <f t="shared" si="72"/>
        <v>2</v>
      </c>
      <c r="Z151" s="15">
        <f t="shared" si="67"/>
        <v>14</v>
      </c>
      <c r="AA151" s="19">
        <v>3</v>
      </c>
      <c r="AB151" s="19">
        <v>6</v>
      </c>
      <c r="AC151" s="19">
        <v>6</v>
      </c>
      <c r="AD151" s="19">
        <v>0</v>
      </c>
      <c r="AE151" s="19">
        <v>0</v>
      </c>
      <c r="AF151" s="19">
        <v>2</v>
      </c>
      <c r="AG151" s="36">
        <f t="shared" si="68"/>
        <v>0</v>
      </c>
      <c r="AH151" s="36">
        <f t="shared" si="68"/>
        <v>0</v>
      </c>
      <c r="AI151" s="36">
        <f t="shared" si="68"/>
        <v>1</v>
      </c>
      <c r="AJ151" s="36">
        <f t="shared" si="68"/>
        <v>1</v>
      </c>
      <c r="AK151" s="36">
        <f t="shared" si="68"/>
        <v>0</v>
      </c>
      <c r="AL151" s="36">
        <f t="shared" si="68"/>
        <v>0</v>
      </c>
      <c r="AM151" s="7">
        <v>3</v>
      </c>
      <c r="AN151" s="7">
        <v>6</v>
      </c>
      <c r="AO151" s="7">
        <v>7</v>
      </c>
      <c r="AP151" s="7">
        <v>1</v>
      </c>
      <c r="AQ151" s="7">
        <v>0</v>
      </c>
      <c r="AR151" s="7">
        <v>2</v>
      </c>
      <c r="AS151" s="22">
        <f t="shared" si="73"/>
        <v>16</v>
      </c>
      <c r="AT151" s="22">
        <f t="shared" si="74"/>
        <v>0.77519379844961234</v>
      </c>
      <c r="AU151" s="5">
        <f t="shared" si="75"/>
        <v>2</v>
      </c>
      <c r="AV151" s="5">
        <f t="shared" si="76"/>
        <v>0.77519379844961234</v>
      </c>
      <c r="AW151" s="5">
        <f t="shared" si="77"/>
        <v>12</v>
      </c>
      <c r="AX151" s="5">
        <f t="shared" si="78"/>
        <v>0</v>
      </c>
      <c r="AY151" s="5">
        <f t="shared" si="79"/>
        <v>0</v>
      </c>
      <c r="AZ151" s="5">
        <f t="shared" si="80"/>
        <v>0.38759689922480617</v>
      </c>
      <c r="BA151" s="5">
        <f t="shared" si="81"/>
        <v>0.38759689922480617</v>
      </c>
      <c r="BB151" s="5">
        <f t="shared" si="82"/>
        <v>0</v>
      </c>
      <c r="BC151" s="5">
        <f t="shared" si="83"/>
        <v>0</v>
      </c>
      <c r="BD151" s="6"/>
      <c r="BE151" s="6"/>
      <c r="BF151" s="59"/>
      <c r="BG151" s="6"/>
      <c r="BH151" s="5"/>
      <c r="BI151" s="5"/>
      <c r="BJ151" s="5" t="s">
        <v>285</v>
      </c>
    </row>
    <row r="152" spans="1:62">
      <c r="A152" s="2" t="s">
        <v>283</v>
      </c>
      <c r="B152" s="6" t="s">
        <v>32</v>
      </c>
      <c r="C152" s="6" t="s">
        <v>32</v>
      </c>
      <c r="D152" s="4">
        <v>12</v>
      </c>
      <c r="E152" s="4">
        <v>74</v>
      </c>
      <c r="F152" s="4">
        <v>2020</v>
      </c>
      <c r="G152" s="39">
        <v>40</v>
      </c>
      <c r="H152" s="28">
        <v>0</v>
      </c>
      <c r="I152" s="28">
        <v>0</v>
      </c>
      <c r="J152" s="5">
        <v>2019</v>
      </c>
      <c r="K152" s="5">
        <v>2024</v>
      </c>
      <c r="L152" s="5">
        <f t="shared" si="84"/>
        <v>4.58</v>
      </c>
      <c r="M152" s="5">
        <v>0</v>
      </c>
      <c r="N152" s="5" t="s">
        <v>286</v>
      </c>
      <c r="O152" s="5" t="s">
        <v>28</v>
      </c>
      <c r="P152" s="5">
        <v>0</v>
      </c>
      <c r="Q152" s="5"/>
      <c r="R152" s="5" t="s">
        <v>30</v>
      </c>
      <c r="S152" s="5" t="s">
        <v>597</v>
      </c>
      <c r="T152" s="6" t="s">
        <v>101</v>
      </c>
      <c r="U152" s="6">
        <v>0</v>
      </c>
      <c r="V152" s="25">
        <v>26</v>
      </c>
      <c r="W152" s="5">
        <v>0</v>
      </c>
      <c r="X152" s="7">
        <f t="shared" si="71"/>
        <v>6</v>
      </c>
      <c r="Y152" s="22">
        <f t="shared" si="72"/>
        <v>5</v>
      </c>
      <c r="Z152" s="15">
        <f t="shared" si="67"/>
        <v>1</v>
      </c>
      <c r="AA152" s="19">
        <v>0</v>
      </c>
      <c r="AB152" s="19">
        <v>0</v>
      </c>
      <c r="AC152" s="19">
        <v>1</v>
      </c>
      <c r="AD152" s="19">
        <v>0</v>
      </c>
      <c r="AE152" s="19">
        <v>0</v>
      </c>
      <c r="AF152" s="19">
        <v>0</v>
      </c>
      <c r="AG152" s="36">
        <f t="shared" si="68"/>
        <v>2</v>
      </c>
      <c r="AH152" s="36">
        <f t="shared" si="68"/>
        <v>0</v>
      </c>
      <c r="AI152" s="36">
        <f t="shared" si="68"/>
        <v>1</v>
      </c>
      <c r="AJ152" s="36">
        <f t="shared" si="68"/>
        <v>3</v>
      </c>
      <c r="AK152" s="36">
        <f t="shared" si="68"/>
        <v>1</v>
      </c>
      <c r="AL152" s="36">
        <f t="shared" si="68"/>
        <v>0</v>
      </c>
      <c r="AM152" s="7">
        <v>2</v>
      </c>
      <c r="AN152" s="7">
        <v>0</v>
      </c>
      <c r="AO152" s="7">
        <v>2</v>
      </c>
      <c r="AP152" s="7">
        <v>3</v>
      </c>
      <c r="AQ152" s="7">
        <v>1</v>
      </c>
      <c r="AR152" s="7">
        <v>0</v>
      </c>
      <c r="AS152" s="22">
        <f t="shared" si="73"/>
        <v>6</v>
      </c>
      <c r="AT152" s="22">
        <f t="shared" si="74"/>
        <v>1.0917030567685588</v>
      </c>
      <c r="AU152" s="5">
        <f t="shared" si="75"/>
        <v>5</v>
      </c>
      <c r="AV152" s="5">
        <f t="shared" si="76"/>
        <v>1.0917030567685588</v>
      </c>
      <c r="AW152" s="5">
        <f t="shared" si="77"/>
        <v>1</v>
      </c>
      <c r="AX152" s="5">
        <f t="shared" si="78"/>
        <v>0.4366812227074236</v>
      </c>
      <c r="AY152" s="5">
        <f t="shared" si="79"/>
        <v>0</v>
      </c>
      <c r="AZ152" s="5">
        <f t="shared" si="80"/>
        <v>0.2183406113537118</v>
      </c>
      <c r="BA152" s="5">
        <f t="shared" si="81"/>
        <v>0.65502183406113534</v>
      </c>
      <c r="BB152" s="5">
        <f t="shared" si="82"/>
        <v>0.2183406113537118</v>
      </c>
      <c r="BC152" s="5">
        <f t="shared" si="83"/>
        <v>0</v>
      </c>
      <c r="BD152" s="6"/>
      <c r="BE152" s="6"/>
      <c r="BF152" s="59"/>
      <c r="BG152" s="6"/>
      <c r="BH152" s="5"/>
      <c r="BI152" s="5"/>
      <c r="BJ152" s="5" t="s">
        <v>286</v>
      </c>
    </row>
    <row r="153" spans="1:62">
      <c r="A153" s="2" t="s">
        <v>287</v>
      </c>
      <c r="B153" s="6" t="s">
        <v>32</v>
      </c>
      <c r="C153" s="6" t="s">
        <v>32</v>
      </c>
      <c r="D153" s="4">
        <v>91</v>
      </c>
      <c r="E153" s="4">
        <v>76</v>
      </c>
      <c r="F153" s="4">
        <v>2008</v>
      </c>
      <c r="G153" s="39">
        <v>11</v>
      </c>
      <c r="H153" s="28">
        <v>0</v>
      </c>
      <c r="I153" s="28">
        <v>1</v>
      </c>
      <c r="J153" s="5">
        <v>2022</v>
      </c>
      <c r="K153" s="5">
        <v>2024</v>
      </c>
      <c r="L153" s="5">
        <f t="shared" si="84"/>
        <v>1.58</v>
      </c>
      <c r="M153" s="5">
        <v>0</v>
      </c>
      <c r="N153" s="5" t="s">
        <v>598</v>
      </c>
      <c r="O153" s="5" t="s">
        <v>28</v>
      </c>
      <c r="P153" s="5">
        <v>0</v>
      </c>
      <c r="Q153" s="5"/>
      <c r="R153" s="5" t="s">
        <v>30</v>
      </c>
      <c r="S153" s="5" t="s">
        <v>288</v>
      </c>
      <c r="T153" s="6" t="s">
        <v>218</v>
      </c>
      <c r="U153" s="6" t="s">
        <v>559</v>
      </c>
      <c r="V153" s="25">
        <v>4</v>
      </c>
      <c r="W153" s="5">
        <v>3</v>
      </c>
      <c r="X153" s="7">
        <f t="shared" si="71"/>
        <v>4</v>
      </c>
      <c r="Y153" s="22">
        <f t="shared" si="72"/>
        <v>0</v>
      </c>
      <c r="Z153" s="15">
        <f t="shared" si="67"/>
        <v>4</v>
      </c>
      <c r="AA153" s="19">
        <v>2</v>
      </c>
      <c r="AB153" s="19">
        <v>0</v>
      </c>
      <c r="AC153" s="19">
        <v>2</v>
      </c>
      <c r="AD153" s="19">
        <v>0</v>
      </c>
      <c r="AE153" s="19">
        <v>1</v>
      </c>
      <c r="AF153" s="19">
        <v>1</v>
      </c>
      <c r="AG153" s="36">
        <f t="shared" si="68"/>
        <v>0</v>
      </c>
      <c r="AH153" s="36">
        <f t="shared" si="68"/>
        <v>0</v>
      </c>
      <c r="AI153" s="36">
        <f t="shared" si="68"/>
        <v>0</v>
      </c>
      <c r="AJ153" s="36">
        <f t="shared" si="68"/>
        <v>0</v>
      </c>
      <c r="AK153" s="36">
        <f t="shared" si="68"/>
        <v>0</v>
      </c>
      <c r="AL153" s="36">
        <f t="shared" si="68"/>
        <v>0</v>
      </c>
      <c r="AM153" s="7">
        <v>2</v>
      </c>
      <c r="AN153" s="7">
        <v>0</v>
      </c>
      <c r="AO153" s="7">
        <v>2</v>
      </c>
      <c r="AP153" s="7">
        <v>0</v>
      </c>
      <c r="AQ153" s="7">
        <v>1</v>
      </c>
      <c r="AR153" s="7">
        <v>1</v>
      </c>
      <c r="AS153" s="22">
        <f t="shared" si="73"/>
        <v>4</v>
      </c>
      <c r="AT153" s="22">
        <f t="shared" si="74"/>
        <v>0</v>
      </c>
      <c r="AU153" s="5">
        <f t="shared" si="75"/>
        <v>0</v>
      </c>
      <c r="AV153" s="5">
        <f t="shared" si="76"/>
        <v>0</v>
      </c>
      <c r="AW153" s="5">
        <f t="shared" si="77"/>
        <v>3</v>
      </c>
      <c r="AX153" s="5">
        <f t="shared" si="78"/>
        <v>0</v>
      </c>
      <c r="AY153" s="5">
        <f t="shared" si="79"/>
        <v>0</v>
      </c>
      <c r="AZ153" s="5">
        <f t="shared" si="80"/>
        <v>0</v>
      </c>
      <c r="BA153" s="5">
        <f t="shared" si="81"/>
        <v>0</v>
      </c>
      <c r="BB153" s="5">
        <f t="shared" si="82"/>
        <v>0</v>
      </c>
      <c r="BC153" s="5">
        <f t="shared" si="83"/>
        <v>0</v>
      </c>
      <c r="BD153" s="6"/>
      <c r="BE153" s="6"/>
      <c r="BF153" s="59"/>
      <c r="BG153" s="6"/>
      <c r="BH153" s="5"/>
      <c r="BI153" s="5"/>
      <c r="BJ153" s="5" t="s">
        <v>598</v>
      </c>
    </row>
    <row r="154" spans="1:62">
      <c r="A154" s="2" t="s">
        <v>287</v>
      </c>
      <c r="B154" s="6" t="s">
        <v>32</v>
      </c>
      <c r="C154" s="6" t="s">
        <v>32</v>
      </c>
      <c r="D154" s="4">
        <v>91</v>
      </c>
      <c r="E154" s="4">
        <v>76</v>
      </c>
      <c r="F154" s="4">
        <v>2008</v>
      </c>
      <c r="G154" s="39">
        <v>11</v>
      </c>
      <c r="H154" s="28">
        <v>0</v>
      </c>
      <c r="I154" s="28">
        <v>1</v>
      </c>
      <c r="J154" s="5">
        <v>2022</v>
      </c>
      <c r="K154" s="5">
        <v>2024</v>
      </c>
      <c r="L154" s="5">
        <f t="shared" si="84"/>
        <v>1.58</v>
      </c>
      <c r="M154" s="5">
        <v>0</v>
      </c>
      <c r="N154" s="5" t="s">
        <v>289</v>
      </c>
      <c r="O154" s="5" t="s">
        <v>35</v>
      </c>
      <c r="P154" s="5">
        <v>0</v>
      </c>
      <c r="Q154" s="5"/>
      <c r="R154" s="5" t="s">
        <v>30</v>
      </c>
      <c r="S154" s="5" t="s">
        <v>266</v>
      </c>
      <c r="T154" s="6" t="s">
        <v>218</v>
      </c>
      <c r="U154" s="6" t="s">
        <v>559</v>
      </c>
      <c r="V154" s="25">
        <v>1</v>
      </c>
      <c r="W154" s="5">
        <v>2</v>
      </c>
      <c r="X154" s="7">
        <f t="shared" si="71"/>
        <v>5</v>
      </c>
      <c r="Y154" s="22">
        <f t="shared" si="72"/>
        <v>2</v>
      </c>
      <c r="Z154" s="15">
        <f t="shared" si="67"/>
        <v>3</v>
      </c>
      <c r="AA154" s="19">
        <v>2</v>
      </c>
      <c r="AB154" s="19">
        <v>1</v>
      </c>
      <c r="AC154" s="19">
        <v>0</v>
      </c>
      <c r="AD154" s="19">
        <v>2</v>
      </c>
      <c r="AE154" s="19">
        <v>0</v>
      </c>
      <c r="AF154" s="19">
        <v>0</v>
      </c>
      <c r="AG154" s="36">
        <f t="shared" si="68"/>
        <v>0</v>
      </c>
      <c r="AH154" s="36">
        <f t="shared" si="68"/>
        <v>0</v>
      </c>
      <c r="AI154" s="36">
        <f t="shared" si="68"/>
        <v>2</v>
      </c>
      <c r="AJ154" s="36">
        <f t="shared" si="68"/>
        <v>0</v>
      </c>
      <c r="AK154" s="36">
        <f t="shared" si="68"/>
        <v>0</v>
      </c>
      <c r="AL154" s="36">
        <f t="shared" si="68"/>
        <v>0</v>
      </c>
      <c r="AM154" s="7">
        <v>2</v>
      </c>
      <c r="AN154" s="7">
        <v>1</v>
      </c>
      <c r="AO154" s="7">
        <v>2</v>
      </c>
      <c r="AP154" s="7">
        <v>2</v>
      </c>
      <c r="AQ154" s="7">
        <v>0</v>
      </c>
      <c r="AR154" s="7">
        <v>0</v>
      </c>
      <c r="AS154" s="22">
        <f t="shared" si="73"/>
        <v>5</v>
      </c>
      <c r="AT154" s="22">
        <f t="shared" si="74"/>
        <v>1.2658227848101264</v>
      </c>
      <c r="AU154" s="5">
        <f t="shared" si="75"/>
        <v>2</v>
      </c>
      <c r="AV154" s="5">
        <f t="shared" si="76"/>
        <v>1.2658227848101264</v>
      </c>
      <c r="AW154" s="5">
        <f t="shared" si="77"/>
        <v>3</v>
      </c>
      <c r="AX154" s="5">
        <f t="shared" si="78"/>
        <v>0</v>
      </c>
      <c r="AY154" s="5">
        <f t="shared" si="79"/>
        <v>0</v>
      </c>
      <c r="AZ154" s="5">
        <f t="shared" si="80"/>
        <v>1.2658227848101264</v>
      </c>
      <c r="BA154" s="5">
        <f t="shared" si="81"/>
        <v>0</v>
      </c>
      <c r="BB154" s="5">
        <f t="shared" si="82"/>
        <v>0</v>
      </c>
      <c r="BC154" s="5">
        <f t="shared" si="83"/>
        <v>0</v>
      </c>
      <c r="BD154" s="6"/>
      <c r="BE154" s="6"/>
      <c r="BF154" s="59"/>
      <c r="BG154" s="6"/>
      <c r="BH154" s="5"/>
      <c r="BI154" s="5"/>
      <c r="BJ154" s="5" t="s">
        <v>289</v>
      </c>
    </row>
    <row r="155" spans="1:62">
      <c r="A155" s="2" t="s">
        <v>287</v>
      </c>
      <c r="B155" s="6" t="s">
        <v>32</v>
      </c>
      <c r="C155" s="6" t="s">
        <v>32</v>
      </c>
      <c r="D155" s="4">
        <v>91</v>
      </c>
      <c r="E155" s="4">
        <v>76</v>
      </c>
      <c r="F155" s="4">
        <v>2008</v>
      </c>
      <c r="G155" s="39">
        <v>11</v>
      </c>
      <c r="H155" s="28">
        <v>0</v>
      </c>
      <c r="I155" s="28">
        <v>1</v>
      </c>
      <c r="J155" s="5">
        <v>2022</v>
      </c>
      <c r="K155" s="5">
        <v>2024</v>
      </c>
      <c r="L155" s="5">
        <f t="shared" si="84"/>
        <v>1.58</v>
      </c>
      <c r="M155" s="5">
        <v>0</v>
      </c>
      <c r="N155" s="5" t="s">
        <v>290</v>
      </c>
      <c r="O155" s="5" t="s">
        <v>28</v>
      </c>
      <c r="P155" s="5">
        <v>0</v>
      </c>
      <c r="Q155" s="5"/>
      <c r="R155" s="5" t="s">
        <v>30</v>
      </c>
      <c r="S155" s="5" t="s">
        <v>291</v>
      </c>
      <c r="T155" s="6" t="s">
        <v>101</v>
      </c>
      <c r="U155" s="6">
        <v>0</v>
      </c>
      <c r="V155" s="25">
        <v>26</v>
      </c>
      <c r="W155" s="5">
        <v>10</v>
      </c>
      <c r="X155" s="7">
        <f t="shared" si="71"/>
        <v>19</v>
      </c>
      <c r="Y155" s="22">
        <f t="shared" si="72"/>
        <v>6</v>
      </c>
      <c r="Z155" s="15">
        <f t="shared" si="67"/>
        <v>13</v>
      </c>
      <c r="AA155" s="19">
        <v>3</v>
      </c>
      <c r="AB155" s="19">
        <v>11</v>
      </c>
      <c r="AC155" s="19">
        <v>0</v>
      </c>
      <c r="AD155" s="19">
        <v>0</v>
      </c>
      <c r="AE155" s="19">
        <v>2</v>
      </c>
      <c r="AF155" s="19">
        <v>0</v>
      </c>
      <c r="AG155" s="36">
        <f t="shared" si="68"/>
        <v>2</v>
      </c>
      <c r="AH155" s="36">
        <f t="shared" si="68"/>
        <v>0</v>
      </c>
      <c r="AI155" s="36">
        <f t="shared" si="68"/>
        <v>3</v>
      </c>
      <c r="AJ155" s="36">
        <f t="shared" si="68"/>
        <v>0</v>
      </c>
      <c r="AK155" s="36">
        <f t="shared" si="68"/>
        <v>1</v>
      </c>
      <c r="AL155" s="36">
        <f t="shared" si="68"/>
        <v>2</v>
      </c>
      <c r="AM155" s="7">
        <v>5</v>
      </c>
      <c r="AN155" s="7">
        <v>11</v>
      </c>
      <c r="AO155" s="7">
        <v>3</v>
      </c>
      <c r="AP155" s="7">
        <v>0</v>
      </c>
      <c r="AQ155" s="7">
        <v>3</v>
      </c>
      <c r="AR155" s="7">
        <v>2</v>
      </c>
      <c r="AS155" s="22">
        <f t="shared" si="73"/>
        <v>19</v>
      </c>
      <c r="AT155" s="22">
        <f t="shared" si="74"/>
        <v>3.7974683544303796</v>
      </c>
      <c r="AU155" s="5">
        <f t="shared" si="75"/>
        <v>4</v>
      </c>
      <c r="AV155" s="5">
        <f t="shared" si="76"/>
        <v>2.5316455696202529</v>
      </c>
      <c r="AW155" s="5">
        <f t="shared" si="77"/>
        <v>13</v>
      </c>
      <c r="AX155" s="5">
        <f t="shared" si="78"/>
        <v>1.2658227848101264</v>
      </c>
      <c r="AY155" s="5">
        <f t="shared" si="79"/>
        <v>0</v>
      </c>
      <c r="AZ155" s="5">
        <f t="shared" si="80"/>
        <v>1.8987341772151898</v>
      </c>
      <c r="BA155" s="5">
        <f t="shared" si="81"/>
        <v>0</v>
      </c>
      <c r="BB155" s="5">
        <f t="shared" si="82"/>
        <v>0.63291139240506322</v>
      </c>
      <c r="BC155" s="5">
        <f t="shared" si="83"/>
        <v>1.2658227848101264</v>
      </c>
      <c r="BD155" s="6"/>
      <c r="BE155" s="6"/>
      <c r="BF155" s="59"/>
      <c r="BG155" s="6"/>
      <c r="BH155" s="5"/>
      <c r="BI155" s="5"/>
      <c r="BJ155" s="5" t="s">
        <v>290</v>
      </c>
    </row>
    <row r="156" spans="1:62">
      <c r="A156" s="2" t="s">
        <v>287</v>
      </c>
      <c r="B156" s="6" t="s">
        <v>32</v>
      </c>
      <c r="C156" s="6" t="s">
        <v>32</v>
      </c>
      <c r="D156" s="4">
        <v>91</v>
      </c>
      <c r="E156" s="4">
        <v>76</v>
      </c>
      <c r="F156" s="4">
        <v>2008</v>
      </c>
      <c r="G156" s="39">
        <v>11</v>
      </c>
      <c r="H156" s="28">
        <v>0</v>
      </c>
      <c r="I156" s="28">
        <v>1</v>
      </c>
      <c r="J156" s="5">
        <v>2021</v>
      </c>
      <c r="K156" s="5">
        <v>2024</v>
      </c>
      <c r="L156" s="5">
        <f t="shared" si="84"/>
        <v>2.58</v>
      </c>
      <c r="M156" s="5">
        <v>0</v>
      </c>
      <c r="N156" s="5" t="s">
        <v>292</v>
      </c>
      <c r="O156" s="5" t="s">
        <v>28</v>
      </c>
      <c r="P156" s="5">
        <v>0</v>
      </c>
      <c r="Q156" s="5"/>
      <c r="R156" s="5" t="s">
        <v>30</v>
      </c>
      <c r="S156" s="5" t="s">
        <v>55</v>
      </c>
      <c r="T156" s="6" t="s">
        <v>218</v>
      </c>
      <c r="U156" s="6" t="s">
        <v>559</v>
      </c>
      <c r="V156" s="25">
        <v>5</v>
      </c>
      <c r="W156" s="5">
        <v>10</v>
      </c>
      <c r="X156" s="7">
        <f t="shared" si="71"/>
        <v>41</v>
      </c>
      <c r="Y156" s="22">
        <f t="shared" si="72"/>
        <v>17</v>
      </c>
      <c r="Z156" s="15">
        <f t="shared" si="67"/>
        <v>24</v>
      </c>
      <c r="AA156" s="19">
        <v>6</v>
      </c>
      <c r="AB156" s="19">
        <v>2</v>
      </c>
      <c r="AC156" s="19">
        <v>17</v>
      </c>
      <c r="AD156" s="19">
        <v>1</v>
      </c>
      <c r="AE156" s="19">
        <v>3</v>
      </c>
      <c r="AF156" s="19">
        <v>1</v>
      </c>
      <c r="AG156" s="36">
        <f t="shared" si="68"/>
        <v>1</v>
      </c>
      <c r="AH156" s="36">
        <f t="shared" si="68"/>
        <v>3</v>
      </c>
      <c r="AI156" s="36">
        <f t="shared" si="68"/>
        <v>5</v>
      </c>
      <c r="AJ156" s="36">
        <f t="shared" si="68"/>
        <v>1</v>
      </c>
      <c r="AK156" s="36">
        <f t="shared" si="68"/>
        <v>3</v>
      </c>
      <c r="AL156" s="36">
        <f t="shared" si="68"/>
        <v>5</v>
      </c>
      <c r="AM156" s="7">
        <v>7</v>
      </c>
      <c r="AN156" s="7">
        <v>5</v>
      </c>
      <c r="AO156" s="7">
        <v>22</v>
      </c>
      <c r="AP156" s="7">
        <v>2</v>
      </c>
      <c r="AQ156" s="7">
        <v>6</v>
      </c>
      <c r="AR156" s="7">
        <v>6</v>
      </c>
      <c r="AS156" s="22">
        <f t="shared" si="73"/>
        <v>41</v>
      </c>
      <c r="AT156" s="22">
        <f t="shared" si="74"/>
        <v>6.5891472868217056</v>
      </c>
      <c r="AU156" s="5">
        <f t="shared" si="75"/>
        <v>12</v>
      </c>
      <c r="AV156" s="5">
        <f t="shared" si="76"/>
        <v>4.6511627906976747</v>
      </c>
      <c r="AW156" s="5">
        <f t="shared" si="77"/>
        <v>23</v>
      </c>
      <c r="AX156" s="5">
        <f t="shared" si="78"/>
        <v>0.38759689922480617</v>
      </c>
      <c r="AY156" s="5">
        <f t="shared" si="79"/>
        <v>1.1627906976744187</v>
      </c>
      <c r="AZ156" s="5">
        <f t="shared" si="80"/>
        <v>1.9379844961240309</v>
      </c>
      <c r="BA156" s="5">
        <f t="shared" si="81"/>
        <v>0.38759689922480617</v>
      </c>
      <c r="BB156" s="5">
        <f t="shared" si="82"/>
        <v>1.1627906976744187</v>
      </c>
      <c r="BC156" s="5">
        <f t="shared" si="83"/>
        <v>1.9379844961240309</v>
      </c>
      <c r="BD156" s="6"/>
      <c r="BE156" s="6"/>
      <c r="BF156" s="59"/>
      <c r="BG156" s="6"/>
      <c r="BH156" s="5"/>
      <c r="BI156" s="5"/>
      <c r="BJ156" s="5" t="s">
        <v>292</v>
      </c>
    </row>
    <row r="157" spans="1:62">
      <c r="A157" s="2" t="s">
        <v>287</v>
      </c>
      <c r="B157" s="6" t="s">
        <v>32</v>
      </c>
      <c r="C157" s="6" t="s">
        <v>32</v>
      </c>
      <c r="D157" s="4">
        <v>91</v>
      </c>
      <c r="E157" s="4">
        <v>76</v>
      </c>
      <c r="F157" s="4">
        <v>2008</v>
      </c>
      <c r="G157" s="39">
        <v>11</v>
      </c>
      <c r="H157" s="28">
        <v>0</v>
      </c>
      <c r="I157" s="28">
        <v>1</v>
      </c>
      <c r="J157" s="5">
        <v>2021</v>
      </c>
      <c r="K157" s="5">
        <v>2024</v>
      </c>
      <c r="L157" s="5">
        <f t="shared" si="84"/>
        <v>2.58</v>
      </c>
      <c r="M157" s="5">
        <v>0</v>
      </c>
      <c r="N157" s="5" t="s">
        <v>293</v>
      </c>
      <c r="O157" s="5" t="s">
        <v>35</v>
      </c>
      <c r="P157" s="5">
        <v>0</v>
      </c>
      <c r="Q157" s="5"/>
      <c r="R157" s="5" t="s">
        <v>30</v>
      </c>
      <c r="S157" s="5" t="s">
        <v>217</v>
      </c>
      <c r="T157" s="6" t="s">
        <v>218</v>
      </c>
      <c r="U157" s="6" t="s">
        <v>559</v>
      </c>
      <c r="V157" s="25">
        <v>3</v>
      </c>
      <c r="W157" s="5">
        <v>3</v>
      </c>
      <c r="X157" s="7">
        <f t="shared" si="71"/>
        <v>5</v>
      </c>
      <c r="Y157" s="22">
        <f t="shared" si="72"/>
        <v>1</v>
      </c>
      <c r="Z157" s="15">
        <f t="shared" si="67"/>
        <v>4</v>
      </c>
      <c r="AA157" s="19">
        <v>0</v>
      </c>
      <c r="AB157" s="19">
        <v>2</v>
      </c>
      <c r="AC157" s="19">
        <v>2</v>
      </c>
      <c r="AD157" s="19">
        <v>0</v>
      </c>
      <c r="AE157" s="19">
        <v>0</v>
      </c>
      <c r="AF157" s="19">
        <v>0</v>
      </c>
      <c r="AG157" s="36">
        <f t="shared" si="68"/>
        <v>0</v>
      </c>
      <c r="AH157" s="36">
        <f t="shared" si="68"/>
        <v>0</v>
      </c>
      <c r="AI157" s="36">
        <f t="shared" si="68"/>
        <v>0</v>
      </c>
      <c r="AJ157" s="36">
        <f t="shared" ref="AJ157:AL188" si="85">AP157-AD157</f>
        <v>0</v>
      </c>
      <c r="AK157" s="36">
        <f t="shared" si="85"/>
        <v>1</v>
      </c>
      <c r="AL157" s="36">
        <f t="shared" si="85"/>
        <v>0</v>
      </c>
      <c r="AM157" s="7">
        <v>0</v>
      </c>
      <c r="AN157" s="7">
        <v>2</v>
      </c>
      <c r="AO157" s="7">
        <v>2</v>
      </c>
      <c r="AP157" s="7">
        <v>0</v>
      </c>
      <c r="AQ157" s="7">
        <v>1</v>
      </c>
      <c r="AR157" s="7">
        <v>0</v>
      </c>
      <c r="AS157" s="22">
        <f t="shared" si="73"/>
        <v>5</v>
      </c>
      <c r="AT157" s="22">
        <f t="shared" si="74"/>
        <v>0.38759689922480617</v>
      </c>
      <c r="AU157" s="5">
        <f t="shared" si="75"/>
        <v>1</v>
      </c>
      <c r="AV157" s="5">
        <f t="shared" si="76"/>
        <v>0.38759689922480617</v>
      </c>
      <c r="AW157" s="5">
        <f t="shared" si="77"/>
        <v>4</v>
      </c>
      <c r="AX157" s="5">
        <f t="shared" si="78"/>
        <v>0</v>
      </c>
      <c r="AY157" s="5">
        <f t="shared" si="79"/>
        <v>0</v>
      </c>
      <c r="AZ157" s="5">
        <f t="shared" si="80"/>
        <v>0</v>
      </c>
      <c r="BA157" s="5">
        <f t="shared" si="81"/>
        <v>0</v>
      </c>
      <c r="BB157" s="5">
        <f t="shared" si="82"/>
        <v>0.38759689922480617</v>
      </c>
      <c r="BC157" s="5">
        <f t="shared" si="83"/>
        <v>0</v>
      </c>
      <c r="BD157" s="6"/>
      <c r="BE157" s="6"/>
      <c r="BF157" s="59"/>
      <c r="BG157" s="6"/>
      <c r="BH157" s="5"/>
      <c r="BI157" s="5"/>
      <c r="BJ157" s="5" t="s">
        <v>293</v>
      </c>
    </row>
    <row r="158" spans="1:62">
      <c r="A158" s="2" t="s">
        <v>287</v>
      </c>
      <c r="B158" s="6" t="s">
        <v>32</v>
      </c>
      <c r="C158" s="6" t="s">
        <v>32</v>
      </c>
      <c r="D158" s="4">
        <v>91</v>
      </c>
      <c r="E158" s="4">
        <v>76</v>
      </c>
      <c r="F158" s="4">
        <v>2008</v>
      </c>
      <c r="G158" s="39">
        <v>11</v>
      </c>
      <c r="H158" s="28">
        <v>0</v>
      </c>
      <c r="I158" s="28">
        <v>1</v>
      </c>
      <c r="J158" s="5">
        <v>2020</v>
      </c>
      <c r="K158" s="5">
        <v>2024</v>
      </c>
      <c r="L158" s="5">
        <f t="shared" si="84"/>
        <v>3.58</v>
      </c>
      <c r="M158" s="5">
        <v>0</v>
      </c>
      <c r="N158" s="5" t="s">
        <v>294</v>
      </c>
      <c r="O158" s="5" t="s">
        <v>35</v>
      </c>
      <c r="P158" s="5">
        <v>0</v>
      </c>
      <c r="Q158" s="5"/>
      <c r="R158" s="5" t="s">
        <v>30</v>
      </c>
      <c r="S158" s="5" t="s">
        <v>102</v>
      </c>
      <c r="T158" s="6" t="s">
        <v>37</v>
      </c>
      <c r="U158" s="6">
        <v>0</v>
      </c>
      <c r="V158" s="25">
        <v>25</v>
      </c>
      <c r="W158" s="5">
        <v>2</v>
      </c>
      <c r="X158" s="7">
        <f t="shared" si="71"/>
        <v>5</v>
      </c>
      <c r="Y158" s="22">
        <f t="shared" si="72"/>
        <v>1</v>
      </c>
      <c r="Z158" s="15">
        <f t="shared" si="67"/>
        <v>4</v>
      </c>
      <c r="AA158" s="19">
        <v>1</v>
      </c>
      <c r="AB158" s="19">
        <v>2</v>
      </c>
      <c r="AC158" s="19">
        <v>2</v>
      </c>
      <c r="AD158" s="19">
        <v>0</v>
      </c>
      <c r="AE158" s="19">
        <v>0</v>
      </c>
      <c r="AF158" s="19">
        <v>0</v>
      </c>
      <c r="AG158" s="36">
        <f t="shared" ref="AG158:AL216" si="86">AM158-AA158</f>
        <v>0</v>
      </c>
      <c r="AH158" s="36">
        <f t="shared" si="86"/>
        <v>0</v>
      </c>
      <c r="AI158" s="36">
        <f t="shared" si="86"/>
        <v>0</v>
      </c>
      <c r="AJ158" s="36">
        <f t="shared" si="85"/>
        <v>0</v>
      </c>
      <c r="AK158" s="36">
        <f t="shared" si="85"/>
        <v>1</v>
      </c>
      <c r="AL158" s="36">
        <f t="shared" si="85"/>
        <v>0</v>
      </c>
      <c r="AM158" s="7">
        <v>1</v>
      </c>
      <c r="AN158" s="7">
        <v>2</v>
      </c>
      <c r="AO158" s="7">
        <v>2</v>
      </c>
      <c r="AP158" s="7">
        <v>0</v>
      </c>
      <c r="AQ158" s="7">
        <v>1</v>
      </c>
      <c r="AR158" s="7">
        <v>0</v>
      </c>
      <c r="AS158" s="22">
        <f t="shared" si="73"/>
        <v>5</v>
      </c>
      <c r="AT158" s="22">
        <f t="shared" si="74"/>
        <v>0.27932960893854747</v>
      </c>
      <c r="AU158" s="5">
        <f t="shared" si="75"/>
        <v>1</v>
      </c>
      <c r="AV158" s="5">
        <f t="shared" si="76"/>
        <v>0.27932960893854747</v>
      </c>
      <c r="AW158" s="5">
        <f t="shared" si="77"/>
        <v>4</v>
      </c>
      <c r="AX158" s="5">
        <f t="shared" si="78"/>
        <v>0</v>
      </c>
      <c r="AY158" s="5">
        <f t="shared" si="79"/>
        <v>0</v>
      </c>
      <c r="AZ158" s="5">
        <f t="shared" si="80"/>
        <v>0</v>
      </c>
      <c r="BA158" s="5">
        <f t="shared" si="81"/>
        <v>0</v>
      </c>
      <c r="BB158" s="5">
        <f t="shared" si="82"/>
        <v>0.27932960893854747</v>
      </c>
      <c r="BC158" s="5">
        <f t="shared" si="83"/>
        <v>0</v>
      </c>
      <c r="BD158" s="6"/>
      <c r="BE158" s="6"/>
      <c r="BF158" s="59"/>
      <c r="BG158" s="6"/>
      <c r="BH158" s="5"/>
      <c r="BI158" s="5"/>
      <c r="BJ158" s="5" t="s">
        <v>294</v>
      </c>
    </row>
    <row r="159" spans="1:62">
      <c r="A159" s="2" t="s">
        <v>287</v>
      </c>
      <c r="B159" s="6" t="s">
        <v>32</v>
      </c>
      <c r="C159" s="6" t="s">
        <v>32</v>
      </c>
      <c r="D159" s="4">
        <v>91</v>
      </c>
      <c r="E159" s="4">
        <v>76</v>
      </c>
      <c r="F159" s="4">
        <v>2008</v>
      </c>
      <c r="G159" s="39">
        <v>11</v>
      </c>
      <c r="H159" s="28">
        <v>0</v>
      </c>
      <c r="I159" s="28">
        <v>1</v>
      </c>
      <c r="J159" s="5">
        <v>2020</v>
      </c>
      <c r="K159" s="5">
        <v>2024</v>
      </c>
      <c r="L159" s="5">
        <f t="shared" si="84"/>
        <v>3.58</v>
      </c>
      <c r="M159" s="5">
        <v>0</v>
      </c>
      <c r="N159" s="5" t="s">
        <v>599</v>
      </c>
      <c r="O159" s="5" t="s">
        <v>35</v>
      </c>
      <c r="P159" s="5">
        <v>0</v>
      </c>
      <c r="Q159" s="5"/>
      <c r="R159" s="5" t="s">
        <v>30</v>
      </c>
      <c r="S159" s="5" t="s">
        <v>295</v>
      </c>
      <c r="T159" s="6" t="s">
        <v>218</v>
      </c>
      <c r="U159" s="6" t="s">
        <v>559</v>
      </c>
      <c r="V159" s="25">
        <v>2</v>
      </c>
      <c r="W159" s="5">
        <v>8</v>
      </c>
      <c r="X159" s="7">
        <f t="shared" si="71"/>
        <v>29</v>
      </c>
      <c r="Y159" s="22">
        <f t="shared" si="72"/>
        <v>23</v>
      </c>
      <c r="Z159" s="15">
        <f t="shared" si="67"/>
        <v>6</v>
      </c>
      <c r="AA159" s="19">
        <v>5</v>
      </c>
      <c r="AB159" s="19">
        <v>0</v>
      </c>
      <c r="AC159" s="19">
        <v>3</v>
      </c>
      <c r="AD159" s="19">
        <v>0</v>
      </c>
      <c r="AE159" s="19">
        <v>3</v>
      </c>
      <c r="AF159" s="19">
        <v>0</v>
      </c>
      <c r="AG159" s="36">
        <f t="shared" si="86"/>
        <v>7</v>
      </c>
      <c r="AH159" s="36">
        <f t="shared" si="86"/>
        <v>1</v>
      </c>
      <c r="AI159" s="36">
        <f t="shared" si="86"/>
        <v>15</v>
      </c>
      <c r="AJ159" s="36">
        <f t="shared" si="85"/>
        <v>4</v>
      </c>
      <c r="AK159" s="36">
        <f t="shared" si="85"/>
        <v>1</v>
      </c>
      <c r="AL159" s="36">
        <f t="shared" si="85"/>
        <v>2</v>
      </c>
      <c r="AM159" s="7">
        <v>12</v>
      </c>
      <c r="AN159" s="7">
        <v>1</v>
      </c>
      <c r="AO159" s="7">
        <v>18</v>
      </c>
      <c r="AP159" s="7">
        <v>4</v>
      </c>
      <c r="AQ159" s="7">
        <v>4</v>
      </c>
      <c r="AR159" s="7">
        <v>2</v>
      </c>
      <c r="AS159" s="22">
        <f t="shared" si="73"/>
        <v>29</v>
      </c>
      <c r="AT159" s="22">
        <f t="shared" si="74"/>
        <v>6.4245810055865924</v>
      </c>
      <c r="AU159" s="5">
        <f t="shared" si="75"/>
        <v>21</v>
      </c>
      <c r="AV159" s="5">
        <f t="shared" si="76"/>
        <v>5.8659217877094969</v>
      </c>
      <c r="AW159" s="5">
        <f t="shared" si="77"/>
        <v>6</v>
      </c>
      <c r="AX159" s="5">
        <f t="shared" si="78"/>
        <v>1.9553072625698324</v>
      </c>
      <c r="AY159" s="5">
        <f t="shared" si="79"/>
        <v>0.27932960893854747</v>
      </c>
      <c r="AZ159" s="5">
        <f t="shared" si="80"/>
        <v>4.1899441340782122</v>
      </c>
      <c r="BA159" s="5">
        <f t="shared" si="81"/>
        <v>1.1173184357541899</v>
      </c>
      <c r="BB159" s="5">
        <f t="shared" si="82"/>
        <v>0.27932960893854747</v>
      </c>
      <c r="BC159" s="5">
        <f t="shared" si="83"/>
        <v>0.55865921787709494</v>
      </c>
      <c r="BD159" s="6"/>
      <c r="BE159" s="6"/>
      <c r="BF159" s="59"/>
      <c r="BG159" s="6"/>
      <c r="BH159" s="5"/>
      <c r="BI159" s="5"/>
      <c r="BJ159" s="5" t="s">
        <v>599</v>
      </c>
    </row>
    <row r="160" spans="1:62">
      <c r="A160" s="2" t="s">
        <v>287</v>
      </c>
      <c r="B160" s="6" t="s">
        <v>32</v>
      </c>
      <c r="C160" s="6" t="s">
        <v>32</v>
      </c>
      <c r="D160" s="4">
        <v>91</v>
      </c>
      <c r="E160" s="4">
        <v>76</v>
      </c>
      <c r="F160" s="4">
        <v>2008</v>
      </c>
      <c r="G160" s="39">
        <v>11</v>
      </c>
      <c r="H160" s="28">
        <v>0</v>
      </c>
      <c r="I160" s="28">
        <v>1</v>
      </c>
      <c r="J160" s="24">
        <v>2020</v>
      </c>
      <c r="K160" s="5">
        <v>2024</v>
      </c>
      <c r="L160" s="5">
        <f t="shared" si="84"/>
        <v>3.58</v>
      </c>
      <c r="M160" s="5">
        <v>0</v>
      </c>
      <c r="N160" s="5" t="s">
        <v>296</v>
      </c>
      <c r="O160" s="5" t="s">
        <v>35</v>
      </c>
      <c r="P160" s="5">
        <v>0</v>
      </c>
      <c r="Q160" s="5"/>
      <c r="R160" s="5" t="s">
        <v>30</v>
      </c>
      <c r="S160" s="5" t="s">
        <v>266</v>
      </c>
      <c r="T160" s="6" t="s">
        <v>218</v>
      </c>
      <c r="U160" s="6" t="s">
        <v>559</v>
      </c>
      <c r="V160" s="25">
        <v>1</v>
      </c>
      <c r="W160" s="5">
        <v>2</v>
      </c>
      <c r="X160" s="7">
        <f t="shared" si="71"/>
        <v>8</v>
      </c>
      <c r="Y160" s="22">
        <f t="shared" si="72"/>
        <v>6</v>
      </c>
      <c r="Z160" s="15">
        <f t="shared" si="67"/>
        <v>2</v>
      </c>
      <c r="AA160" s="19">
        <v>2</v>
      </c>
      <c r="AB160" s="19">
        <v>0</v>
      </c>
      <c r="AC160" s="19">
        <v>2</v>
      </c>
      <c r="AD160" s="19">
        <v>0</v>
      </c>
      <c r="AE160" s="19">
        <v>0</v>
      </c>
      <c r="AF160" s="19">
        <v>0</v>
      </c>
      <c r="AG160" s="36">
        <f t="shared" si="86"/>
        <v>4</v>
      </c>
      <c r="AH160" s="36">
        <f t="shared" si="86"/>
        <v>0</v>
      </c>
      <c r="AI160" s="36">
        <f t="shared" si="86"/>
        <v>5</v>
      </c>
      <c r="AJ160" s="36">
        <f t="shared" si="85"/>
        <v>0</v>
      </c>
      <c r="AK160" s="36">
        <f t="shared" si="85"/>
        <v>0</v>
      </c>
      <c r="AL160" s="36">
        <f t="shared" si="85"/>
        <v>1</v>
      </c>
      <c r="AM160" s="7">
        <v>6</v>
      </c>
      <c r="AN160" s="7">
        <v>0</v>
      </c>
      <c r="AO160" s="7">
        <v>7</v>
      </c>
      <c r="AP160" s="7">
        <v>0</v>
      </c>
      <c r="AQ160" s="7">
        <v>0</v>
      </c>
      <c r="AR160" s="7">
        <v>1</v>
      </c>
      <c r="AS160" s="22">
        <f t="shared" si="73"/>
        <v>8</v>
      </c>
      <c r="AT160" s="22">
        <f t="shared" si="74"/>
        <v>1.6759776536312849</v>
      </c>
      <c r="AU160" s="5">
        <f t="shared" si="75"/>
        <v>5</v>
      </c>
      <c r="AV160" s="5">
        <f t="shared" si="76"/>
        <v>1.3966480446927374</v>
      </c>
      <c r="AW160" s="5">
        <f t="shared" si="77"/>
        <v>2</v>
      </c>
      <c r="AX160" s="5">
        <f t="shared" si="78"/>
        <v>1.1173184357541899</v>
      </c>
      <c r="AY160" s="5">
        <f t="shared" si="79"/>
        <v>0</v>
      </c>
      <c r="AZ160" s="5">
        <f t="shared" si="80"/>
        <v>1.3966480446927374</v>
      </c>
      <c r="BA160" s="5">
        <f t="shared" si="81"/>
        <v>0</v>
      </c>
      <c r="BB160" s="5">
        <f t="shared" si="82"/>
        <v>0</v>
      </c>
      <c r="BC160" s="5">
        <f t="shared" si="83"/>
        <v>0.27932960893854747</v>
      </c>
      <c r="BD160" s="6"/>
      <c r="BE160" s="6"/>
      <c r="BF160" s="59"/>
      <c r="BG160" s="6"/>
      <c r="BH160" s="5"/>
      <c r="BI160" s="5"/>
      <c r="BJ160" s="5" t="s">
        <v>296</v>
      </c>
    </row>
    <row r="161" spans="1:62">
      <c r="A161" s="2" t="s">
        <v>287</v>
      </c>
      <c r="B161" s="6" t="s">
        <v>32</v>
      </c>
      <c r="C161" s="6" t="s">
        <v>32</v>
      </c>
      <c r="D161" s="4">
        <v>91</v>
      </c>
      <c r="E161" s="4">
        <v>76</v>
      </c>
      <c r="F161" s="4">
        <v>2008</v>
      </c>
      <c r="G161" s="39">
        <v>11</v>
      </c>
      <c r="H161" s="28">
        <v>0</v>
      </c>
      <c r="I161" s="28">
        <v>1</v>
      </c>
      <c r="J161" s="5">
        <v>2018</v>
      </c>
      <c r="K161" s="5">
        <v>2024</v>
      </c>
      <c r="L161" s="5">
        <f t="shared" si="84"/>
        <v>5.58</v>
      </c>
      <c r="M161" s="5">
        <v>0</v>
      </c>
      <c r="N161" s="5" t="s">
        <v>297</v>
      </c>
      <c r="O161" s="5" t="s">
        <v>35</v>
      </c>
      <c r="P161" s="5">
        <v>0</v>
      </c>
      <c r="Q161" s="5"/>
      <c r="R161" s="5" t="s">
        <v>30</v>
      </c>
      <c r="S161" s="5" t="s">
        <v>298</v>
      </c>
      <c r="T161" s="6" t="s">
        <v>84</v>
      </c>
      <c r="U161" s="6">
        <v>0</v>
      </c>
      <c r="V161" s="25" t="s">
        <v>107</v>
      </c>
      <c r="W161" s="5">
        <v>2</v>
      </c>
      <c r="X161" s="7">
        <f t="shared" si="71"/>
        <v>9</v>
      </c>
      <c r="Y161" s="22">
        <f t="shared" si="72"/>
        <v>8</v>
      </c>
      <c r="Z161" s="15">
        <f t="shared" si="67"/>
        <v>1</v>
      </c>
      <c r="AA161" s="19">
        <v>0</v>
      </c>
      <c r="AB161" s="19">
        <v>0</v>
      </c>
      <c r="AC161" s="19">
        <v>0</v>
      </c>
      <c r="AD161" s="19">
        <v>1</v>
      </c>
      <c r="AE161" s="19">
        <v>0</v>
      </c>
      <c r="AF161" s="19">
        <v>0</v>
      </c>
      <c r="AG161" s="36">
        <f t="shared" si="86"/>
        <v>2</v>
      </c>
      <c r="AH161" s="36">
        <f t="shared" si="86"/>
        <v>5</v>
      </c>
      <c r="AI161" s="36">
        <f t="shared" si="86"/>
        <v>3</v>
      </c>
      <c r="AJ161" s="36">
        <f t="shared" si="85"/>
        <v>0</v>
      </c>
      <c r="AK161" s="36">
        <f t="shared" si="85"/>
        <v>0</v>
      </c>
      <c r="AL161" s="36">
        <f t="shared" si="85"/>
        <v>0</v>
      </c>
      <c r="AM161" s="7">
        <v>2</v>
      </c>
      <c r="AN161" s="7">
        <v>5</v>
      </c>
      <c r="AO161" s="7">
        <v>3</v>
      </c>
      <c r="AP161" s="7">
        <v>1</v>
      </c>
      <c r="AQ161" s="7">
        <v>0</v>
      </c>
      <c r="AR161" s="7">
        <v>0</v>
      </c>
      <c r="AS161" s="22">
        <f t="shared" si="73"/>
        <v>9</v>
      </c>
      <c r="AT161" s="22">
        <f t="shared" si="74"/>
        <v>1.4336917562724014</v>
      </c>
      <c r="AU161" s="5">
        <f t="shared" si="75"/>
        <v>8</v>
      </c>
      <c r="AV161" s="5">
        <f t="shared" si="76"/>
        <v>1.4336917562724014</v>
      </c>
      <c r="AW161" s="5">
        <f t="shared" si="77"/>
        <v>1</v>
      </c>
      <c r="AX161" s="5">
        <f t="shared" si="78"/>
        <v>0.35842293906810035</v>
      </c>
      <c r="AY161" s="5">
        <f t="shared" si="79"/>
        <v>0.89605734767025091</v>
      </c>
      <c r="AZ161" s="5">
        <f t="shared" si="80"/>
        <v>0.5376344086021505</v>
      </c>
      <c r="BA161" s="5">
        <f t="shared" si="81"/>
        <v>0</v>
      </c>
      <c r="BB161" s="5">
        <f t="shared" si="82"/>
        <v>0</v>
      </c>
      <c r="BC161" s="5">
        <f t="shared" si="83"/>
        <v>0</v>
      </c>
      <c r="BD161" s="6"/>
      <c r="BE161" s="6"/>
      <c r="BF161" s="59"/>
      <c r="BG161" s="6"/>
      <c r="BH161" s="5"/>
      <c r="BI161" s="5"/>
      <c r="BJ161" s="5" t="s">
        <v>297</v>
      </c>
    </row>
    <row r="162" spans="1:62">
      <c r="A162" s="2" t="s">
        <v>287</v>
      </c>
      <c r="B162" s="6" t="s">
        <v>32</v>
      </c>
      <c r="C162" s="6" t="s">
        <v>32</v>
      </c>
      <c r="D162" s="4">
        <v>91</v>
      </c>
      <c r="E162" s="4">
        <v>76</v>
      </c>
      <c r="F162" s="4">
        <v>2008</v>
      </c>
      <c r="G162" s="39">
        <v>11</v>
      </c>
      <c r="H162" s="28">
        <v>0</v>
      </c>
      <c r="I162" s="28">
        <v>1</v>
      </c>
      <c r="J162" s="5">
        <v>2016</v>
      </c>
      <c r="K162" s="5">
        <v>2024</v>
      </c>
      <c r="L162" s="5">
        <f t="shared" si="84"/>
        <v>7.58</v>
      </c>
      <c r="M162" s="5">
        <v>0</v>
      </c>
      <c r="N162" s="5" t="s">
        <v>299</v>
      </c>
      <c r="O162" s="5" t="s">
        <v>35</v>
      </c>
      <c r="P162" s="5">
        <v>0</v>
      </c>
      <c r="Q162" s="5"/>
      <c r="R162" s="5" t="s">
        <v>30</v>
      </c>
      <c r="S162" s="5" t="s">
        <v>300</v>
      </c>
      <c r="T162" s="6" t="s">
        <v>218</v>
      </c>
      <c r="U162" s="6" t="s">
        <v>559</v>
      </c>
      <c r="V162" s="25">
        <v>5</v>
      </c>
      <c r="W162" s="5">
        <v>7</v>
      </c>
      <c r="X162" s="7">
        <f t="shared" si="71"/>
        <v>43</v>
      </c>
      <c r="Y162" s="22">
        <f t="shared" si="72"/>
        <v>42</v>
      </c>
      <c r="Z162" s="15">
        <f t="shared" si="67"/>
        <v>1</v>
      </c>
      <c r="AA162" s="19">
        <v>0</v>
      </c>
      <c r="AB162" s="19">
        <v>1</v>
      </c>
      <c r="AC162" s="19">
        <v>0</v>
      </c>
      <c r="AD162" s="19">
        <v>0</v>
      </c>
      <c r="AE162" s="19">
        <v>0</v>
      </c>
      <c r="AF162" s="19">
        <v>0</v>
      </c>
      <c r="AG162" s="36">
        <f t="shared" si="86"/>
        <v>14</v>
      </c>
      <c r="AH162" s="36">
        <f t="shared" si="86"/>
        <v>34</v>
      </c>
      <c r="AI162" s="36">
        <f t="shared" si="86"/>
        <v>5</v>
      </c>
      <c r="AJ162" s="36">
        <f t="shared" si="85"/>
        <v>2</v>
      </c>
      <c r="AK162" s="36">
        <f t="shared" si="85"/>
        <v>0</v>
      </c>
      <c r="AL162" s="36">
        <f t="shared" si="85"/>
        <v>1</v>
      </c>
      <c r="AM162" s="7">
        <v>14</v>
      </c>
      <c r="AN162" s="7">
        <v>35</v>
      </c>
      <c r="AO162" s="7">
        <v>5</v>
      </c>
      <c r="AP162" s="7">
        <v>2</v>
      </c>
      <c r="AQ162" s="7">
        <v>0</v>
      </c>
      <c r="AR162" s="7">
        <v>1</v>
      </c>
      <c r="AS162" s="22">
        <f t="shared" si="73"/>
        <v>43</v>
      </c>
      <c r="AT162" s="22">
        <f t="shared" si="74"/>
        <v>5.5408970976253293</v>
      </c>
      <c r="AU162" s="5">
        <f t="shared" si="75"/>
        <v>41</v>
      </c>
      <c r="AV162" s="5">
        <f t="shared" si="76"/>
        <v>5.4089709762532978</v>
      </c>
      <c r="AW162" s="5">
        <f t="shared" si="77"/>
        <v>1</v>
      </c>
      <c r="AX162" s="5">
        <f t="shared" si="78"/>
        <v>1.8469656992084433</v>
      </c>
      <c r="AY162" s="5">
        <f t="shared" si="79"/>
        <v>4.4854881266490763</v>
      </c>
      <c r="AZ162" s="5">
        <f t="shared" si="80"/>
        <v>0.65963060686015829</v>
      </c>
      <c r="BA162" s="5">
        <f t="shared" si="81"/>
        <v>0.26385224274406333</v>
      </c>
      <c r="BB162" s="5">
        <f t="shared" si="82"/>
        <v>0</v>
      </c>
      <c r="BC162" s="5">
        <f t="shared" si="83"/>
        <v>0.13192612137203166</v>
      </c>
      <c r="BD162" s="6"/>
      <c r="BE162" s="6"/>
      <c r="BF162" s="59"/>
      <c r="BG162" s="6"/>
      <c r="BH162" s="5"/>
      <c r="BI162" s="5"/>
      <c r="BJ162" s="5" t="s">
        <v>299</v>
      </c>
    </row>
    <row r="163" spans="1:62">
      <c r="A163" s="2" t="s">
        <v>287</v>
      </c>
      <c r="B163" s="6" t="s">
        <v>32</v>
      </c>
      <c r="C163" s="6" t="s">
        <v>32</v>
      </c>
      <c r="D163" s="4">
        <v>91</v>
      </c>
      <c r="E163" s="4">
        <v>76</v>
      </c>
      <c r="F163" s="4">
        <v>2008</v>
      </c>
      <c r="G163" s="39">
        <v>11</v>
      </c>
      <c r="H163" s="28">
        <v>0</v>
      </c>
      <c r="I163" s="28">
        <v>1</v>
      </c>
      <c r="J163" s="5">
        <v>2016</v>
      </c>
      <c r="K163" s="5">
        <v>2024</v>
      </c>
      <c r="L163" s="5">
        <f t="shared" si="84"/>
        <v>7.58</v>
      </c>
      <c r="M163" s="5">
        <v>0</v>
      </c>
      <c r="N163" s="5" t="s">
        <v>301</v>
      </c>
      <c r="O163" s="5" t="s">
        <v>35</v>
      </c>
      <c r="P163" s="5">
        <v>0</v>
      </c>
      <c r="Q163" s="5"/>
      <c r="R163" s="5" t="s">
        <v>54</v>
      </c>
      <c r="S163" s="5" t="s">
        <v>302</v>
      </c>
      <c r="T163" s="6" t="s">
        <v>218</v>
      </c>
      <c r="U163" s="6" t="s">
        <v>559</v>
      </c>
      <c r="V163" s="25">
        <v>5</v>
      </c>
      <c r="W163" s="5">
        <v>7</v>
      </c>
      <c r="X163" s="7">
        <f t="shared" si="71"/>
        <v>25</v>
      </c>
      <c r="Y163" s="22">
        <f t="shared" si="72"/>
        <v>17</v>
      </c>
      <c r="Z163" s="15">
        <f t="shared" si="67"/>
        <v>8</v>
      </c>
      <c r="AA163" s="19">
        <v>3</v>
      </c>
      <c r="AB163" s="19">
        <v>8</v>
      </c>
      <c r="AC163" s="19">
        <v>0</v>
      </c>
      <c r="AD163" s="19">
        <v>0</v>
      </c>
      <c r="AE163" s="19">
        <v>0</v>
      </c>
      <c r="AF163" s="19">
        <v>0</v>
      </c>
      <c r="AG163" s="36">
        <f t="shared" si="86"/>
        <v>9</v>
      </c>
      <c r="AH163" s="36">
        <f t="shared" si="86"/>
        <v>9</v>
      </c>
      <c r="AI163" s="36">
        <f t="shared" si="86"/>
        <v>7</v>
      </c>
      <c r="AJ163" s="36">
        <f t="shared" si="85"/>
        <v>0</v>
      </c>
      <c r="AK163" s="36">
        <f t="shared" si="85"/>
        <v>0</v>
      </c>
      <c r="AL163" s="36">
        <f t="shared" si="85"/>
        <v>1</v>
      </c>
      <c r="AM163" s="7">
        <v>12</v>
      </c>
      <c r="AN163" s="7">
        <v>17</v>
      </c>
      <c r="AO163" s="7">
        <v>7</v>
      </c>
      <c r="AP163" s="7">
        <v>0</v>
      </c>
      <c r="AQ163" s="7">
        <v>0</v>
      </c>
      <c r="AR163" s="7">
        <v>1</v>
      </c>
      <c r="AS163" s="22">
        <f t="shared" si="73"/>
        <v>25</v>
      </c>
      <c r="AT163" s="22">
        <f t="shared" si="74"/>
        <v>2.2427440633245381</v>
      </c>
      <c r="AU163" s="5">
        <f t="shared" si="75"/>
        <v>16</v>
      </c>
      <c r="AV163" s="5">
        <f t="shared" si="76"/>
        <v>2.1108179419525066</v>
      </c>
      <c r="AW163" s="5">
        <f t="shared" si="77"/>
        <v>8</v>
      </c>
      <c r="AX163" s="5">
        <f t="shared" si="78"/>
        <v>1.187335092348285</v>
      </c>
      <c r="AY163" s="5">
        <f t="shared" si="79"/>
        <v>1.187335092348285</v>
      </c>
      <c r="AZ163" s="5">
        <f t="shared" si="80"/>
        <v>0.92348284960422167</v>
      </c>
      <c r="BA163" s="5">
        <f t="shared" si="81"/>
        <v>0</v>
      </c>
      <c r="BB163" s="5">
        <f t="shared" si="82"/>
        <v>0</v>
      </c>
      <c r="BC163" s="5">
        <f t="shared" si="83"/>
        <v>0.13192612137203166</v>
      </c>
      <c r="BD163" s="6"/>
      <c r="BE163" s="6"/>
      <c r="BF163" s="59"/>
      <c r="BG163" s="6"/>
      <c r="BH163" s="5"/>
      <c r="BI163" s="5"/>
      <c r="BJ163" s="5" t="s">
        <v>301</v>
      </c>
    </row>
    <row r="164" spans="1:62">
      <c r="A164" s="2" t="s">
        <v>287</v>
      </c>
      <c r="B164" s="6" t="s">
        <v>32</v>
      </c>
      <c r="C164" s="6" t="s">
        <v>32</v>
      </c>
      <c r="D164" s="4">
        <v>91</v>
      </c>
      <c r="E164" s="4">
        <v>76</v>
      </c>
      <c r="F164" s="4">
        <v>2008</v>
      </c>
      <c r="G164" s="39">
        <v>11</v>
      </c>
      <c r="H164" s="28">
        <v>0</v>
      </c>
      <c r="I164" s="28">
        <v>1</v>
      </c>
      <c r="J164" s="5">
        <v>2015</v>
      </c>
      <c r="K164" s="5">
        <v>2024</v>
      </c>
      <c r="L164" s="5">
        <f t="shared" si="84"/>
        <v>8.58</v>
      </c>
      <c r="M164" s="5">
        <v>0</v>
      </c>
      <c r="N164" s="5" t="s">
        <v>303</v>
      </c>
      <c r="O164" s="5" t="s">
        <v>35</v>
      </c>
      <c r="P164" s="5">
        <v>0</v>
      </c>
      <c r="Q164" s="5"/>
      <c r="R164" s="5" t="s">
        <v>30</v>
      </c>
      <c r="S164" s="5" t="s">
        <v>304</v>
      </c>
      <c r="T164" s="6" t="s">
        <v>218</v>
      </c>
      <c r="U164" s="6" t="s">
        <v>559</v>
      </c>
      <c r="V164" s="25">
        <v>4</v>
      </c>
      <c r="W164" s="5">
        <v>18</v>
      </c>
      <c r="X164" s="7">
        <f t="shared" si="71"/>
        <v>119</v>
      </c>
      <c r="Y164" s="22">
        <f t="shared" si="72"/>
        <v>117</v>
      </c>
      <c r="Z164" s="15">
        <f t="shared" si="67"/>
        <v>2</v>
      </c>
      <c r="AA164" s="19">
        <v>1</v>
      </c>
      <c r="AB164" s="19">
        <v>1</v>
      </c>
      <c r="AC164" s="19">
        <v>1</v>
      </c>
      <c r="AD164" s="19">
        <v>0</v>
      </c>
      <c r="AE164" s="19">
        <v>0</v>
      </c>
      <c r="AF164" s="19">
        <v>0</v>
      </c>
      <c r="AG164" s="36">
        <f t="shared" si="86"/>
        <v>29</v>
      </c>
      <c r="AH164" s="36">
        <f t="shared" si="86"/>
        <v>55</v>
      </c>
      <c r="AI164" s="36">
        <f t="shared" si="86"/>
        <v>39</v>
      </c>
      <c r="AJ164" s="36">
        <f t="shared" si="85"/>
        <v>10</v>
      </c>
      <c r="AK164" s="36">
        <f t="shared" si="85"/>
        <v>3</v>
      </c>
      <c r="AL164" s="36">
        <f t="shared" si="85"/>
        <v>10</v>
      </c>
      <c r="AM164" s="7">
        <v>30</v>
      </c>
      <c r="AN164" s="7">
        <v>56</v>
      </c>
      <c r="AO164" s="7">
        <v>40</v>
      </c>
      <c r="AP164" s="7">
        <v>10</v>
      </c>
      <c r="AQ164" s="7">
        <v>3</v>
      </c>
      <c r="AR164" s="7">
        <v>10</v>
      </c>
      <c r="AS164" s="22">
        <f t="shared" si="73"/>
        <v>119</v>
      </c>
      <c r="AT164" s="22">
        <f t="shared" si="74"/>
        <v>13.636363636363637</v>
      </c>
      <c r="AU164" s="5">
        <f t="shared" si="75"/>
        <v>107</v>
      </c>
      <c r="AV164" s="5">
        <f t="shared" si="76"/>
        <v>12.470862470862471</v>
      </c>
      <c r="AW164" s="5">
        <f t="shared" si="77"/>
        <v>2</v>
      </c>
      <c r="AX164" s="5">
        <f t="shared" si="78"/>
        <v>3.3799533799533799</v>
      </c>
      <c r="AY164" s="5">
        <f t="shared" si="79"/>
        <v>6.4102564102564106</v>
      </c>
      <c r="AZ164" s="5">
        <f t="shared" si="80"/>
        <v>4.5454545454545459</v>
      </c>
      <c r="BA164" s="5">
        <f t="shared" si="81"/>
        <v>1.1655011655011656</v>
      </c>
      <c r="BB164" s="5">
        <f t="shared" si="82"/>
        <v>0.34965034965034963</v>
      </c>
      <c r="BC164" s="5">
        <f t="shared" si="83"/>
        <v>1.1655011655011656</v>
      </c>
      <c r="BD164" s="6"/>
      <c r="BE164" s="6"/>
      <c r="BF164" s="59"/>
      <c r="BG164" s="6"/>
      <c r="BH164" s="5"/>
      <c r="BI164" s="5"/>
      <c r="BJ164" s="5" t="s">
        <v>303</v>
      </c>
    </row>
    <row r="165" spans="1:62">
      <c r="A165" s="2" t="s">
        <v>287</v>
      </c>
      <c r="B165" s="6" t="s">
        <v>32</v>
      </c>
      <c r="C165" s="6" t="s">
        <v>32</v>
      </c>
      <c r="D165" s="4">
        <v>91</v>
      </c>
      <c r="E165" s="4">
        <v>76</v>
      </c>
      <c r="F165" s="4">
        <v>2008</v>
      </c>
      <c r="G165" s="39">
        <v>11</v>
      </c>
      <c r="H165" s="28">
        <v>0</v>
      </c>
      <c r="I165" s="28">
        <v>1</v>
      </c>
      <c r="J165" s="5">
        <v>2015</v>
      </c>
      <c r="K165" s="5">
        <v>2023</v>
      </c>
      <c r="L165" s="5">
        <f>(K165-J165)</f>
        <v>8</v>
      </c>
      <c r="M165" s="5">
        <v>1</v>
      </c>
      <c r="N165" s="5" t="s">
        <v>305</v>
      </c>
      <c r="O165" s="5" t="s">
        <v>28</v>
      </c>
      <c r="P165" s="5">
        <v>0</v>
      </c>
      <c r="Q165" s="5"/>
      <c r="R165" s="5" t="s">
        <v>30</v>
      </c>
      <c r="S165" s="5" t="s">
        <v>307</v>
      </c>
      <c r="T165" s="6" t="s">
        <v>101</v>
      </c>
      <c r="U165" s="6">
        <v>0</v>
      </c>
      <c r="V165" s="25">
        <v>35</v>
      </c>
      <c r="W165" s="5">
        <v>6</v>
      </c>
      <c r="X165" s="7">
        <f t="shared" si="71"/>
        <v>21</v>
      </c>
      <c r="Y165" s="22">
        <f t="shared" si="72"/>
        <v>21</v>
      </c>
      <c r="Z165" s="15">
        <f t="shared" si="67"/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36">
        <f t="shared" si="86"/>
        <v>3</v>
      </c>
      <c r="AH165" s="36">
        <f t="shared" si="86"/>
        <v>8</v>
      </c>
      <c r="AI165" s="36">
        <f t="shared" si="86"/>
        <v>9</v>
      </c>
      <c r="AJ165" s="36">
        <f t="shared" si="85"/>
        <v>4</v>
      </c>
      <c r="AK165" s="36">
        <f t="shared" si="85"/>
        <v>0</v>
      </c>
      <c r="AL165" s="36">
        <f t="shared" si="85"/>
        <v>0</v>
      </c>
      <c r="AM165" s="7">
        <v>3</v>
      </c>
      <c r="AN165" s="7">
        <v>8</v>
      </c>
      <c r="AO165" s="7">
        <v>9</v>
      </c>
      <c r="AP165" s="7">
        <v>4</v>
      </c>
      <c r="AQ165" s="7">
        <v>0</v>
      </c>
      <c r="AR165" s="7">
        <v>0</v>
      </c>
      <c r="AS165" s="22">
        <f t="shared" si="73"/>
        <v>21</v>
      </c>
      <c r="AT165" s="22">
        <f t="shared" si="74"/>
        <v>2.625</v>
      </c>
      <c r="AU165" s="5">
        <f t="shared" si="75"/>
        <v>21</v>
      </c>
      <c r="AV165" s="5">
        <f t="shared" si="76"/>
        <v>2.625</v>
      </c>
      <c r="AW165" s="5">
        <f t="shared" si="77"/>
        <v>0</v>
      </c>
      <c r="AX165" s="5">
        <f t="shared" si="78"/>
        <v>0.375</v>
      </c>
      <c r="AY165" s="5">
        <f t="shared" si="79"/>
        <v>1</v>
      </c>
      <c r="AZ165" s="5">
        <f t="shared" si="80"/>
        <v>1.125</v>
      </c>
      <c r="BA165" s="5">
        <f t="shared" si="81"/>
        <v>0.5</v>
      </c>
      <c r="BB165" s="5">
        <f t="shared" si="82"/>
        <v>0</v>
      </c>
      <c r="BC165" s="5">
        <f t="shared" si="83"/>
        <v>0</v>
      </c>
      <c r="BD165" s="6">
        <v>1</v>
      </c>
      <c r="BE165" s="6"/>
      <c r="BF165" s="59">
        <v>1</v>
      </c>
      <c r="BG165" s="6" t="s">
        <v>306</v>
      </c>
      <c r="BH165" s="5"/>
      <c r="BI165" s="5" t="s">
        <v>308</v>
      </c>
      <c r="BJ165" s="5" t="s">
        <v>305</v>
      </c>
    </row>
    <row r="166" spans="1:62">
      <c r="A166" s="2" t="s">
        <v>287</v>
      </c>
      <c r="B166" s="6" t="s">
        <v>32</v>
      </c>
      <c r="C166" s="6" t="s">
        <v>32</v>
      </c>
      <c r="D166" s="4">
        <v>91</v>
      </c>
      <c r="E166" s="4">
        <v>76</v>
      </c>
      <c r="F166" s="4">
        <v>2008</v>
      </c>
      <c r="G166" s="39">
        <v>11</v>
      </c>
      <c r="H166" s="28">
        <v>0</v>
      </c>
      <c r="I166" s="28">
        <v>1</v>
      </c>
      <c r="J166" s="5">
        <v>2015</v>
      </c>
      <c r="K166" s="5">
        <v>2023</v>
      </c>
      <c r="L166" s="5">
        <f>(K166-J166)</f>
        <v>8</v>
      </c>
      <c r="M166" s="5">
        <v>1</v>
      </c>
      <c r="N166" s="5" t="s">
        <v>309</v>
      </c>
      <c r="O166" s="5" t="s">
        <v>35</v>
      </c>
      <c r="P166" s="5">
        <v>0</v>
      </c>
      <c r="Q166" s="5"/>
      <c r="R166" s="5" t="s">
        <v>30</v>
      </c>
      <c r="S166" s="5" t="s">
        <v>310</v>
      </c>
      <c r="T166" s="6" t="s">
        <v>218</v>
      </c>
      <c r="U166" s="6">
        <v>0</v>
      </c>
      <c r="V166" s="25">
        <v>13</v>
      </c>
      <c r="W166" s="5">
        <v>17</v>
      </c>
      <c r="X166" s="7">
        <f t="shared" si="71"/>
        <v>62</v>
      </c>
      <c r="Y166" s="22">
        <f t="shared" si="72"/>
        <v>59</v>
      </c>
      <c r="Z166" s="15">
        <f t="shared" si="67"/>
        <v>3</v>
      </c>
      <c r="AA166" s="19">
        <v>2</v>
      </c>
      <c r="AB166" s="19">
        <v>0</v>
      </c>
      <c r="AC166" s="19">
        <v>3</v>
      </c>
      <c r="AD166" s="19">
        <v>0</v>
      </c>
      <c r="AE166" s="19">
        <v>0</v>
      </c>
      <c r="AF166" s="19">
        <v>0</v>
      </c>
      <c r="AG166" s="36">
        <f t="shared" si="86"/>
        <v>10</v>
      </c>
      <c r="AH166" s="36">
        <f t="shared" si="86"/>
        <v>49</v>
      </c>
      <c r="AI166" s="36">
        <f t="shared" si="86"/>
        <v>4</v>
      </c>
      <c r="AJ166" s="36">
        <f t="shared" si="85"/>
        <v>2</v>
      </c>
      <c r="AK166" s="36">
        <f t="shared" si="85"/>
        <v>1</v>
      </c>
      <c r="AL166" s="36">
        <f t="shared" si="85"/>
        <v>3</v>
      </c>
      <c r="AM166" s="7">
        <v>12</v>
      </c>
      <c r="AN166" s="7">
        <v>49</v>
      </c>
      <c r="AO166" s="7">
        <v>7</v>
      </c>
      <c r="AP166" s="7">
        <v>2</v>
      </c>
      <c r="AQ166" s="7">
        <v>1</v>
      </c>
      <c r="AR166" s="7">
        <v>3</v>
      </c>
      <c r="AS166" s="22">
        <f t="shared" si="73"/>
        <v>62</v>
      </c>
      <c r="AT166" s="22">
        <f t="shared" si="74"/>
        <v>7.375</v>
      </c>
      <c r="AU166" s="5">
        <f t="shared" si="75"/>
        <v>56</v>
      </c>
      <c r="AV166" s="5">
        <f t="shared" si="76"/>
        <v>7</v>
      </c>
      <c r="AW166" s="5">
        <f t="shared" si="77"/>
        <v>3</v>
      </c>
      <c r="AX166" s="5">
        <f t="shared" si="78"/>
        <v>1.25</v>
      </c>
      <c r="AY166" s="5">
        <f t="shared" si="79"/>
        <v>6.125</v>
      </c>
      <c r="AZ166" s="5">
        <f t="shared" si="80"/>
        <v>0.5</v>
      </c>
      <c r="BA166" s="5">
        <f t="shared" si="81"/>
        <v>0.25</v>
      </c>
      <c r="BB166" s="5">
        <f t="shared" si="82"/>
        <v>0.125</v>
      </c>
      <c r="BC166" s="5">
        <f t="shared" si="83"/>
        <v>0.375</v>
      </c>
      <c r="BD166" s="6">
        <v>1</v>
      </c>
      <c r="BE166" s="6"/>
      <c r="BF166" s="59">
        <v>1</v>
      </c>
      <c r="BG166" s="6" t="s">
        <v>306</v>
      </c>
      <c r="BH166" s="5"/>
      <c r="BI166" s="5"/>
      <c r="BJ166" s="5" t="s">
        <v>309</v>
      </c>
    </row>
    <row r="167" spans="1:62">
      <c r="A167" s="2" t="s">
        <v>287</v>
      </c>
      <c r="B167" s="6" t="s">
        <v>32</v>
      </c>
      <c r="C167" s="6" t="s">
        <v>32</v>
      </c>
      <c r="D167" s="4">
        <v>91</v>
      </c>
      <c r="E167" s="4">
        <v>76</v>
      </c>
      <c r="F167" s="4">
        <v>2008</v>
      </c>
      <c r="G167" s="39">
        <v>11</v>
      </c>
      <c r="H167" s="28">
        <v>0</v>
      </c>
      <c r="I167" s="28">
        <v>1</v>
      </c>
      <c r="J167" s="5">
        <v>2018</v>
      </c>
      <c r="K167" s="5">
        <v>2024</v>
      </c>
      <c r="L167" s="5">
        <f t="shared" ref="L167:L184" si="87">(K167-J167)-0.42</f>
        <v>5.58</v>
      </c>
      <c r="M167" s="5">
        <v>0</v>
      </c>
      <c r="N167" s="5" t="s">
        <v>311</v>
      </c>
      <c r="O167" s="5" t="s">
        <v>28</v>
      </c>
      <c r="P167" s="5">
        <v>0</v>
      </c>
      <c r="Q167" s="5"/>
      <c r="R167" s="5" t="s">
        <v>30</v>
      </c>
      <c r="S167" s="5" t="s">
        <v>312</v>
      </c>
      <c r="T167" s="6" t="s">
        <v>218</v>
      </c>
      <c r="U167" s="6">
        <v>0</v>
      </c>
      <c r="V167" s="25">
        <v>18</v>
      </c>
      <c r="W167" s="5">
        <v>6</v>
      </c>
      <c r="X167" s="7">
        <f t="shared" si="71"/>
        <v>17</v>
      </c>
      <c r="Y167" s="22">
        <f t="shared" si="72"/>
        <v>12</v>
      </c>
      <c r="Z167" s="15">
        <f t="shared" si="67"/>
        <v>5</v>
      </c>
      <c r="AA167" s="19">
        <v>1</v>
      </c>
      <c r="AB167" s="19">
        <v>0</v>
      </c>
      <c r="AC167" s="19">
        <v>4</v>
      </c>
      <c r="AD167" s="19">
        <v>0</v>
      </c>
      <c r="AE167" s="19">
        <v>1</v>
      </c>
      <c r="AF167" s="19">
        <v>0</v>
      </c>
      <c r="AG167" s="36">
        <f t="shared" si="86"/>
        <v>3</v>
      </c>
      <c r="AH167" s="36">
        <f t="shared" si="86"/>
        <v>4</v>
      </c>
      <c r="AI167" s="36">
        <f t="shared" si="86"/>
        <v>5</v>
      </c>
      <c r="AJ167" s="36">
        <f t="shared" si="85"/>
        <v>0</v>
      </c>
      <c r="AK167" s="36">
        <f t="shared" si="85"/>
        <v>0</v>
      </c>
      <c r="AL167" s="36">
        <f t="shared" si="85"/>
        <v>3</v>
      </c>
      <c r="AM167" s="7">
        <v>4</v>
      </c>
      <c r="AN167" s="7">
        <v>4</v>
      </c>
      <c r="AO167" s="7">
        <v>9</v>
      </c>
      <c r="AP167" s="7">
        <v>0</v>
      </c>
      <c r="AQ167" s="7">
        <v>1</v>
      </c>
      <c r="AR167" s="7">
        <v>3</v>
      </c>
      <c r="AS167" s="22">
        <f t="shared" si="73"/>
        <v>17</v>
      </c>
      <c r="AT167" s="22">
        <f t="shared" si="74"/>
        <v>2.150537634408602</v>
      </c>
      <c r="AU167" s="5">
        <f t="shared" si="75"/>
        <v>9</v>
      </c>
      <c r="AV167" s="5">
        <f t="shared" si="76"/>
        <v>1.6129032258064515</v>
      </c>
      <c r="AW167" s="5">
        <f t="shared" si="77"/>
        <v>5</v>
      </c>
      <c r="AX167" s="5">
        <f t="shared" si="78"/>
        <v>0.5376344086021505</v>
      </c>
      <c r="AY167" s="5">
        <f t="shared" si="79"/>
        <v>0.71684587813620071</v>
      </c>
      <c r="AZ167" s="5">
        <f t="shared" si="80"/>
        <v>0.89605734767025091</v>
      </c>
      <c r="BA167" s="5">
        <f t="shared" si="81"/>
        <v>0</v>
      </c>
      <c r="BB167" s="5">
        <f t="shared" si="82"/>
        <v>0</v>
      </c>
      <c r="BC167" s="5">
        <f t="shared" si="83"/>
        <v>0.5376344086021505</v>
      </c>
      <c r="BD167" s="6"/>
      <c r="BE167" s="6"/>
      <c r="BF167" s="59"/>
      <c r="BG167" s="6"/>
      <c r="BH167" s="5"/>
      <c r="BI167" s="5"/>
      <c r="BJ167" s="5" t="s">
        <v>311</v>
      </c>
    </row>
    <row r="168" spans="1:62">
      <c r="A168" s="2" t="s">
        <v>287</v>
      </c>
      <c r="B168" s="6" t="s">
        <v>32</v>
      </c>
      <c r="C168" s="6" t="s">
        <v>32</v>
      </c>
      <c r="D168" s="4">
        <v>91</v>
      </c>
      <c r="E168" s="4">
        <v>76</v>
      </c>
      <c r="F168" s="4">
        <v>2008</v>
      </c>
      <c r="G168" s="39">
        <v>11</v>
      </c>
      <c r="H168" s="28">
        <v>0</v>
      </c>
      <c r="I168" s="28">
        <v>1</v>
      </c>
      <c r="J168" s="5">
        <v>2019</v>
      </c>
      <c r="K168" s="5">
        <v>2024</v>
      </c>
      <c r="L168" s="5">
        <f t="shared" si="87"/>
        <v>4.58</v>
      </c>
      <c r="M168" s="5">
        <v>0</v>
      </c>
      <c r="N168" s="5" t="s">
        <v>313</v>
      </c>
      <c r="O168" s="5" t="s">
        <v>28</v>
      </c>
      <c r="P168" s="5">
        <v>0</v>
      </c>
      <c r="Q168" s="5"/>
      <c r="R168" s="5" t="s">
        <v>39</v>
      </c>
      <c r="S168" s="5" t="s">
        <v>314</v>
      </c>
      <c r="T168" s="6" t="s">
        <v>101</v>
      </c>
      <c r="U168" s="6">
        <v>0</v>
      </c>
      <c r="V168" s="25">
        <v>25</v>
      </c>
      <c r="W168" s="5">
        <v>13</v>
      </c>
      <c r="X168" s="7">
        <f t="shared" si="71"/>
        <v>85</v>
      </c>
      <c r="Y168" s="22">
        <f t="shared" si="72"/>
        <v>80</v>
      </c>
      <c r="Z168" s="15">
        <f t="shared" si="67"/>
        <v>5</v>
      </c>
      <c r="AA168" s="19">
        <v>4</v>
      </c>
      <c r="AB168" s="19">
        <v>0</v>
      </c>
      <c r="AC168" s="19">
        <v>2</v>
      </c>
      <c r="AD168" s="19">
        <v>2</v>
      </c>
      <c r="AE168" s="19">
        <v>1</v>
      </c>
      <c r="AF168" s="19">
        <v>0</v>
      </c>
      <c r="AG168" s="36">
        <f t="shared" si="86"/>
        <v>32</v>
      </c>
      <c r="AH168" s="36">
        <f t="shared" si="86"/>
        <v>55</v>
      </c>
      <c r="AI168" s="36">
        <f t="shared" si="86"/>
        <v>8</v>
      </c>
      <c r="AJ168" s="36">
        <f t="shared" si="85"/>
        <v>9</v>
      </c>
      <c r="AK168" s="36">
        <f t="shared" si="85"/>
        <v>3</v>
      </c>
      <c r="AL168" s="36">
        <f t="shared" si="85"/>
        <v>5</v>
      </c>
      <c r="AM168" s="7">
        <v>36</v>
      </c>
      <c r="AN168" s="7">
        <v>55</v>
      </c>
      <c r="AO168" s="7">
        <v>10</v>
      </c>
      <c r="AP168" s="7">
        <v>11</v>
      </c>
      <c r="AQ168" s="7">
        <v>4</v>
      </c>
      <c r="AR168" s="7">
        <v>5</v>
      </c>
      <c r="AS168" s="22">
        <f t="shared" si="73"/>
        <v>85</v>
      </c>
      <c r="AT168" s="22">
        <f t="shared" si="74"/>
        <v>17.467248908296941</v>
      </c>
      <c r="AU168" s="5">
        <f t="shared" si="75"/>
        <v>75</v>
      </c>
      <c r="AV168" s="5">
        <f t="shared" si="76"/>
        <v>16.375545851528383</v>
      </c>
      <c r="AW168" s="5">
        <f t="shared" si="77"/>
        <v>5</v>
      </c>
      <c r="AX168" s="5">
        <f t="shared" si="78"/>
        <v>6.9868995633187776</v>
      </c>
      <c r="AY168" s="5">
        <f t="shared" si="79"/>
        <v>12.008733624454148</v>
      </c>
      <c r="AZ168" s="5">
        <f t="shared" si="80"/>
        <v>1.7467248908296944</v>
      </c>
      <c r="BA168" s="5">
        <f t="shared" si="81"/>
        <v>1.965065502183406</v>
      </c>
      <c r="BB168" s="5">
        <f t="shared" si="82"/>
        <v>0.65502183406113534</v>
      </c>
      <c r="BC168" s="5">
        <f t="shared" si="83"/>
        <v>1.0917030567685588</v>
      </c>
      <c r="BD168" s="6"/>
      <c r="BE168" s="6"/>
      <c r="BF168" s="59"/>
      <c r="BG168" s="6"/>
      <c r="BH168" s="5"/>
      <c r="BI168" s="5"/>
      <c r="BJ168" s="5" t="s">
        <v>313</v>
      </c>
    </row>
    <row r="169" spans="1:62">
      <c r="A169" s="2" t="s">
        <v>287</v>
      </c>
      <c r="B169" s="6" t="s">
        <v>32</v>
      </c>
      <c r="C169" s="6" t="s">
        <v>32</v>
      </c>
      <c r="D169" s="4">
        <v>91</v>
      </c>
      <c r="E169" s="4">
        <v>76</v>
      </c>
      <c r="F169" s="4">
        <v>2008</v>
      </c>
      <c r="G169" s="39">
        <v>11</v>
      </c>
      <c r="H169" s="28">
        <v>0</v>
      </c>
      <c r="I169" s="28">
        <v>1</v>
      </c>
      <c r="J169" s="13">
        <v>2017</v>
      </c>
      <c r="K169" s="5">
        <v>2024</v>
      </c>
      <c r="L169" s="5">
        <f t="shared" si="87"/>
        <v>6.58</v>
      </c>
      <c r="M169" s="5">
        <v>0</v>
      </c>
      <c r="N169" s="5" t="s">
        <v>315</v>
      </c>
      <c r="O169" s="5" t="s">
        <v>35</v>
      </c>
      <c r="P169" s="5">
        <v>0</v>
      </c>
      <c r="Q169" s="5"/>
      <c r="R169" s="5" t="s">
        <v>30</v>
      </c>
      <c r="S169" s="5" t="s">
        <v>316</v>
      </c>
      <c r="T169" s="6" t="s">
        <v>84</v>
      </c>
      <c r="U169" s="6">
        <v>0</v>
      </c>
      <c r="V169" s="25">
        <v>88</v>
      </c>
      <c r="W169" s="5">
        <v>6</v>
      </c>
      <c r="X169" s="7">
        <f t="shared" si="71"/>
        <v>35</v>
      </c>
      <c r="Y169" s="22">
        <f t="shared" si="72"/>
        <v>29</v>
      </c>
      <c r="Z169" s="15">
        <f t="shared" si="67"/>
        <v>6</v>
      </c>
      <c r="AA169" s="19">
        <v>0</v>
      </c>
      <c r="AB169" s="19">
        <v>5</v>
      </c>
      <c r="AC169" s="19">
        <v>1</v>
      </c>
      <c r="AD169" s="19">
        <v>0</v>
      </c>
      <c r="AE169" s="19">
        <v>0</v>
      </c>
      <c r="AF169" s="19">
        <v>0</v>
      </c>
      <c r="AG169" s="36">
        <f t="shared" si="86"/>
        <v>9</v>
      </c>
      <c r="AH169" s="36">
        <f t="shared" si="86"/>
        <v>15</v>
      </c>
      <c r="AI169" s="36">
        <f t="shared" si="86"/>
        <v>5</v>
      </c>
      <c r="AJ169" s="36">
        <f t="shared" si="85"/>
        <v>4</v>
      </c>
      <c r="AK169" s="36">
        <f t="shared" si="85"/>
        <v>1</v>
      </c>
      <c r="AL169" s="36">
        <f t="shared" si="85"/>
        <v>4</v>
      </c>
      <c r="AM169" s="7">
        <v>9</v>
      </c>
      <c r="AN169" s="7">
        <v>20</v>
      </c>
      <c r="AO169" s="7">
        <v>6</v>
      </c>
      <c r="AP169" s="7">
        <v>4</v>
      </c>
      <c r="AQ169" s="7">
        <v>1</v>
      </c>
      <c r="AR169" s="7">
        <v>4</v>
      </c>
      <c r="AS169" s="22">
        <f t="shared" si="73"/>
        <v>35</v>
      </c>
      <c r="AT169" s="22">
        <f t="shared" si="74"/>
        <v>4.4072948328267474</v>
      </c>
      <c r="AU169" s="5">
        <f t="shared" si="75"/>
        <v>25</v>
      </c>
      <c r="AV169" s="5">
        <f t="shared" si="76"/>
        <v>3.7993920972644375</v>
      </c>
      <c r="AW169" s="5">
        <f t="shared" si="77"/>
        <v>6</v>
      </c>
      <c r="AX169" s="5">
        <f t="shared" si="78"/>
        <v>1.3677811550151975</v>
      </c>
      <c r="AY169" s="5">
        <f t="shared" si="79"/>
        <v>2.2796352583586628</v>
      </c>
      <c r="AZ169" s="5">
        <f t="shared" si="80"/>
        <v>0.75987841945288748</v>
      </c>
      <c r="BA169" s="5">
        <f t="shared" si="81"/>
        <v>0.60790273556231</v>
      </c>
      <c r="BB169" s="5">
        <f t="shared" si="82"/>
        <v>0.1519756838905775</v>
      </c>
      <c r="BC169" s="5">
        <f t="shared" si="83"/>
        <v>0.60790273556231</v>
      </c>
      <c r="BD169" s="6"/>
      <c r="BE169" s="6"/>
      <c r="BF169" s="59"/>
      <c r="BG169" s="6"/>
      <c r="BH169" s="5"/>
      <c r="BI169" s="5"/>
      <c r="BJ169" s="5" t="s">
        <v>315</v>
      </c>
    </row>
    <row r="170" spans="1:62">
      <c r="A170" s="2" t="s">
        <v>287</v>
      </c>
      <c r="B170" s="6" t="s">
        <v>32</v>
      </c>
      <c r="C170" s="6" t="s">
        <v>32</v>
      </c>
      <c r="D170" s="4">
        <v>91</v>
      </c>
      <c r="E170" s="4">
        <v>76</v>
      </c>
      <c r="F170" s="4">
        <v>2008</v>
      </c>
      <c r="G170" s="39">
        <v>11</v>
      </c>
      <c r="H170" s="28">
        <v>0</v>
      </c>
      <c r="I170" s="28">
        <v>1</v>
      </c>
      <c r="J170" s="5">
        <v>2019</v>
      </c>
      <c r="K170" s="5">
        <v>2024</v>
      </c>
      <c r="L170" s="5">
        <f t="shared" si="87"/>
        <v>4.58</v>
      </c>
      <c r="M170" s="5">
        <v>0</v>
      </c>
      <c r="N170" s="5" t="s">
        <v>317</v>
      </c>
      <c r="O170" s="5" t="s">
        <v>35</v>
      </c>
      <c r="P170" s="5">
        <v>0</v>
      </c>
      <c r="Q170" s="5"/>
      <c r="R170" s="5" t="s">
        <v>30</v>
      </c>
      <c r="S170" s="5" t="s">
        <v>231</v>
      </c>
      <c r="T170" s="6" t="s">
        <v>101</v>
      </c>
      <c r="U170" s="6">
        <v>0</v>
      </c>
      <c r="V170" s="25">
        <v>35</v>
      </c>
      <c r="W170" s="5">
        <v>6</v>
      </c>
      <c r="X170" s="7">
        <f t="shared" si="71"/>
        <v>11</v>
      </c>
      <c r="Y170" s="22">
        <f t="shared" si="72"/>
        <v>7</v>
      </c>
      <c r="Z170" s="15">
        <f t="shared" si="67"/>
        <v>4</v>
      </c>
      <c r="AA170" s="19">
        <v>2</v>
      </c>
      <c r="AB170" s="19">
        <v>0</v>
      </c>
      <c r="AC170" s="19">
        <v>1</v>
      </c>
      <c r="AD170" s="19">
        <v>2</v>
      </c>
      <c r="AE170" s="19">
        <v>0</v>
      </c>
      <c r="AF170" s="19">
        <v>1</v>
      </c>
      <c r="AG170" s="36">
        <f t="shared" si="86"/>
        <v>0</v>
      </c>
      <c r="AH170" s="36">
        <f t="shared" si="86"/>
        <v>0</v>
      </c>
      <c r="AI170" s="36">
        <f t="shared" si="86"/>
        <v>7</v>
      </c>
      <c r="AJ170" s="36">
        <f t="shared" si="85"/>
        <v>0</v>
      </c>
      <c r="AK170" s="36">
        <f t="shared" si="85"/>
        <v>0</v>
      </c>
      <c r="AL170" s="36">
        <f t="shared" si="85"/>
        <v>0</v>
      </c>
      <c r="AM170" s="7">
        <v>2</v>
      </c>
      <c r="AN170" s="7">
        <v>0</v>
      </c>
      <c r="AO170" s="7">
        <v>8</v>
      </c>
      <c r="AP170" s="7">
        <v>2</v>
      </c>
      <c r="AQ170" s="7">
        <v>0</v>
      </c>
      <c r="AR170" s="7">
        <v>1</v>
      </c>
      <c r="AS170" s="22">
        <f t="shared" si="73"/>
        <v>11</v>
      </c>
      <c r="AT170" s="22">
        <f t="shared" si="74"/>
        <v>1.5283842794759825</v>
      </c>
      <c r="AU170" s="5">
        <f t="shared" si="75"/>
        <v>7</v>
      </c>
      <c r="AV170" s="5">
        <f t="shared" si="76"/>
        <v>1.5283842794759825</v>
      </c>
      <c r="AW170" s="5">
        <f t="shared" si="77"/>
        <v>3</v>
      </c>
      <c r="AX170" s="5">
        <f t="shared" si="78"/>
        <v>0</v>
      </c>
      <c r="AY170" s="5">
        <f t="shared" si="79"/>
        <v>0</v>
      </c>
      <c r="AZ170" s="5">
        <f t="shared" si="80"/>
        <v>1.5283842794759825</v>
      </c>
      <c r="BA170" s="5">
        <f t="shared" si="81"/>
        <v>0</v>
      </c>
      <c r="BB170" s="5">
        <f t="shared" si="82"/>
        <v>0</v>
      </c>
      <c r="BC170" s="5">
        <f t="shared" si="83"/>
        <v>0</v>
      </c>
      <c r="BD170" s="6"/>
      <c r="BE170" s="6"/>
      <c r="BF170" s="59"/>
      <c r="BG170" s="6"/>
      <c r="BH170" s="5"/>
      <c r="BI170" s="5"/>
      <c r="BJ170" s="5" t="s">
        <v>317</v>
      </c>
    </row>
    <row r="171" spans="1:62">
      <c r="A171" s="2" t="s">
        <v>287</v>
      </c>
      <c r="B171" s="6" t="s">
        <v>32</v>
      </c>
      <c r="C171" s="6" t="s">
        <v>32</v>
      </c>
      <c r="D171" s="4">
        <v>91</v>
      </c>
      <c r="E171" s="4">
        <v>76</v>
      </c>
      <c r="F171" s="4">
        <v>2008</v>
      </c>
      <c r="G171" s="39">
        <v>11</v>
      </c>
      <c r="H171" s="28">
        <v>0</v>
      </c>
      <c r="I171" s="28">
        <v>1</v>
      </c>
      <c r="J171" s="5">
        <v>2019</v>
      </c>
      <c r="K171" s="5">
        <v>2024</v>
      </c>
      <c r="L171" s="5">
        <f t="shared" si="87"/>
        <v>4.58</v>
      </c>
      <c r="M171" s="5">
        <v>0</v>
      </c>
      <c r="N171" s="5" t="s">
        <v>318</v>
      </c>
      <c r="O171" s="5" t="s">
        <v>35</v>
      </c>
      <c r="P171" s="5">
        <v>0</v>
      </c>
      <c r="Q171" s="5"/>
      <c r="R171" s="5" t="s">
        <v>30</v>
      </c>
      <c r="S171" s="5" t="s">
        <v>319</v>
      </c>
      <c r="T171" s="6" t="s">
        <v>101</v>
      </c>
      <c r="U171" s="6">
        <v>0</v>
      </c>
      <c r="V171" s="25">
        <v>35</v>
      </c>
      <c r="W171" s="5">
        <v>3</v>
      </c>
      <c r="X171" s="7">
        <f t="shared" si="71"/>
        <v>23</v>
      </c>
      <c r="Y171" s="22">
        <f t="shared" si="72"/>
        <v>22</v>
      </c>
      <c r="Z171" s="15">
        <f t="shared" si="67"/>
        <v>1</v>
      </c>
      <c r="AA171" s="19">
        <v>1</v>
      </c>
      <c r="AB171" s="19">
        <v>0</v>
      </c>
      <c r="AC171" s="19">
        <v>1</v>
      </c>
      <c r="AD171" s="19">
        <v>0</v>
      </c>
      <c r="AE171" s="19">
        <v>0</v>
      </c>
      <c r="AF171" s="19">
        <v>0</v>
      </c>
      <c r="AG171" s="36">
        <f t="shared" si="86"/>
        <v>12</v>
      </c>
      <c r="AH171" s="36">
        <f t="shared" si="86"/>
        <v>4</v>
      </c>
      <c r="AI171" s="36">
        <f t="shared" si="86"/>
        <v>11</v>
      </c>
      <c r="AJ171" s="36">
        <f t="shared" si="85"/>
        <v>1</v>
      </c>
      <c r="AK171" s="36">
        <f t="shared" si="85"/>
        <v>2</v>
      </c>
      <c r="AL171" s="36">
        <f t="shared" si="85"/>
        <v>4</v>
      </c>
      <c r="AM171" s="7">
        <v>13</v>
      </c>
      <c r="AN171" s="7">
        <v>4</v>
      </c>
      <c r="AO171" s="7">
        <v>12</v>
      </c>
      <c r="AP171" s="7">
        <v>1</v>
      </c>
      <c r="AQ171" s="7">
        <v>2</v>
      </c>
      <c r="AR171" s="7">
        <v>4</v>
      </c>
      <c r="AS171" s="22">
        <f t="shared" si="73"/>
        <v>23</v>
      </c>
      <c r="AT171" s="22">
        <f t="shared" si="74"/>
        <v>4.8034934497816595</v>
      </c>
      <c r="AU171" s="5">
        <f t="shared" si="75"/>
        <v>18</v>
      </c>
      <c r="AV171" s="5">
        <f t="shared" si="76"/>
        <v>3.9301310043668121</v>
      </c>
      <c r="AW171" s="5">
        <f t="shared" si="77"/>
        <v>1</v>
      </c>
      <c r="AX171" s="5">
        <f t="shared" si="78"/>
        <v>2.6200873362445414</v>
      </c>
      <c r="AY171" s="5">
        <f t="shared" si="79"/>
        <v>0.8733624454148472</v>
      </c>
      <c r="AZ171" s="5">
        <f t="shared" si="80"/>
        <v>2.4017467248908297</v>
      </c>
      <c r="BA171" s="5">
        <f t="shared" si="81"/>
        <v>0.2183406113537118</v>
      </c>
      <c r="BB171" s="5">
        <f t="shared" si="82"/>
        <v>0.4366812227074236</v>
      </c>
      <c r="BC171" s="5">
        <f t="shared" si="83"/>
        <v>0.8733624454148472</v>
      </c>
      <c r="BD171" s="6"/>
      <c r="BE171" s="6"/>
      <c r="BF171" s="59"/>
      <c r="BG171" s="6"/>
      <c r="BH171" s="5"/>
      <c r="BI171" s="5"/>
      <c r="BJ171" s="5" t="s">
        <v>318</v>
      </c>
    </row>
    <row r="172" spans="1:62">
      <c r="A172" s="2" t="s">
        <v>320</v>
      </c>
      <c r="B172" s="6" t="s">
        <v>32</v>
      </c>
      <c r="C172" s="6" t="s">
        <v>32</v>
      </c>
      <c r="D172" s="4">
        <v>76</v>
      </c>
      <c r="E172" s="4">
        <v>74</v>
      </c>
      <c r="F172" s="4">
        <v>2013</v>
      </c>
      <c r="G172" s="39">
        <v>6</v>
      </c>
      <c r="H172" s="28">
        <v>1</v>
      </c>
      <c r="I172" s="28">
        <v>1</v>
      </c>
      <c r="J172" s="5">
        <v>2022</v>
      </c>
      <c r="K172" s="5">
        <v>2024</v>
      </c>
      <c r="L172" s="5">
        <f t="shared" si="87"/>
        <v>1.58</v>
      </c>
      <c r="M172" s="5">
        <v>0</v>
      </c>
      <c r="N172" s="5" t="s">
        <v>321</v>
      </c>
      <c r="O172" s="5" t="s">
        <v>35</v>
      </c>
      <c r="P172" s="5">
        <v>0</v>
      </c>
      <c r="Q172" s="5"/>
      <c r="R172" s="5" t="s">
        <v>30</v>
      </c>
      <c r="S172" s="5" t="s">
        <v>322</v>
      </c>
      <c r="T172" s="6" t="s">
        <v>101</v>
      </c>
      <c r="U172" s="6">
        <v>0</v>
      </c>
      <c r="V172" s="25">
        <v>35</v>
      </c>
      <c r="W172" s="5">
        <v>4</v>
      </c>
      <c r="X172" s="7">
        <f t="shared" si="71"/>
        <v>13</v>
      </c>
      <c r="Y172" s="22">
        <f t="shared" si="72"/>
        <v>7</v>
      </c>
      <c r="Z172" s="15">
        <f t="shared" si="67"/>
        <v>6</v>
      </c>
      <c r="AA172" s="19">
        <v>1</v>
      </c>
      <c r="AB172" s="19">
        <v>2</v>
      </c>
      <c r="AC172" s="19">
        <v>4</v>
      </c>
      <c r="AD172" s="19">
        <v>0</v>
      </c>
      <c r="AE172" s="19">
        <v>0</v>
      </c>
      <c r="AF172" s="19">
        <v>0</v>
      </c>
      <c r="AG172" s="36">
        <f t="shared" si="86"/>
        <v>3</v>
      </c>
      <c r="AH172" s="36">
        <f t="shared" si="86"/>
        <v>1</v>
      </c>
      <c r="AI172" s="36">
        <f t="shared" si="86"/>
        <v>1</v>
      </c>
      <c r="AJ172" s="36">
        <f t="shared" si="85"/>
        <v>1</v>
      </c>
      <c r="AK172" s="36">
        <f t="shared" si="85"/>
        <v>3</v>
      </c>
      <c r="AL172" s="36">
        <f t="shared" si="85"/>
        <v>1</v>
      </c>
      <c r="AM172" s="7">
        <v>4</v>
      </c>
      <c r="AN172" s="7">
        <v>3</v>
      </c>
      <c r="AO172" s="7">
        <v>5</v>
      </c>
      <c r="AP172" s="7">
        <v>1</v>
      </c>
      <c r="AQ172" s="7">
        <v>3</v>
      </c>
      <c r="AR172" s="7">
        <v>1</v>
      </c>
      <c r="AS172" s="22">
        <f t="shared" si="73"/>
        <v>13</v>
      </c>
      <c r="AT172" s="22">
        <f t="shared" si="74"/>
        <v>4.4303797468354427</v>
      </c>
      <c r="AU172" s="5">
        <f t="shared" si="75"/>
        <v>6</v>
      </c>
      <c r="AV172" s="5">
        <f t="shared" si="76"/>
        <v>3.7974683544303796</v>
      </c>
      <c r="AW172" s="5">
        <f t="shared" si="77"/>
        <v>6</v>
      </c>
      <c r="AX172" s="5">
        <f t="shared" si="78"/>
        <v>1.8987341772151898</v>
      </c>
      <c r="AY172" s="5">
        <f t="shared" si="79"/>
        <v>0.63291139240506322</v>
      </c>
      <c r="AZ172" s="5">
        <f t="shared" si="80"/>
        <v>0.63291139240506322</v>
      </c>
      <c r="BA172" s="5">
        <f t="shared" si="81"/>
        <v>0.63291139240506322</v>
      </c>
      <c r="BB172" s="5">
        <f t="shared" si="82"/>
        <v>1.8987341772151898</v>
      </c>
      <c r="BC172" s="5">
        <f t="shared" si="83"/>
        <v>0.63291139240506322</v>
      </c>
      <c r="BD172" s="6"/>
      <c r="BE172" s="6"/>
      <c r="BF172" s="59"/>
      <c r="BG172" s="6"/>
      <c r="BH172" s="5"/>
      <c r="BI172" s="5"/>
      <c r="BJ172" s="5" t="s">
        <v>321</v>
      </c>
    </row>
    <row r="173" spans="1:62">
      <c r="A173" s="2" t="s">
        <v>320</v>
      </c>
      <c r="B173" s="6" t="s">
        <v>32</v>
      </c>
      <c r="C173" s="6" t="s">
        <v>32</v>
      </c>
      <c r="D173" s="4">
        <v>76</v>
      </c>
      <c r="E173" s="4">
        <v>74</v>
      </c>
      <c r="F173" s="4">
        <v>2013</v>
      </c>
      <c r="G173" s="39">
        <v>6</v>
      </c>
      <c r="H173" s="28">
        <v>1</v>
      </c>
      <c r="I173" s="28">
        <v>1</v>
      </c>
      <c r="J173" s="5">
        <v>2022</v>
      </c>
      <c r="K173" s="5">
        <v>2024</v>
      </c>
      <c r="L173" s="5">
        <f t="shared" si="87"/>
        <v>1.58</v>
      </c>
      <c r="M173" s="5">
        <v>0</v>
      </c>
      <c r="N173" s="5" t="s">
        <v>323</v>
      </c>
      <c r="O173" s="5" t="s">
        <v>28</v>
      </c>
      <c r="P173" s="5">
        <v>0</v>
      </c>
      <c r="Q173" s="5"/>
      <c r="R173" s="5" t="s">
        <v>30</v>
      </c>
      <c r="S173" s="5" t="s">
        <v>324</v>
      </c>
      <c r="T173" s="6" t="s">
        <v>101</v>
      </c>
      <c r="U173" s="6">
        <v>0</v>
      </c>
      <c r="V173" s="25">
        <v>35</v>
      </c>
      <c r="W173" s="5">
        <v>4</v>
      </c>
      <c r="X173" s="7">
        <f t="shared" si="71"/>
        <v>14</v>
      </c>
      <c r="Y173" s="22">
        <f t="shared" si="72"/>
        <v>8</v>
      </c>
      <c r="Z173" s="15">
        <f t="shared" si="67"/>
        <v>6</v>
      </c>
      <c r="AA173" s="19">
        <v>3</v>
      </c>
      <c r="AB173" s="19">
        <v>1</v>
      </c>
      <c r="AC173" s="19">
        <v>1</v>
      </c>
      <c r="AD173" s="19">
        <v>2</v>
      </c>
      <c r="AE173" s="19">
        <v>0</v>
      </c>
      <c r="AF173" s="19">
        <v>2</v>
      </c>
      <c r="AG173" s="36">
        <f t="shared" si="86"/>
        <v>3</v>
      </c>
      <c r="AH173" s="36">
        <f t="shared" si="86"/>
        <v>2</v>
      </c>
      <c r="AI173" s="36">
        <f t="shared" si="86"/>
        <v>3</v>
      </c>
      <c r="AJ173" s="36">
        <f t="shared" si="85"/>
        <v>1</v>
      </c>
      <c r="AK173" s="36">
        <f t="shared" si="85"/>
        <v>2</v>
      </c>
      <c r="AL173" s="36">
        <f t="shared" si="85"/>
        <v>0</v>
      </c>
      <c r="AM173" s="7">
        <v>6</v>
      </c>
      <c r="AN173" s="7">
        <v>3</v>
      </c>
      <c r="AO173" s="7">
        <v>4</v>
      </c>
      <c r="AP173" s="7">
        <v>3</v>
      </c>
      <c r="AQ173" s="7">
        <v>2</v>
      </c>
      <c r="AR173" s="7">
        <v>2</v>
      </c>
      <c r="AS173" s="22">
        <f t="shared" si="73"/>
        <v>14</v>
      </c>
      <c r="AT173" s="22">
        <f t="shared" si="74"/>
        <v>5.0632911392405058</v>
      </c>
      <c r="AU173" s="5">
        <f t="shared" si="75"/>
        <v>8</v>
      </c>
      <c r="AV173" s="5">
        <f t="shared" si="76"/>
        <v>5.0632911392405058</v>
      </c>
      <c r="AW173" s="5">
        <f t="shared" si="77"/>
        <v>4</v>
      </c>
      <c r="AX173" s="5">
        <f t="shared" si="78"/>
        <v>1.8987341772151898</v>
      </c>
      <c r="AY173" s="5">
        <f t="shared" si="79"/>
        <v>1.2658227848101264</v>
      </c>
      <c r="AZ173" s="5">
        <f t="shared" si="80"/>
        <v>1.8987341772151898</v>
      </c>
      <c r="BA173" s="5">
        <f t="shared" si="81"/>
        <v>0.63291139240506322</v>
      </c>
      <c r="BB173" s="5">
        <f t="shared" si="82"/>
        <v>1.2658227848101264</v>
      </c>
      <c r="BC173" s="5">
        <f t="shared" si="83"/>
        <v>0</v>
      </c>
      <c r="BD173" s="6"/>
      <c r="BE173" s="6"/>
      <c r="BF173" s="59"/>
      <c r="BG173" s="6"/>
      <c r="BH173" s="5"/>
      <c r="BI173" s="5"/>
      <c r="BJ173" s="5" t="s">
        <v>323</v>
      </c>
    </row>
    <row r="174" spans="1:62">
      <c r="A174" s="2" t="s">
        <v>320</v>
      </c>
      <c r="B174" s="6" t="s">
        <v>32</v>
      </c>
      <c r="C174" s="6" t="s">
        <v>32</v>
      </c>
      <c r="D174" s="4">
        <v>76</v>
      </c>
      <c r="E174" s="4">
        <v>74</v>
      </c>
      <c r="F174" s="4">
        <v>2013</v>
      </c>
      <c r="G174" s="39">
        <v>6</v>
      </c>
      <c r="H174" s="28">
        <v>1</v>
      </c>
      <c r="I174" s="28">
        <v>1</v>
      </c>
      <c r="J174" s="5">
        <v>2021</v>
      </c>
      <c r="K174" s="5">
        <v>2024</v>
      </c>
      <c r="L174" s="5">
        <f t="shared" si="87"/>
        <v>2.58</v>
      </c>
      <c r="M174" s="5">
        <v>0</v>
      </c>
      <c r="N174" s="5" t="s">
        <v>325</v>
      </c>
      <c r="O174" s="5" t="s">
        <v>28</v>
      </c>
      <c r="P174" s="5">
        <v>0</v>
      </c>
      <c r="Q174" s="5"/>
      <c r="R174" s="5" t="s">
        <v>252</v>
      </c>
      <c r="S174" s="5" t="s">
        <v>257</v>
      </c>
      <c r="T174" s="6" t="s">
        <v>84</v>
      </c>
      <c r="U174" s="6">
        <v>0</v>
      </c>
      <c r="V174" s="25">
        <v>124</v>
      </c>
      <c r="W174" s="5">
        <v>3</v>
      </c>
      <c r="X174" s="7">
        <f t="shared" si="71"/>
        <v>28</v>
      </c>
      <c r="Y174" s="22">
        <f t="shared" si="72"/>
        <v>9</v>
      </c>
      <c r="Z174" s="15">
        <f t="shared" si="67"/>
        <v>19</v>
      </c>
      <c r="AA174" s="19">
        <v>8</v>
      </c>
      <c r="AB174" s="19">
        <v>3</v>
      </c>
      <c r="AC174" s="19">
        <v>6</v>
      </c>
      <c r="AD174" s="19">
        <v>4</v>
      </c>
      <c r="AE174" s="19">
        <v>0</v>
      </c>
      <c r="AF174" s="19">
        <v>6</v>
      </c>
      <c r="AG174" s="36">
        <f t="shared" si="86"/>
        <v>3</v>
      </c>
      <c r="AH174" s="36">
        <f t="shared" si="86"/>
        <v>0</v>
      </c>
      <c r="AI174" s="36">
        <f t="shared" si="86"/>
        <v>5</v>
      </c>
      <c r="AJ174" s="36">
        <f t="shared" si="85"/>
        <v>1</v>
      </c>
      <c r="AK174" s="36">
        <f t="shared" si="85"/>
        <v>1</v>
      </c>
      <c r="AL174" s="36">
        <f t="shared" si="85"/>
        <v>2</v>
      </c>
      <c r="AM174" s="7">
        <v>11</v>
      </c>
      <c r="AN174" s="7">
        <v>3</v>
      </c>
      <c r="AO174" s="7">
        <v>11</v>
      </c>
      <c r="AP174" s="7">
        <v>5</v>
      </c>
      <c r="AQ174" s="7">
        <v>1</v>
      </c>
      <c r="AR174" s="7">
        <v>8</v>
      </c>
      <c r="AS174" s="22">
        <f t="shared" si="73"/>
        <v>28</v>
      </c>
      <c r="AT174" s="22">
        <f t="shared" si="74"/>
        <v>3.4883720930232558</v>
      </c>
      <c r="AU174" s="5">
        <f t="shared" si="75"/>
        <v>7</v>
      </c>
      <c r="AV174" s="5">
        <f t="shared" si="76"/>
        <v>2.7131782945736433</v>
      </c>
      <c r="AW174" s="5">
        <f t="shared" si="77"/>
        <v>13</v>
      </c>
      <c r="AX174" s="5">
        <f t="shared" si="78"/>
        <v>1.1627906976744187</v>
      </c>
      <c r="AY174" s="5">
        <f t="shared" si="79"/>
        <v>0</v>
      </c>
      <c r="AZ174" s="5">
        <f t="shared" si="80"/>
        <v>1.9379844961240309</v>
      </c>
      <c r="BA174" s="5">
        <f t="shared" si="81"/>
        <v>0.38759689922480617</v>
      </c>
      <c r="BB174" s="5">
        <f t="shared" si="82"/>
        <v>0.38759689922480617</v>
      </c>
      <c r="BC174" s="5">
        <f t="shared" si="83"/>
        <v>0.77519379844961234</v>
      </c>
      <c r="BD174" s="6"/>
      <c r="BE174" s="6"/>
      <c r="BF174" s="59"/>
      <c r="BG174" s="6"/>
      <c r="BH174" s="5"/>
      <c r="BI174" s="5"/>
      <c r="BJ174" s="5" t="s">
        <v>325</v>
      </c>
    </row>
    <row r="175" spans="1:62">
      <c r="A175" s="2" t="s">
        <v>320</v>
      </c>
      <c r="B175" s="6" t="s">
        <v>32</v>
      </c>
      <c r="C175" s="6" t="s">
        <v>32</v>
      </c>
      <c r="D175" s="4">
        <v>76</v>
      </c>
      <c r="E175" s="4">
        <v>74</v>
      </c>
      <c r="F175" s="4">
        <v>2013</v>
      </c>
      <c r="G175" s="39">
        <v>6</v>
      </c>
      <c r="H175" s="28">
        <v>1</v>
      </c>
      <c r="I175" s="28">
        <v>1</v>
      </c>
      <c r="J175" s="5">
        <v>2021</v>
      </c>
      <c r="K175" s="5">
        <v>2024</v>
      </c>
      <c r="L175" s="5">
        <f t="shared" si="87"/>
        <v>2.58</v>
      </c>
      <c r="M175" s="5">
        <v>0</v>
      </c>
      <c r="N175" s="5" t="s">
        <v>326</v>
      </c>
      <c r="O175" s="5" t="s">
        <v>28</v>
      </c>
      <c r="P175" s="5">
        <v>0</v>
      </c>
      <c r="Q175" s="5"/>
      <c r="R175" s="5" t="s">
        <v>39</v>
      </c>
      <c r="S175" s="5" t="s">
        <v>316</v>
      </c>
      <c r="T175" s="6" t="s">
        <v>84</v>
      </c>
      <c r="U175" s="6">
        <v>0</v>
      </c>
      <c r="V175" s="25">
        <v>88</v>
      </c>
      <c r="W175" s="5">
        <v>0</v>
      </c>
      <c r="X175" s="7">
        <f t="shared" si="71"/>
        <v>7</v>
      </c>
      <c r="Y175" s="22">
        <f t="shared" si="72"/>
        <v>5</v>
      </c>
      <c r="Z175" s="15">
        <f t="shared" si="67"/>
        <v>2</v>
      </c>
      <c r="AA175" s="19">
        <v>0</v>
      </c>
      <c r="AB175" s="19">
        <v>0</v>
      </c>
      <c r="AC175" s="19">
        <v>2</v>
      </c>
      <c r="AD175" s="19">
        <v>0</v>
      </c>
      <c r="AE175" s="19">
        <v>0</v>
      </c>
      <c r="AF175" s="19">
        <v>0</v>
      </c>
      <c r="AG175" s="36">
        <f t="shared" si="86"/>
        <v>3</v>
      </c>
      <c r="AH175" s="36">
        <f t="shared" si="86"/>
        <v>0</v>
      </c>
      <c r="AI175" s="36">
        <f t="shared" si="86"/>
        <v>3</v>
      </c>
      <c r="AJ175" s="36">
        <f t="shared" si="85"/>
        <v>0</v>
      </c>
      <c r="AK175" s="36">
        <f t="shared" si="85"/>
        <v>0</v>
      </c>
      <c r="AL175" s="36">
        <f t="shared" si="85"/>
        <v>2</v>
      </c>
      <c r="AM175" s="7">
        <v>3</v>
      </c>
      <c r="AN175" s="7">
        <v>0</v>
      </c>
      <c r="AO175" s="7">
        <v>5</v>
      </c>
      <c r="AP175" s="7">
        <v>0</v>
      </c>
      <c r="AQ175" s="7">
        <v>0</v>
      </c>
      <c r="AR175" s="7">
        <v>2</v>
      </c>
      <c r="AS175" s="22">
        <f t="shared" si="73"/>
        <v>7</v>
      </c>
      <c r="AT175" s="22">
        <f t="shared" si="74"/>
        <v>1.9379844961240309</v>
      </c>
      <c r="AU175" s="5">
        <f t="shared" si="75"/>
        <v>3</v>
      </c>
      <c r="AV175" s="5">
        <f t="shared" si="76"/>
        <v>1.1627906976744187</v>
      </c>
      <c r="AW175" s="5">
        <f t="shared" si="77"/>
        <v>2</v>
      </c>
      <c r="AX175" s="5">
        <f t="shared" si="78"/>
        <v>1.1627906976744187</v>
      </c>
      <c r="AY175" s="5">
        <f t="shared" si="79"/>
        <v>0</v>
      </c>
      <c r="AZ175" s="5">
        <f t="shared" si="80"/>
        <v>1.1627906976744187</v>
      </c>
      <c r="BA175" s="5">
        <f t="shared" si="81"/>
        <v>0</v>
      </c>
      <c r="BB175" s="5">
        <f t="shared" si="82"/>
        <v>0</v>
      </c>
      <c r="BC175" s="5">
        <f t="shared" si="83"/>
        <v>0.77519379844961234</v>
      </c>
      <c r="BD175" s="6"/>
      <c r="BE175" s="6"/>
      <c r="BF175" s="59"/>
      <c r="BG175" s="6"/>
      <c r="BH175" s="5"/>
      <c r="BI175" s="5"/>
      <c r="BJ175" s="5" t="s">
        <v>326</v>
      </c>
    </row>
    <row r="176" spans="1:62">
      <c r="A176" s="2" t="s">
        <v>320</v>
      </c>
      <c r="B176" s="6" t="s">
        <v>32</v>
      </c>
      <c r="C176" s="6" t="s">
        <v>32</v>
      </c>
      <c r="D176" s="4">
        <v>76</v>
      </c>
      <c r="E176" s="4">
        <v>74</v>
      </c>
      <c r="F176" s="4">
        <v>2013</v>
      </c>
      <c r="G176" s="39">
        <v>6</v>
      </c>
      <c r="H176" s="28">
        <v>1</v>
      </c>
      <c r="I176" s="28">
        <v>1</v>
      </c>
      <c r="J176" s="5">
        <v>2020</v>
      </c>
      <c r="K176" s="5">
        <v>2024</v>
      </c>
      <c r="L176" s="5">
        <f t="shared" si="87"/>
        <v>3.58</v>
      </c>
      <c r="M176" s="5">
        <v>0</v>
      </c>
      <c r="N176" s="5" t="s">
        <v>600</v>
      </c>
      <c r="O176" s="5" t="s">
        <v>35</v>
      </c>
      <c r="P176" s="5">
        <v>0</v>
      </c>
      <c r="Q176" s="5"/>
      <c r="R176" s="5" t="s">
        <v>30</v>
      </c>
      <c r="S176" s="5" t="s">
        <v>327</v>
      </c>
      <c r="T176" s="6" t="s">
        <v>101</v>
      </c>
      <c r="U176" s="6">
        <v>0</v>
      </c>
      <c r="V176" s="25">
        <v>32</v>
      </c>
      <c r="W176" s="5">
        <v>5</v>
      </c>
      <c r="X176" s="7">
        <f t="shared" si="71"/>
        <v>6</v>
      </c>
      <c r="Y176" s="22">
        <f t="shared" si="72"/>
        <v>3</v>
      </c>
      <c r="Z176" s="15">
        <f t="shared" si="67"/>
        <v>3</v>
      </c>
      <c r="AA176" s="19">
        <v>0</v>
      </c>
      <c r="AB176" s="19">
        <v>1</v>
      </c>
      <c r="AC176" s="19">
        <v>0</v>
      </c>
      <c r="AD176" s="19">
        <v>0</v>
      </c>
      <c r="AE176" s="19">
        <v>2</v>
      </c>
      <c r="AF176" s="19">
        <v>0</v>
      </c>
      <c r="AG176" s="36">
        <f t="shared" si="86"/>
        <v>2</v>
      </c>
      <c r="AH176" s="36">
        <f t="shared" si="86"/>
        <v>1</v>
      </c>
      <c r="AI176" s="36">
        <f t="shared" si="86"/>
        <v>1</v>
      </c>
      <c r="AJ176" s="36">
        <f t="shared" si="85"/>
        <v>0</v>
      </c>
      <c r="AK176" s="36">
        <f t="shared" si="85"/>
        <v>0</v>
      </c>
      <c r="AL176" s="36">
        <f t="shared" si="85"/>
        <v>1</v>
      </c>
      <c r="AM176" s="7">
        <v>2</v>
      </c>
      <c r="AN176" s="7">
        <v>2</v>
      </c>
      <c r="AO176" s="7">
        <v>1</v>
      </c>
      <c r="AP176" s="7">
        <v>0</v>
      </c>
      <c r="AQ176" s="7">
        <v>2</v>
      </c>
      <c r="AR176" s="7">
        <v>1</v>
      </c>
      <c r="AS176" s="22">
        <f t="shared" si="73"/>
        <v>6</v>
      </c>
      <c r="AT176" s="22">
        <f t="shared" si="74"/>
        <v>0.83798882681564246</v>
      </c>
      <c r="AU176" s="5">
        <f t="shared" si="75"/>
        <v>2</v>
      </c>
      <c r="AV176" s="5">
        <f t="shared" si="76"/>
        <v>0.55865921787709494</v>
      </c>
      <c r="AW176" s="5">
        <f t="shared" si="77"/>
        <v>3</v>
      </c>
      <c r="AX176" s="5">
        <f t="shared" si="78"/>
        <v>0.55865921787709494</v>
      </c>
      <c r="AY176" s="5">
        <f t="shared" si="79"/>
        <v>0.27932960893854747</v>
      </c>
      <c r="AZ176" s="5">
        <f t="shared" si="80"/>
        <v>0.27932960893854747</v>
      </c>
      <c r="BA176" s="5">
        <f t="shared" si="81"/>
        <v>0</v>
      </c>
      <c r="BB176" s="5">
        <f t="shared" si="82"/>
        <v>0</v>
      </c>
      <c r="BC176" s="5">
        <f t="shared" si="83"/>
        <v>0.27932960893854747</v>
      </c>
      <c r="BD176" s="6"/>
      <c r="BE176" s="6"/>
      <c r="BF176" s="59"/>
      <c r="BG176" s="6"/>
      <c r="BH176" s="5"/>
      <c r="BI176" s="5"/>
      <c r="BJ176" s="5" t="s">
        <v>600</v>
      </c>
    </row>
    <row r="177" spans="1:62">
      <c r="A177" s="2" t="s">
        <v>320</v>
      </c>
      <c r="B177" s="6" t="s">
        <v>32</v>
      </c>
      <c r="C177" s="6" t="s">
        <v>32</v>
      </c>
      <c r="D177" s="4">
        <v>76</v>
      </c>
      <c r="E177" s="4">
        <v>74</v>
      </c>
      <c r="F177" s="4">
        <v>2013</v>
      </c>
      <c r="G177" s="39">
        <v>6</v>
      </c>
      <c r="H177" s="28">
        <v>1</v>
      </c>
      <c r="I177" s="28">
        <v>1</v>
      </c>
      <c r="J177" s="5">
        <v>2020</v>
      </c>
      <c r="K177" s="5">
        <v>2024</v>
      </c>
      <c r="L177" s="5">
        <f t="shared" si="87"/>
        <v>3.58</v>
      </c>
      <c r="M177" s="5">
        <v>0</v>
      </c>
      <c r="N177" s="5" t="s">
        <v>328</v>
      </c>
      <c r="O177" s="5" t="s">
        <v>35</v>
      </c>
      <c r="P177" s="5">
        <v>0</v>
      </c>
      <c r="Q177" s="5"/>
      <c r="R177" s="5" t="s">
        <v>54</v>
      </c>
      <c r="S177" s="10" t="s">
        <v>66</v>
      </c>
      <c r="T177" s="6" t="s">
        <v>101</v>
      </c>
      <c r="U177" s="6">
        <v>0</v>
      </c>
      <c r="V177" s="25">
        <v>32</v>
      </c>
      <c r="W177" s="5">
        <v>6</v>
      </c>
      <c r="X177" s="7">
        <f t="shared" si="71"/>
        <v>15</v>
      </c>
      <c r="Y177" s="22">
        <f t="shared" si="72"/>
        <v>5</v>
      </c>
      <c r="Z177" s="15">
        <f t="shared" si="67"/>
        <v>10</v>
      </c>
      <c r="AA177" s="19">
        <v>6</v>
      </c>
      <c r="AB177" s="19">
        <v>8</v>
      </c>
      <c r="AC177" s="19">
        <v>1</v>
      </c>
      <c r="AD177" s="19">
        <v>0</v>
      </c>
      <c r="AE177" s="19">
        <v>1</v>
      </c>
      <c r="AF177" s="19">
        <v>0</v>
      </c>
      <c r="AG177" s="36">
        <f t="shared" si="86"/>
        <v>3</v>
      </c>
      <c r="AH177" s="36">
        <f t="shared" si="86"/>
        <v>2</v>
      </c>
      <c r="AI177" s="36">
        <f t="shared" si="86"/>
        <v>1</v>
      </c>
      <c r="AJ177" s="36">
        <f t="shared" si="85"/>
        <v>0</v>
      </c>
      <c r="AK177" s="36">
        <f t="shared" si="85"/>
        <v>2</v>
      </c>
      <c r="AL177" s="36">
        <f t="shared" si="85"/>
        <v>0</v>
      </c>
      <c r="AM177" s="7">
        <v>9</v>
      </c>
      <c r="AN177" s="7">
        <v>10</v>
      </c>
      <c r="AO177" s="7">
        <v>2</v>
      </c>
      <c r="AP177" s="7">
        <v>0</v>
      </c>
      <c r="AQ177" s="7">
        <v>3</v>
      </c>
      <c r="AR177" s="7">
        <v>0</v>
      </c>
      <c r="AS177" s="22">
        <f t="shared" si="73"/>
        <v>15</v>
      </c>
      <c r="AT177" s="22">
        <f t="shared" si="74"/>
        <v>1.3966480446927374</v>
      </c>
      <c r="AU177" s="5">
        <f t="shared" si="75"/>
        <v>5</v>
      </c>
      <c r="AV177" s="5">
        <f t="shared" si="76"/>
        <v>1.3966480446927374</v>
      </c>
      <c r="AW177" s="5">
        <f t="shared" si="77"/>
        <v>10</v>
      </c>
      <c r="AX177" s="5">
        <f t="shared" si="78"/>
        <v>0.83798882681564246</v>
      </c>
      <c r="AY177" s="5">
        <f t="shared" si="79"/>
        <v>0.55865921787709494</v>
      </c>
      <c r="AZ177" s="5">
        <f t="shared" si="80"/>
        <v>0.27932960893854747</v>
      </c>
      <c r="BA177" s="5">
        <f t="shared" si="81"/>
        <v>0</v>
      </c>
      <c r="BB177" s="5">
        <f t="shared" si="82"/>
        <v>0.55865921787709494</v>
      </c>
      <c r="BC177" s="5">
        <f t="shared" si="83"/>
        <v>0</v>
      </c>
      <c r="BD177" s="6"/>
      <c r="BE177" s="6"/>
      <c r="BF177" s="59"/>
      <c r="BG177" s="6"/>
      <c r="BH177" s="5"/>
      <c r="BI177" s="5"/>
      <c r="BJ177" s="5" t="s">
        <v>328</v>
      </c>
    </row>
    <row r="178" spans="1:62">
      <c r="A178" s="2" t="s">
        <v>320</v>
      </c>
      <c r="B178" s="6" t="s">
        <v>32</v>
      </c>
      <c r="C178" s="6" t="s">
        <v>32</v>
      </c>
      <c r="D178" s="4">
        <v>76</v>
      </c>
      <c r="E178" s="4">
        <v>74</v>
      </c>
      <c r="F178" s="4">
        <v>2013</v>
      </c>
      <c r="G178" s="39">
        <v>6</v>
      </c>
      <c r="H178" s="28">
        <v>1</v>
      </c>
      <c r="I178" s="28">
        <v>1</v>
      </c>
      <c r="J178" s="5">
        <v>2019</v>
      </c>
      <c r="K178" s="5">
        <v>2024</v>
      </c>
      <c r="L178" s="5">
        <f t="shared" si="87"/>
        <v>4.58</v>
      </c>
      <c r="M178" s="5">
        <v>0</v>
      </c>
      <c r="N178" s="5" t="s">
        <v>329</v>
      </c>
      <c r="O178" s="5" t="s">
        <v>35</v>
      </c>
      <c r="P178" s="5">
        <v>0</v>
      </c>
      <c r="Q178" s="5"/>
      <c r="R178" s="5" t="s">
        <v>39</v>
      </c>
      <c r="S178" s="5" t="s">
        <v>330</v>
      </c>
      <c r="T178" s="6" t="s">
        <v>84</v>
      </c>
      <c r="U178" s="6">
        <v>0</v>
      </c>
      <c r="V178" s="25">
        <v>58</v>
      </c>
      <c r="W178" s="5">
        <v>14</v>
      </c>
      <c r="X178" s="7">
        <f t="shared" si="71"/>
        <v>36</v>
      </c>
      <c r="Y178" s="22">
        <f t="shared" si="72"/>
        <v>5</v>
      </c>
      <c r="Z178" s="15">
        <f t="shared" ref="Z178:Z241" si="88">SUM(AB178:AF178)</f>
        <v>31</v>
      </c>
      <c r="AA178" s="19">
        <v>17</v>
      </c>
      <c r="AB178" s="19">
        <v>1</v>
      </c>
      <c r="AC178" s="19">
        <v>26</v>
      </c>
      <c r="AD178" s="19">
        <v>1</v>
      </c>
      <c r="AE178" s="19">
        <v>1</v>
      </c>
      <c r="AF178" s="19">
        <v>2</v>
      </c>
      <c r="AG178" s="36">
        <f t="shared" si="86"/>
        <v>2</v>
      </c>
      <c r="AH178" s="36">
        <f t="shared" si="86"/>
        <v>1</v>
      </c>
      <c r="AI178" s="36">
        <f t="shared" si="86"/>
        <v>2</v>
      </c>
      <c r="AJ178" s="36">
        <f t="shared" si="85"/>
        <v>0</v>
      </c>
      <c r="AK178" s="36">
        <f t="shared" si="85"/>
        <v>2</v>
      </c>
      <c r="AL178" s="36">
        <f t="shared" si="85"/>
        <v>0</v>
      </c>
      <c r="AM178" s="7">
        <v>19</v>
      </c>
      <c r="AN178" s="7">
        <v>2</v>
      </c>
      <c r="AO178" s="7">
        <v>28</v>
      </c>
      <c r="AP178" s="7">
        <v>1</v>
      </c>
      <c r="AQ178" s="7">
        <v>3</v>
      </c>
      <c r="AR178" s="7">
        <v>2</v>
      </c>
      <c r="AS178" s="22">
        <f t="shared" si="73"/>
        <v>36</v>
      </c>
      <c r="AT178" s="22">
        <f t="shared" si="74"/>
        <v>1.0917030567685588</v>
      </c>
      <c r="AU178" s="5">
        <f t="shared" si="75"/>
        <v>5</v>
      </c>
      <c r="AV178" s="5">
        <f t="shared" si="76"/>
        <v>1.0917030567685588</v>
      </c>
      <c r="AW178" s="5">
        <f t="shared" si="77"/>
        <v>29</v>
      </c>
      <c r="AX178" s="5">
        <f t="shared" si="78"/>
        <v>0.4366812227074236</v>
      </c>
      <c r="AY178" s="5">
        <f t="shared" si="79"/>
        <v>0.2183406113537118</v>
      </c>
      <c r="AZ178" s="5">
        <f t="shared" si="80"/>
        <v>0.4366812227074236</v>
      </c>
      <c r="BA178" s="5">
        <f t="shared" si="81"/>
        <v>0</v>
      </c>
      <c r="BB178" s="5">
        <f t="shared" si="82"/>
        <v>0.4366812227074236</v>
      </c>
      <c r="BC178" s="5">
        <f t="shared" si="83"/>
        <v>0</v>
      </c>
      <c r="BD178" s="6"/>
      <c r="BE178" s="6"/>
      <c r="BF178" s="59"/>
      <c r="BG178" s="6"/>
      <c r="BH178" s="5"/>
      <c r="BI178" s="5"/>
      <c r="BJ178" s="5" t="s">
        <v>329</v>
      </c>
    </row>
    <row r="179" spans="1:62">
      <c r="A179" s="2" t="s">
        <v>320</v>
      </c>
      <c r="B179" s="6" t="s">
        <v>32</v>
      </c>
      <c r="C179" s="6" t="s">
        <v>32</v>
      </c>
      <c r="D179" s="4">
        <v>76</v>
      </c>
      <c r="E179" s="4">
        <v>74</v>
      </c>
      <c r="F179" s="4">
        <v>2013</v>
      </c>
      <c r="G179" s="39">
        <v>6</v>
      </c>
      <c r="H179" s="28">
        <v>1</v>
      </c>
      <c r="I179" s="28">
        <v>1</v>
      </c>
      <c r="J179" s="5">
        <v>2019</v>
      </c>
      <c r="K179" s="5">
        <v>2024</v>
      </c>
      <c r="L179" s="5">
        <f t="shared" si="87"/>
        <v>4.58</v>
      </c>
      <c r="M179" s="5">
        <v>0</v>
      </c>
      <c r="N179" s="5" t="s">
        <v>331</v>
      </c>
      <c r="O179" s="5" t="s">
        <v>28</v>
      </c>
      <c r="P179" s="5">
        <v>0</v>
      </c>
      <c r="Q179" s="5"/>
      <c r="R179" s="5" t="s">
        <v>30</v>
      </c>
      <c r="S179" s="5" t="s">
        <v>310</v>
      </c>
      <c r="T179" s="6" t="s">
        <v>218</v>
      </c>
      <c r="U179" s="6">
        <v>0</v>
      </c>
      <c r="V179" s="25">
        <v>13</v>
      </c>
      <c r="W179" s="5">
        <v>1</v>
      </c>
      <c r="X179" s="7">
        <f t="shared" si="71"/>
        <v>12</v>
      </c>
      <c r="Y179" s="22">
        <f t="shared" si="72"/>
        <v>12</v>
      </c>
      <c r="Z179" s="15">
        <f t="shared" si="88"/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36">
        <f t="shared" si="86"/>
        <v>9</v>
      </c>
      <c r="AH179" s="36">
        <f t="shared" si="86"/>
        <v>0</v>
      </c>
      <c r="AI179" s="36">
        <f t="shared" si="86"/>
        <v>8</v>
      </c>
      <c r="AJ179" s="36">
        <f t="shared" si="85"/>
        <v>0</v>
      </c>
      <c r="AK179" s="36">
        <f t="shared" si="85"/>
        <v>1</v>
      </c>
      <c r="AL179" s="36">
        <f t="shared" si="85"/>
        <v>3</v>
      </c>
      <c r="AM179" s="7">
        <v>9</v>
      </c>
      <c r="AN179" s="7">
        <v>0</v>
      </c>
      <c r="AO179" s="7">
        <v>8</v>
      </c>
      <c r="AP179" s="7">
        <v>0</v>
      </c>
      <c r="AQ179" s="7">
        <v>1</v>
      </c>
      <c r="AR179" s="7">
        <v>3</v>
      </c>
      <c r="AS179" s="22">
        <f t="shared" si="73"/>
        <v>12</v>
      </c>
      <c r="AT179" s="22">
        <f t="shared" si="74"/>
        <v>2.6200873362445414</v>
      </c>
      <c r="AU179" s="5">
        <f t="shared" si="75"/>
        <v>9</v>
      </c>
      <c r="AV179" s="5">
        <f t="shared" si="76"/>
        <v>1.965065502183406</v>
      </c>
      <c r="AW179" s="5">
        <f t="shared" si="77"/>
        <v>0</v>
      </c>
      <c r="AX179" s="5">
        <f t="shared" si="78"/>
        <v>1.965065502183406</v>
      </c>
      <c r="AY179" s="5">
        <f t="shared" si="79"/>
        <v>0</v>
      </c>
      <c r="AZ179" s="5">
        <f t="shared" si="80"/>
        <v>1.7467248908296944</v>
      </c>
      <c r="BA179" s="5">
        <f t="shared" si="81"/>
        <v>0</v>
      </c>
      <c r="BB179" s="5">
        <f t="shared" si="82"/>
        <v>0.2183406113537118</v>
      </c>
      <c r="BC179" s="5">
        <f t="shared" si="83"/>
        <v>0.65502183406113534</v>
      </c>
      <c r="BD179" s="6"/>
      <c r="BE179" s="6"/>
      <c r="BF179" s="59"/>
      <c r="BG179" s="6"/>
      <c r="BH179" s="5"/>
      <c r="BI179" s="5"/>
      <c r="BJ179" s="5" t="s">
        <v>331</v>
      </c>
    </row>
    <row r="180" spans="1:62">
      <c r="A180" s="2" t="s">
        <v>320</v>
      </c>
      <c r="B180" s="6" t="s">
        <v>32</v>
      </c>
      <c r="C180" s="6" t="s">
        <v>32</v>
      </c>
      <c r="D180" s="4">
        <v>76</v>
      </c>
      <c r="E180" s="4">
        <v>74</v>
      </c>
      <c r="F180" s="4">
        <v>2013</v>
      </c>
      <c r="G180" s="39">
        <v>6</v>
      </c>
      <c r="H180" s="28">
        <v>1</v>
      </c>
      <c r="I180" s="28">
        <v>1</v>
      </c>
      <c r="J180" s="5">
        <v>2018</v>
      </c>
      <c r="K180" s="5">
        <v>2024</v>
      </c>
      <c r="L180" s="5">
        <f t="shared" si="87"/>
        <v>5.58</v>
      </c>
      <c r="M180" s="5">
        <v>0</v>
      </c>
      <c r="N180" s="5" t="s">
        <v>332</v>
      </c>
      <c r="O180" s="5" t="s">
        <v>28</v>
      </c>
      <c r="P180" s="5">
        <v>0</v>
      </c>
      <c r="Q180" s="5"/>
      <c r="R180" s="5" t="s">
        <v>30</v>
      </c>
      <c r="S180" s="5" t="s">
        <v>333</v>
      </c>
      <c r="T180" s="6" t="s">
        <v>84</v>
      </c>
      <c r="U180" s="6">
        <v>0</v>
      </c>
      <c r="V180" s="25">
        <v>42</v>
      </c>
      <c r="W180" s="5">
        <v>6</v>
      </c>
      <c r="X180" s="7">
        <f t="shared" si="71"/>
        <v>17</v>
      </c>
      <c r="Y180" s="22">
        <f t="shared" si="72"/>
        <v>10</v>
      </c>
      <c r="Z180" s="15">
        <f t="shared" si="88"/>
        <v>7</v>
      </c>
      <c r="AA180" s="19">
        <v>0</v>
      </c>
      <c r="AB180" s="19">
        <v>7</v>
      </c>
      <c r="AC180" s="19">
        <v>0</v>
      </c>
      <c r="AD180" s="19">
        <v>0</v>
      </c>
      <c r="AE180" s="19">
        <v>0</v>
      </c>
      <c r="AF180" s="19">
        <v>0</v>
      </c>
      <c r="AG180" s="36">
        <f t="shared" si="86"/>
        <v>3</v>
      </c>
      <c r="AH180" s="36">
        <f t="shared" si="86"/>
        <v>0</v>
      </c>
      <c r="AI180" s="36">
        <f t="shared" si="86"/>
        <v>3</v>
      </c>
      <c r="AJ180" s="36">
        <f t="shared" si="85"/>
        <v>2</v>
      </c>
      <c r="AK180" s="36">
        <f t="shared" si="85"/>
        <v>0</v>
      </c>
      <c r="AL180" s="36">
        <f t="shared" si="85"/>
        <v>5</v>
      </c>
      <c r="AM180" s="7">
        <v>3</v>
      </c>
      <c r="AN180" s="7">
        <v>7</v>
      </c>
      <c r="AO180" s="7">
        <v>3</v>
      </c>
      <c r="AP180" s="7">
        <v>2</v>
      </c>
      <c r="AQ180" s="7">
        <v>0</v>
      </c>
      <c r="AR180" s="7">
        <v>5</v>
      </c>
      <c r="AS180" s="22">
        <f t="shared" si="73"/>
        <v>17</v>
      </c>
      <c r="AT180" s="22">
        <f t="shared" si="74"/>
        <v>1.7921146953405018</v>
      </c>
      <c r="AU180" s="5">
        <f t="shared" si="75"/>
        <v>5</v>
      </c>
      <c r="AV180" s="5">
        <f t="shared" si="76"/>
        <v>0.89605734767025091</v>
      </c>
      <c r="AW180" s="5">
        <f t="shared" si="77"/>
        <v>7</v>
      </c>
      <c r="AX180" s="5">
        <f t="shared" si="78"/>
        <v>0.5376344086021505</v>
      </c>
      <c r="AY180" s="5">
        <f t="shared" si="79"/>
        <v>0</v>
      </c>
      <c r="AZ180" s="5">
        <f t="shared" si="80"/>
        <v>0.5376344086021505</v>
      </c>
      <c r="BA180" s="5">
        <f t="shared" si="81"/>
        <v>0.35842293906810035</v>
      </c>
      <c r="BB180" s="5">
        <f t="shared" si="82"/>
        <v>0</v>
      </c>
      <c r="BC180" s="5">
        <f t="shared" si="83"/>
        <v>0.89605734767025091</v>
      </c>
      <c r="BD180" s="6"/>
      <c r="BE180" s="6"/>
      <c r="BF180" s="59"/>
      <c r="BG180" s="6"/>
      <c r="BH180" s="5"/>
      <c r="BI180" s="5"/>
      <c r="BJ180" s="5" t="s">
        <v>332</v>
      </c>
    </row>
    <row r="181" spans="1:62">
      <c r="A181" s="2" t="s">
        <v>320</v>
      </c>
      <c r="B181" s="6" t="s">
        <v>32</v>
      </c>
      <c r="C181" s="6" t="s">
        <v>32</v>
      </c>
      <c r="D181" s="4">
        <v>76</v>
      </c>
      <c r="E181" s="4">
        <v>74</v>
      </c>
      <c r="F181" s="4">
        <v>2013</v>
      </c>
      <c r="G181" s="39">
        <v>6</v>
      </c>
      <c r="H181" s="28">
        <v>1</v>
      </c>
      <c r="I181" s="28">
        <v>1</v>
      </c>
      <c r="J181" s="5">
        <v>2018</v>
      </c>
      <c r="K181" s="5">
        <v>2024</v>
      </c>
      <c r="L181" s="5">
        <f t="shared" si="87"/>
        <v>5.58</v>
      </c>
      <c r="M181" s="5">
        <v>0</v>
      </c>
      <c r="N181" s="5" t="s">
        <v>334</v>
      </c>
      <c r="O181" s="5" t="s">
        <v>35</v>
      </c>
      <c r="P181" s="5">
        <v>0</v>
      </c>
      <c r="Q181" s="5"/>
      <c r="R181" s="5" t="s">
        <v>30</v>
      </c>
      <c r="S181" s="5" t="s">
        <v>601</v>
      </c>
      <c r="T181" s="6" t="s">
        <v>101</v>
      </c>
      <c r="U181" s="6">
        <v>0</v>
      </c>
      <c r="V181" s="25">
        <v>35</v>
      </c>
      <c r="W181" s="5">
        <v>2</v>
      </c>
      <c r="X181" s="7">
        <f t="shared" si="71"/>
        <v>8</v>
      </c>
      <c r="Y181" s="22">
        <f t="shared" si="72"/>
        <v>6</v>
      </c>
      <c r="Z181" s="15">
        <f t="shared" si="88"/>
        <v>2</v>
      </c>
      <c r="AA181" s="19">
        <v>0</v>
      </c>
      <c r="AB181" s="19">
        <v>0</v>
      </c>
      <c r="AC181" s="19">
        <v>2</v>
      </c>
      <c r="AD181" s="19">
        <v>0</v>
      </c>
      <c r="AE181" s="19">
        <v>0</v>
      </c>
      <c r="AF181" s="19">
        <v>0</v>
      </c>
      <c r="AG181" s="36">
        <f t="shared" si="86"/>
        <v>2</v>
      </c>
      <c r="AH181" s="36">
        <f t="shared" si="86"/>
        <v>1</v>
      </c>
      <c r="AI181" s="36">
        <f t="shared" si="86"/>
        <v>2</v>
      </c>
      <c r="AJ181" s="36">
        <f t="shared" si="85"/>
        <v>0</v>
      </c>
      <c r="AK181" s="36">
        <f t="shared" si="85"/>
        <v>1</v>
      </c>
      <c r="AL181" s="36">
        <f t="shared" si="85"/>
        <v>2</v>
      </c>
      <c r="AM181" s="7">
        <v>2</v>
      </c>
      <c r="AN181" s="7">
        <v>1</v>
      </c>
      <c r="AO181" s="7">
        <v>4</v>
      </c>
      <c r="AP181" s="7">
        <v>0</v>
      </c>
      <c r="AQ181" s="7">
        <v>1</v>
      </c>
      <c r="AR181" s="7">
        <v>2</v>
      </c>
      <c r="AS181" s="22">
        <f t="shared" si="73"/>
        <v>8</v>
      </c>
      <c r="AT181" s="22">
        <f t="shared" si="74"/>
        <v>1.075268817204301</v>
      </c>
      <c r="AU181" s="5">
        <f t="shared" si="75"/>
        <v>4</v>
      </c>
      <c r="AV181" s="5">
        <f t="shared" si="76"/>
        <v>0.71684587813620071</v>
      </c>
      <c r="AW181" s="5">
        <f t="shared" si="77"/>
        <v>2</v>
      </c>
      <c r="AX181" s="5">
        <f t="shared" si="78"/>
        <v>0.35842293906810035</v>
      </c>
      <c r="AY181" s="5">
        <f t="shared" si="79"/>
        <v>0.17921146953405018</v>
      </c>
      <c r="AZ181" s="5">
        <f t="shared" si="80"/>
        <v>0.35842293906810035</v>
      </c>
      <c r="BA181" s="5">
        <f t="shared" si="81"/>
        <v>0</v>
      </c>
      <c r="BB181" s="5">
        <f t="shared" si="82"/>
        <v>0.17921146953405018</v>
      </c>
      <c r="BC181" s="5">
        <f t="shared" si="83"/>
        <v>0.35842293906810035</v>
      </c>
      <c r="BD181" s="6"/>
      <c r="BE181" s="6"/>
      <c r="BF181" s="59"/>
      <c r="BG181" s="6"/>
      <c r="BH181" s="5"/>
      <c r="BI181" s="5"/>
      <c r="BJ181" s="5" t="s">
        <v>334</v>
      </c>
    </row>
    <row r="182" spans="1:62">
      <c r="A182" s="2" t="s">
        <v>320</v>
      </c>
      <c r="B182" s="6" t="s">
        <v>32</v>
      </c>
      <c r="C182" s="6" t="s">
        <v>32</v>
      </c>
      <c r="D182" s="4">
        <v>76</v>
      </c>
      <c r="E182" s="4">
        <v>74</v>
      </c>
      <c r="F182" s="4">
        <v>2013</v>
      </c>
      <c r="G182" s="39">
        <v>6</v>
      </c>
      <c r="H182" s="28">
        <v>1</v>
      </c>
      <c r="I182" s="28">
        <v>1</v>
      </c>
      <c r="J182" s="5">
        <v>2017</v>
      </c>
      <c r="K182" s="5">
        <v>2024</v>
      </c>
      <c r="L182" s="5">
        <f t="shared" si="87"/>
        <v>6.58</v>
      </c>
      <c r="M182" s="5">
        <v>0</v>
      </c>
      <c r="N182" s="5" t="s">
        <v>335</v>
      </c>
      <c r="O182" s="5" t="s">
        <v>28</v>
      </c>
      <c r="P182" s="5">
        <v>0</v>
      </c>
      <c r="Q182" s="5"/>
      <c r="R182" s="5" t="s">
        <v>30</v>
      </c>
      <c r="S182" s="5" t="s">
        <v>336</v>
      </c>
      <c r="T182" s="6" t="s">
        <v>84</v>
      </c>
      <c r="U182" s="6">
        <v>0</v>
      </c>
      <c r="V182" s="25">
        <v>100</v>
      </c>
      <c r="W182" s="5">
        <v>3</v>
      </c>
      <c r="X182" s="7">
        <f t="shared" si="71"/>
        <v>12</v>
      </c>
      <c r="Y182" s="22">
        <f t="shared" si="72"/>
        <v>10</v>
      </c>
      <c r="Z182" s="15">
        <f t="shared" si="88"/>
        <v>2</v>
      </c>
      <c r="AA182" s="19">
        <v>2</v>
      </c>
      <c r="AB182" s="19">
        <v>0</v>
      </c>
      <c r="AC182" s="19">
        <v>1</v>
      </c>
      <c r="AD182" s="19">
        <v>1</v>
      </c>
      <c r="AE182" s="19">
        <v>0</v>
      </c>
      <c r="AF182" s="19">
        <v>0</v>
      </c>
      <c r="AG182" s="36">
        <f t="shared" si="86"/>
        <v>4</v>
      </c>
      <c r="AH182" s="36">
        <f t="shared" si="86"/>
        <v>0</v>
      </c>
      <c r="AI182" s="36">
        <f t="shared" si="86"/>
        <v>6</v>
      </c>
      <c r="AJ182" s="36">
        <f t="shared" si="85"/>
        <v>1</v>
      </c>
      <c r="AK182" s="36">
        <f t="shared" si="85"/>
        <v>0</v>
      </c>
      <c r="AL182" s="36">
        <f t="shared" si="85"/>
        <v>3</v>
      </c>
      <c r="AM182" s="7">
        <v>6</v>
      </c>
      <c r="AN182" s="7">
        <v>0</v>
      </c>
      <c r="AO182" s="7">
        <v>7</v>
      </c>
      <c r="AP182" s="7">
        <v>2</v>
      </c>
      <c r="AQ182" s="7">
        <v>0</v>
      </c>
      <c r="AR182" s="7">
        <v>3</v>
      </c>
      <c r="AS182" s="22">
        <f t="shared" si="73"/>
        <v>12</v>
      </c>
      <c r="AT182" s="22">
        <f t="shared" si="74"/>
        <v>1.519756838905775</v>
      </c>
      <c r="AU182" s="5">
        <f t="shared" si="75"/>
        <v>7</v>
      </c>
      <c r="AV182" s="5">
        <f t="shared" si="76"/>
        <v>1.0638297872340425</v>
      </c>
      <c r="AW182" s="5">
        <f t="shared" si="77"/>
        <v>2</v>
      </c>
      <c r="AX182" s="5">
        <f t="shared" si="78"/>
        <v>0.60790273556231</v>
      </c>
      <c r="AY182" s="5">
        <f t="shared" si="79"/>
        <v>0</v>
      </c>
      <c r="AZ182" s="5">
        <f t="shared" si="80"/>
        <v>0.91185410334346506</v>
      </c>
      <c r="BA182" s="5">
        <f t="shared" si="81"/>
        <v>0.1519756838905775</v>
      </c>
      <c r="BB182" s="5">
        <f t="shared" si="82"/>
        <v>0</v>
      </c>
      <c r="BC182" s="5">
        <f t="shared" si="83"/>
        <v>0.45592705167173253</v>
      </c>
      <c r="BD182" s="6"/>
      <c r="BE182" s="6"/>
      <c r="BF182" s="59"/>
      <c r="BG182" s="6"/>
      <c r="BH182" s="5"/>
      <c r="BI182" s="5"/>
      <c r="BJ182" s="5" t="s">
        <v>335</v>
      </c>
    </row>
    <row r="183" spans="1:62">
      <c r="A183" s="2" t="s">
        <v>320</v>
      </c>
      <c r="B183" s="6" t="s">
        <v>32</v>
      </c>
      <c r="C183" s="6" t="s">
        <v>32</v>
      </c>
      <c r="D183" s="4">
        <v>76</v>
      </c>
      <c r="E183" s="4">
        <v>74</v>
      </c>
      <c r="F183" s="4">
        <v>2013</v>
      </c>
      <c r="G183" s="39">
        <v>6</v>
      </c>
      <c r="H183" s="28">
        <v>1</v>
      </c>
      <c r="I183" s="28">
        <v>1</v>
      </c>
      <c r="J183" s="5">
        <v>2017</v>
      </c>
      <c r="K183" s="5">
        <v>2024</v>
      </c>
      <c r="L183" s="5">
        <f t="shared" si="87"/>
        <v>6.58</v>
      </c>
      <c r="M183" s="5">
        <v>0</v>
      </c>
      <c r="N183" s="5" t="s">
        <v>337</v>
      </c>
      <c r="O183" s="5" t="s">
        <v>35</v>
      </c>
      <c r="P183" s="5">
        <v>0</v>
      </c>
      <c r="Q183" s="5"/>
      <c r="R183" s="5" t="s">
        <v>39</v>
      </c>
      <c r="S183" s="5" t="s">
        <v>310</v>
      </c>
      <c r="T183" s="6" t="s">
        <v>218</v>
      </c>
      <c r="U183" s="6">
        <v>0</v>
      </c>
      <c r="V183" s="25">
        <v>13</v>
      </c>
      <c r="W183" s="5">
        <v>6</v>
      </c>
      <c r="X183" s="7">
        <f t="shared" si="71"/>
        <v>28</v>
      </c>
      <c r="Y183" s="22">
        <f t="shared" si="72"/>
        <v>26</v>
      </c>
      <c r="Z183" s="15">
        <f t="shared" si="88"/>
        <v>2</v>
      </c>
      <c r="AA183" s="19">
        <v>0</v>
      </c>
      <c r="AB183" s="19">
        <v>2</v>
      </c>
      <c r="AC183" s="19">
        <v>0</v>
      </c>
      <c r="AD183" s="19">
        <v>0</v>
      </c>
      <c r="AE183" s="19">
        <v>0</v>
      </c>
      <c r="AF183" s="19">
        <v>0</v>
      </c>
      <c r="AG183" s="36">
        <f t="shared" si="86"/>
        <v>10</v>
      </c>
      <c r="AH183" s="36">
        <f t="shared" si="86"/>
        <v>1</v>
      </c>
      <c r="AI183" s="36">
        <f t="shared" si="86"/>
        <v>17</v>
      </c>
      <c r="AJ183" s="36">
        <f t="shared" si="85"/>
        <v>3</v>
      </c>
      <c r="AK183" s="36">
        <f t="shared" si="85"/>
        <v>3</v>
      </c>
      <c r="AL183" s="36">
        <f t="shared" si="85"/>
        <v>2</v>
      </c>
      <c r="AM183" s="7">
        <v>10</v>
      </c>
      <c r="AN183" s="7">
        <v>3</v>
      </c>
      <c r="AO183" s="7">
        <v>17</v>
      </c>
      <c r="AP183" s="7">
        <v>3</v>
      </c>
      <c r="AQ183" s="7">
        <v>3</v>
      </c>
      <c r="AR183" s="7">
        <v>2</v>
      </c>
      <c r="AS183" s="22">
        <f t="shared" si="73"/>
        <v>28</v>
      </c>
      <c r="AT183" s="22">
        <f t="shared" si="74"/>
        <v>3.9513677811550152</v>
      </c>
      <c r="AU183" s="5">
        <f t="shared" si="75"/>
        <v>24</v>
      </c>
      <c r="AV183" s="5">
        <f t="shared" si="76"/>
        <v>3.6474164133738602</v>
      </c>
      <c r="AW183" s="5">
        <f t="shared" si="77"/>
        <v>2</v>
      </c>
      <c r="AX183" s="5">
        <f t="shared" si="78"/>
        <v>1.519756838905775</v>
      </c>
      <c r="AY183" s="5">
        <f t="shared" si="79"/>
        <v>0.1519756838905775</v>
      </c>
      <c r="AZ183" s="5">
        <f t="shared" si="80"/>
        <v>2.5835866261398177</v>
      </c>
      <c r="BA183" s="5">
        <f t="shared" si="81"/>
        <v>0.45592705167173253</v>
      </c>
      <c r="BB183" s="5">
        <f t="shared" si="82"/>
        <v>0.45592705167173253</v>
      </c>
      <c r="BC183" s="5">
        <f t="shared" si="83"/>
        <v>0.303951367781155</v>
      </c>
      <c r="BD183" s="6">
        <v>3</v>
      </c>
      <c r="BE183" s="6"/>
      <c r="BF183" s="59"/>
      <c r="BG183" s="6"/>
      <c r="BH183" s="5" t="s">
        <v>338</v>
      </c>
      <c r="BI183" s="5"/>
      <c r="BJ183" s="5" t="s">
        <v>337</v>
      </c>
    </row>
    <row r="184" spans="1:62">
      <c r="A184" s="2" t="s">
        <v>320</v>
      </c>
      <c r="B184" s="6" t="s">
        <v>32</v>
      </c>
      <c r="C184" s="6" t="s">
        <v>32</v>
      </c>
      <c r="D184" s="4">
        <v>76</v>
      </c>
      <c r="E184" s="4">
        <v>74</v>
      </c>
      <c r="F184" s="4">
        <v>2013</v>
      </c>
      <c r="G184" s="39">
        <v>6</v>
      </c>
      <c r="H184" s="28">
        <v>1</v>
      </c>
      <c r="I184" s="28">
        <v>1</v>
      </c>
      <c r="J184" s="5">
        <v>2016</v>
      </c>
      <c r="K184" s="5">
        <v>2024</v>
      </c>
      <c r="L184" s="5">
        <f t="shared" si="87"/>
        <v>7.58</v>
      </c>
      <c r="M184" s="5">
        <v>0</v>
      </c>
      <c r="N184" s="5" t="s">
        <v>339</v>
      </c>
      <c r="O184" s="5" t="s">
        <v>28</v>
      </c>
      <c r="P184" s="5">
        <v>0</v>
      </c>
      <c r="Q184" s="5"/>
      <c r="R184" s="5" t="s">
        <v>39</v>
      </c>
      <c r="S184" s="5" t="s">
        <v>340</v>
      </c>
      <c r="T184" s="6" t="s">
        <v>84</v>
      </c>
      <c r="U184" s="6">
        <v>0</v>
      </c>
      <c r="V184" s="25">
        <v>48</v>
      </c>
      <c r="W184" s="5">
        <v>2</v>
      </c>
      <c r="X184" s="7">
        <f t="shared" si="71"/>
        <v>7</v>
      </c>
      <c r="Y184" s="22">
        <f t="shared" si="72"/>
        <v>7</v>
      </c>
      <c r="Z184" s="15">
        <f t="shared" si="88"/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36">
        <f t="shared" si="86"/>
        <v>2</v>
      </c>
      <c r="AH184" s="36">
        <f t="shared" si="86"/>
        <v>3</v>
      </c>
      <c r="AI184" s="36">
        <f t="shared" si="86"/>
        <v>1</v>
      </c>
      <c r="AJ184" s="36">
        <f t="shared" si="85"/>
        <v>1</v>
      </c>
      <c r="AK184" s="36">
        <f t="shared" si="85"/>
        <v>1</v>
      </c>
      <c r="AL184" s="36">
        <f t="shared" si="85"/>
        <v>1</v>
      </c>
      <c r="AM184" s="7">
        <v>2</v>
      </c>
      <c r="AN184" s="7">
        <v>3</v>
      </c>
      <c r="AO184" s="7">
        <v>1</v>
      </c>
      <c r="AP184" s="7">
        <v>1</v>
      </c>
      <c r="AQ184" s="7">
        <v>1</v>
      </c>
      <c r="AR184" s="7">
        <v>1</v>
      </c>
      <c r="AS184" s="22">
        <f t="shared" si="73"/>
        <v>7</v>
      </c>
      <c r="AT184" s="22">
        <f t="shared" si="74"/>
        <v>0.92348284960422167</v>
      </c>
      <c r="AU184" s="5">
        <f t="shared" si="75"/>
        <v>6</v>
      </c>
      <c r="AV184" s="5">
        <f t="shared" si="76"/>
        <v>0.79155672823218992</v>
      </c>
      <c r="AW184" s="5">
        <f t="shared" si="77"/>
        <v>0</v>
      </c>
      <c r="AX184" s="5">
        <f t="shared" si="78"/>
        <v>0.26385224274406333</v>
      </c>
      <c r="AY184" s="5">
        <f t="shared" si="79"/>
        <v>0.39577836411609496</v>
      </c>
      <c r="AZ184" s="5">
        <f t="shared" si="80"/>
        <v>0.13192612137203166</v>
      </c>
      <c r="BA184" s="5">
        <f t="shared" si="81"/>
        <v>0.13192612137203166</v>
      </c>
      <c r="BB184" s="5">
        <f t="shared" si="82"/>
        <v>0.13192612137203166</v>
      </c>
      <c r="BC184" s="5">
        <f t="shared" si="83"/>
        <v>0.13192612137203166</v>
      </c>
      <c r="BD184" s="6"/>
      <c r="BE184" s="6"/>
      <c r="BF184" s="59"/>
      <c r="BG184" s="6"/>
      <c r="BH184" s="5"/>
      <c r="BI184" s="5"/>
      <c r="BJ184" s="5" t="s">
        <v>339</v>
      </c>
    </row>
    <row r="185" spans="1:62">
      <c r="A185" s="2" t="s">
        <v>320</v>
      </c>
      <c r="B185" s="6" t="s">
        <v>32</v>
      </c>
      <c r="C185" s="6" t="s">
        <v>32</v>
      </c>
      <c r="D185" s="4">
        <v>76</v>
      </c>
      <c r="E185" s="4">
        <v>74</v>
      </c>
      <c r="F185" s="4">
        <v>2013</v>
      </c>
      <c r="G185" s="39">
        <v>6</v>
      </c>
      <c r="H185" s="28">
        <v>1</v>
      </c>
      <c r="I185" s="28">
        <v>1</v>
      </c>
      <c r="J185" s="11">
        <v>2015</v>
      </c>
      <c r="K185" s="5">
        <v>2023</v>
      </c>
      <c r="L185" s="5">
        <f>(K185-J185)</f>
        <v>8</v>
      </c>
      <c r="M185" s="5">
        <v>1</v>
      </c>
      <c r="N185" s="5" t="s">
        <v>341</v>
      </c>
      <c r="O185" s="5" t="s">
        <v>35</v>
      </c>
      <c r="P185" s="5">
        <v>0</v>
      </c>
      <c r="Q185" s="5"/>
      <c r="R185" s="5" t="s">
        <v>30</v>
      </c>
      <c r="S185" s="5" t="s">
        <v>343</v>
      </c>
      <c r="T185" s="6" t="s">
        <v>218</v>
      </c>
      <c r="U185" s="6">
        <v>0</v>
      </c>
      <c r="V185" s="25">
        <v>13</v>
      </c>
      <c r="W185" s="5">
        <v>2</v>
      </c>
      <c r="X185" s="7">
        <f t="shared" si="71"/>
        <v>18</v>
      </c>
      <c r="Y185" s="22">
        <f t="shared" si="72"/>
        <v>16</v>
      </c>
      <c r="Z185" s="15">
        <f t="shared" si="88"/>
        <v>2</v>
      </c>
      <c r="AA185" s="19">
        <v>1</v>
      </c>
      <c r="AB185" s="19">
        <v>0</v>
      </c>
      <c r="AC185" s="19">
        <v>2</v>
      </c>
      <c r="AD185" s="19">
        <v>0</v>
      </c>
      <c r="AE185" s="19">
        <v>0</v>
      </c>
      <c r="AF185" s="19">
        <v>0</v>
      </c>
      <c r="AG185" s="36">
        <f t="shared" si="86"/>
        <v>6</v>
      </c>
      <c r="AH185" s="36">
        <f t="shared" si="86"/>
        <v>0</v>
      </c>
      <c r="AI185" s="36">
        <f t="shared" si="86"/>
        <v>5</v>
      </c>
      <c r="AJ185" s="36">
        <f t="shared" si="85"/>
        <v>0</v>
      </c>
      <c r="AK185" s="36">
        <f t="shared" si="85"/>
        <v>7</v>
      </c>
      <c r="AL185" s="36">
        <f t="shared" si="85"/>
        <v>4</v>
      </c>
      <c r="AM185" s="7">
        <v>7</v>
      </c>
      <c r="AN185" s="7">
        <v>0</v>
      </c>
      <c r="AO185" s="7">
        <v>7</v>
      </c>
      <c r="AP185" s="7">
        <v>0</v>
      </c>
      <c r="AQ185" s="7">
        <v>7</v>
      </c>
      <c r="AR185" s="7">
        <v>4</v>
      </c>
      <c r="AS185" s="22">
        <f t="shared" si="73"/>
        <v>18</v>
      </c>
      <c r="AT185" s="22">
        <f t="shared" si="74"/>
        <v>2</v>
      </c>
      <c r="AU185" s="5">
        <f t="shared" si="75"/>
        <v>12</v>
      </c>
      <c r="AV185" s="5">
        <f t="shared" si="76"/>
        <v>1.5</v>
      </c>
      <c r="AW185" s="5">
        <f t="shared" si="77"/>
        <v>2</v>
      </c>
      <c r="AX185" s="5">
        <f t="shared" si="78"/>
        <v>0.75</v>
      </c>
      <c r="AY185" s="5">
        <f t="shared" si="79"/>
        <v>0</v>
      </c>
      <c r="AZ185" s="5">
        <f t="shared" si="80"/>
        <v>0.625</v>
      </c>
      <c r="BA185" s="5">
        <f t="shared" si="81"/>
        <v>0</v>
      </c>
      <c r="BB185" s="5">
        <f t="shared" si="82"/>
        <v>0.875</v>
      </c>
      <c r="BC185" s="5">
        <f t="shared" si="83"/>
        <v>0.5</v>
      </c>
      <c r="BD185" s="6">
        <v>1</v>
      </c>
      <c r="BE185" s="6"/>
      <c r="BF185" s="59">
        <v>1</v>
      </c>
      <c r="BG185" s="6" t="s">
        <v>342</v>
      </c>
      <c r="BH185" s="5"/>
      <c r="BI185" s="5"/>
      <c r="BJ185" s="5" t="s">
        <v>341</v>
      </c>
    </row>
    <row r="186" spans="1:62">
      <c r="A186" s="2" t="s">
        <v>320</v>
      </c>
      <c r="B186" s="6" t="s">
        <v>32</v>
      </c>
      <c r="C186" s="6" t="s">
        <v>32</v>
      </c>
      <c r="D186" s="4">
        <v>76</v>
      </c>
      <c r="E186" s="4">
        <v>74</v>
      </c>
      <c r="F186" s="4">
        <v>2013</v>
      </c>
      <c r="G186" s="39">
        <v>6</v>
      </c>
      <c r="H186" s="28">
        <v>1</v>
      </c>
      <c r="I186" s="28">
        <v>1</v>
      </c>
      <c r="J186" s="5">
        <v>2015</v>
      </c>
      <c r="K186" s="5">
        <v>2022</v>
      </c>
      <c r="L186" s="5">
        <f>(K186-J186)</f>
        <v>7</v>
      </c>
      <c r="M186" s="5">
        <v>1</v>
      </c>
      <c r="N186" s="5" t="s">
        <v>344</v>
      </c>
      <c r="O186" s="5" t="s">
        <v>35</v>
      </c>
      <c r="P186" s="5">
        <v>0</v>
      </c>
      <c r="Q186" s="5"/>
      <c r="R186" s="5" t="s">
        <v>39</v>
      </c>
      <c r="S186" s="5" t="s">
        <v>346</v>
      </c>
      <c r="T186" s="6" t="s">
        <v>84</v>
      </c>
      <c r="U186" s="6">
        <v>0</v>
      </c>
      <c r="V186" s="25">
        <v>85</v>
      </c>
      <c r="W186" s="5">
        <v>15</v>
      </c>
      <c r="X186" s="7">
        <f t="shared" si="71"/>
        <v>82</v>
      </c>
      <c r="Y186" s="22">
        <f t="shared" si="72"/>
        <v>81</v>
      </c>
      <c r="Z186" s="15">
        <f t="shared" si="88"/>
        <v>1</v>
      </c>
      <c r="AA186" s="19">
        <v>1</v>
      </c>
      <c r="AB186" s="19">
        <v>0</v>
      </c>
      <c r="AC186" s="19">
        <v>1</v>
      </c>
      <c r="AD186" s="19">
        <v>0</v>
      </c>
      <c r="AE186" s="19">
        <v>0</v>
      </c>
      <c r="AF186" s="19">
        <v>0</v>
      </c>
      <c r="AG186" s="36">
        <f t="shared" si="86"/>
        <v>43</v>
      </c>
      <c r="AH186" s="36">
        <f t="shared" si="86"/>
        <v>0</v>
      </c>
      <c r="AI186" s="36">
        <f t="shared" si="86"/>
        <v>51</v>
      </c>
      <c r="AJ186" s="36">
        <f t="shared" si="85"/>
        <v>1</v>
      </c>
      <c r="AK186" s="36">
        <f t="shared" si="85"/>
        <v>4</v>
      </c>
      <c r="AL186" s="36">
        <f t="shared" si="85"/>
        <v>25</v>
      </c>
      <c r="AM186" s="7">
        <v>44</v>
      </c>
      <c r="AN186" s="7">
        <v>0</v>
      </c>
      <c r="AO186" s="7">
        <v>52</v>
      </c>
      <c r="AP186" s="7">
        <v>1</v>
      </c>
      <c r="AQ186" s="7">
        <v>4</v>
      </c>
      <c r="AR186" s="7">
        <v>25</v>
      </c>
      <c r="AS186" s="22">
        <f t="shared" si="73"/>
        <v>82</v>
      </c>
      <c r="AT186" s="22">
        <f t="shared" si="74"/>
        <v>11.571428571428571</v>
      </c>
      <c r="AU186" s="5">
        <f t="shared" si="75"/>
        <v>56</v>
      </c>
      <c r="AV186" s="5">
        <f t="shared" si="76"/>
        <v>8</v>
      </c>
      <c r="AW186" s="5">
        <f t="shared" si="77"/>
        <v>1</v>
      </c>
      <c r="AX186" s="5">
        <f t="shared" si="78"/>
        <v>6.1428571428571432</v>
      </c>
      <c r="AY186" s="5">
        <f t="shared" si="79"/>
        <v>0</v>
      </c>
      <c r="AZ186" s="5">
        <f t="shared" si="80"/>
        <v>7.2857142857142856</v>
      </c>
      <c r="BA186" s="5">
        <f t="shared" si="81"/>
        <v>0.14285714285714285</v>
      </c>
      <c r="BB186" s="5">
        <f t="shared" si="82"/>
        <v>0.5714285714285714</v>
      </c>
      <c r="BC186" s="5">
        <f t="shared" si="83"/>
        <v>3.5714285714285716</v>
      </c>
      <c r="BD186" s="6"/>
      <c r="BE186" s="6"/>
      <c r="BF186" s="59">
        <v>1</v>
      </c>
      <c r="BG186" s="6" t="s">
        <v>345</v>
      </c>
      <c r="BH186" s="5"/>
      <c r="BI186" s="5"/>
      <c r="BJ186" s="5" t="s">
        <v>344</v>
      </c>
    </row>
    <row r="187" spans="1:62">
      <c r="A187" s="2" t="s">
        <v>347</v>
      </c>
      <c r="B187" s="3" t="s">
        <v>85</v>
      </c>
      <c r="C187" s="3" t="s">
        <v>85</v>
      </c>
      <c r="D187" s="4">
        <v>56</v>
      </c>
      <c r="E187" s="4">
        <v>88</v>
      </c>
      <c r="F187" s="4">
        <v>2011</v>
      </c>
      <c r="G187" s="39">
        <v>53</v>
      </c>
      <c r="H187" s="28">
        <v>0</v>
      </c>
      <c r="I187" s="28">
        <v>2</v>
      </c>
      <c r="J187" s="12">
        <v>2022</v>
      </c>
      <c r="K187" s="5">
        <v>2024</v>
      </c>
      <c r="L187" s="5">
        <f>(K187-J187)-0.42</f>
        <v>1.58</v>
      </c>
      <c r="M187" s="5">
        <v>0</v>
      </c>
      <c r="N187" s="12" t="s">
        <v>348</v>
      </c>
      <c r="O187" s="12" t="s">
        <v>28</v>
      </c>
      <c r="P187" s="12">
        <v>0</v>
      </c>
      <c r="Q187" s="12"/>
      <c r="R187" s="12" t="s">
        <v>30</v>
      </c>
      <c r="S187" s="12" t="s">
        <v>245</v>
      </c>
      <c r="T187" s="6" t="s">
        <v>84</v>
      </c>
      <c r="U187" s="6">
        <v>0</v>
      </c>
      <c r="V187" s="25">
        <v>93</v>
      </c>
      <c r="W187" s="12">
        <v>0</v>
      </c>
      <c r="X187" s="7">
        <f t="shared" si="71"/>
        <v>0</v>
      </c>
      <c r="Y187" s="22">
        <f t="shared" si="72"/>
        <v>0</v>
      </c>
      <c r="Z187" s="15">
        <f t="shared" si="88"/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36">
        <f t="shared" si="86"/>
        <v>0</v>
      </c>
      <c r="AH187" s="36">
        <f t="shared" si="86"/>
        <v>0</v>
      </c>
      <c r="AI187" s="36">
        <f t="shared" si="86"/>
        <v>0</v>
      </c>
      <c r="AJ187" s="36">
        <f t="shared" si="85"/>
        <v>0</v>
      </c>
      <c r="AK187" s="36">
        <f t="shared" si="85"/>
        <v>0</v>
      </c>
      <c r="AL187" s="36">
        <f t="shared" si="85"/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22">
        <f t="shared" si="73"/>
        <v>0</v>
      </c>
      <c r="AT187" s="22">
        <f t="shared" si="74"/>
        <v>0</v>
      </c>
      <c r="AU187" s="5">
        <f t="shared" si="75"/>
        <v>0</v>
      </c>
      <c r="AV187" s="5">
        <f t="shared" si="76"/>
        <v>0</v>
      </c>
      <c r="AW187" s="5">
        <f t="shared" si="77"/>
        <v>0</v>
      </c>
      <c r="AX187" s="5">
        <f t="shared" si="78"/>
        <v>0</v>
      </c>
      <c r="AY187" s="5">
        <f t="shared" si="79"/>
        <v>0</v>
      </c>
      <c r="AZ187" s="5">
        <f t="shared" si="80"/>
        <v>0</v>
      </c>
      <c r="BA187" s="5">
        <f t="shared" si="81"/>
        <v>0</v>
      </c>
      <c r="BB187" s="5">
        <f t="shared" si="82"/>
        <v>0</v>
      </c>
      <c r="BC187" s="5">
        <f t="shared" si="83"/>
        <v>0</v>
      </c>
      <c r="BD187" s="6"/>
      <c r="BE187" s="6"/>
      <c r="BF187" s="59"/>
      <c r="BG187" s="6"/>
      <c r="BH187" s="12"/>
      <c r="BI187" s="12"/>
      <c r="BJ187" s="12" t="s">
        <v>348</v>
      </c>
    </row>
    <row r="188" spans="1:62">
      <c r="A188" s="2" t="s">
        <v>347</v>
      </c>
      <c r="B188" s="3" t="s">
        <v>85</v>
      </c>
      <c r="C188" s="3" t="s">
        <v>85</v>
      </c>
      <c r="D188" s="4">
        <v>56</v>
      </c>
      <c r="E188" s="4">
        <v>88</v>
      </c>
      <c r="F188" s="4">
        <v>2011</v>
      </c>
      <c r="G188" s="39">
        <v>53</v>
      </c>
      <c r="H188" s="28">
        <v>0</v>
      </c>
      <c r="I188" s="28">
        <v>2</v>
      </c>
      <c r="J188" s="5">
        <v>2021</v>
      </c>
      <c r="K188" s="5">
        <v>2024</v>
      </c>
      <c r="L188" s="5">
        <f>(K188-J188)-0.42</f>
        <v>2.58</v>
      </c>
      <c r="M188" s="5">
        <v>0</v>
      </c>
      <c r="N188" s="5" t="s">
        <v>349</v>
      </c>
      <c r="O188" s="5" t="s">
        <v>28</v>
      </c>
      <c r="P188" s="5">
        <v>0</v>
      </c>
      <c r="Q188" s="5"/>
      <c r="R188" s="5" t="s">
        <v>39</v>
      </c>
      <c r="S188" s="5" t="s">
        <v>277</v>
      </c>
      <c r="T188" s="6" t="s">
        <v>84</v>
      </c>
      <c r="U188" s="6">
        <v>0</v>
      </c>
      <c r="V188" s="25">
        <v>44</v>
      </c>
      <c r="W188" s="5">
        <v>6</v>
      </c>
      <c r="X188" s="7">
        <f t="shared" si="71"/>
        <v>21</v>
      </c>
      <c r="Y188" s="22">
        <f t="shared" si="72"/>
        <v>6</v>
      </c>
      <c r="Z188" s="15">
        <f t="shared" si="88"/>
        <v>15</v>
      </c>
      <c r="AA188" s="19">
        <v>6</v>
      </c>
      <c r="AB188" s="19">
        <v>8</v>
      </c>
      <c r="AC188" s="19">
        <v>0</v>
      </c>
      <c r="AD188" s="19">
        <v>0</v>
      </c>
      <c r="AE188" s="19">
        <v>2</v>
      </c>
      <c r="AF188" s="19">
        <v>5</v>
      </c>
      <c r="AG188" s="36">
        <f t="shared" si="86"/>
        <v>4</v>
      </c>
      <c r="AH188" s="36">
        <f t="shared" si="86"/>
        <v>1</v>
      </c>
      <c r="AI188" s="36">
        <f t="shared" si="86"/>
        <v>1</v>
      </c>
      <c r="AJ188" s="36">
        <f t="shared" si="85"/>
        <v>0</v>
      </c>
      <c r="AK188" s="36">
        <f t="shared" si="85"/>
        <v>0</v>
      </c>
      <c r="AL188" s="36">
        <f t="shared" si="85"/>
        <v>4</v>
      </c>
      <c r="AM188" s="7">
        <v>10</v>
      </c>
      <c r="AN188" s="7">
        <v>9</v>
      </c>
      <c r="AO188" s="7">
        <v>1</v>
      </c>
      <c r="AP188" s="7">
        <v>0</v>
      </c>
      <c r="AQ188" s="7">
        <v>2</v>
      </c>
      <c r="AR188" s="7">
        <v>9</v>
      </c>
      <c r="AS188" s="22">
        <f t="shared" si="73"/>
        <v>21</v>
      </c>
      <c r="AT188" s="22">
        <f t="shared" si="74"/>
        <v>2.3255813953488373</v>
      </c>
      <c r="AU188" s="5">
        <f t="shared" si="75"/>
        <v>2</v>
      </c>
      <c r="AV188" s="5">
        <f t="shared" si="76"/>
        <v>0.77519379844961234</v>
      </c>
      <c r="AW188" s="5">
        <f t="shared" si="77"/>
        <v>10</v>
      </c>
      <c r="AX188" s="5">
        <f t="shared" si="78"/>
        <v>1.5503875968992247</v>
      </c>
      <c r="AY188" s="5">
        <f t="shared" si="79"/>
        <v>0.38759689922480617</v>
      </c>
      <c r="AZ188" s="5">
        <f t="shared" si="80"/>
        <v>0.38759689922480617</v>
      </c>
      <c r="BA188" s="5">
        <f t="shared" si="81"/>
        <v>0</v>
      </c>
      <c r="BB188" s="5">
        <f t="shared" si="82"/>
        <v>0</v>
      </c>
      <c r="BC188" s="5">
        <f t="shared" si="83"/>
        <v>1.5503875968992247</v>
      </c>
      <c r="BD188" s="6"/>
      <c r="BE188" s="6"/>
      <c r="BF188" s="59"/>
      <c r="BG188" s="6"/>
      <c r="BH188" s="5"/>
      <c r="BI188" s="5"/>
      <c r="BJ188" s="5" t="s">
        <v>349</v>
      </c>
    </row>
    <row r="189" spans="1:62">
      <c r="A189" s="2" t="s">
        <v>347</v>
      </c>
      <c r="B189" s="3" t="s">
        <v>85</v>
      </c>
      <c r="C189" s="3" t="s">
        <v>85</v>
      </c>
      <c r="D189" s="4">
        <v>56</v>
      </c>
      <c r="E189" s="4">
        <v>88</v>
      </c>
      <c r="F189" s="4">
        <v>2011</v>
      </c>
      <c r="G189" s="39">
        <v>53</v>
      </c>
      <c r="H189" s="28">
        <v>0</v>
      </c>
      <c r="I189" s="28">
        <v>2</v>
      </c>
      <c r="J189" s="24">
        <v>2020</v>
      </c>
      <c r="K189" s="5">
        <v>2024</v>
      </c>
      <c r="L189" s="5">
        <f>(K189-J189)-0.42</f>
        <v>3.58</v>
      </c>
      <c r="M189" s="5">
        <v>0</v>
      </c>
      <c r="N189" s="5" t="s">
        <v>602</v>
      </c>
      <c r="O189" s="5" t="s">
        <v>28</v>
      </c>
      <c r="P189" s="5">
        <v>0</v>
      </c>
      <c r="Q189" s="5"/>
      <c r="R189" s="5" t="s">
        <v>30</v>
      </c>
      <c r="S189" s="5" t="s">
        <v>350</v>
      </c>
      <c r="T189" s="6" t="s">
        <v>101</v>
      </c>
      <c r="U189" s="6">
        <v>0</v>
      </c>
      <c r="V189" s="25">
        <v>32</v>
      </c>
      <c r="W189" s="5">
        <v>1</v>
      </c>
      <c r="X189" s="7">
        <f t="shared" si="71"/>
        <v>7</v>
      </c>
      <c r="Y189" s="22">
        <f t="shared" si="72"/>
        <v>3</v>
      </c>
      <c r="Z189" s="15">
        <f t="shared" si="88"/>
        <v>4</v>
      </c>
      <c r="AA189" s="19">
        <v>0</v>
      </c>
      <c r="AB189" s="19">
        <v>0</v>
      </c>
      <c r="AC189" s="19">
        <v>4</v>
      </c>
      <c r="AD189" s="19">
        <v>0</v>
      </c>
      <c r="AE189" s="19">
        <v>0</v>
      </c>
      <c r="AF189" s="19">
        <v>0</v>
      </c>
      <c r="AG189" s="36">
        <f t="shared" ref="AG189:AL189" si="89">AM189-AA189</f>
        <v>2</v>
      </c>
      <c r="AH189" s="36">
        <f t="shared" si="89"/>
        <v>0</v>
      </c>
      <c r="AI189" s="36">
        <f t="shared" si="89"/>
        <v>2</v>
      </c>
      <c r="AJ189" s="36">
        <f t="shared" si="89"/>
        <v>1</v>
      </c>
      <c r="AK189" s="36">
        <f t="shared" si="89"/>
        <v>0</v>
      </c>
      <c r="AL189" s="36">
        <f t="shared" si="89"/>
        <v>0</v>
      </c>
      <c r="AM189" s="7">
        <v>2</v>
      </c>
      <c r="AN189" s="7">
        <v>0</v>
      </c>
      <c r="AO189" s="7">
        <v>6</v>
      </c>
      <c r="AP189" s="7">
        <v>1</v>
      </c>
      <c r="AQ189" s="7">
        <v>0</v>
      </c>
      <c r="AR189" s="7">
        <v>0</v>
      </c>
      <c r="AS189" s="22">
        <f t="shared" si="73"/>
        <v>7</v>
      </c>
      <c r="AT189" s="22">
        <f t="shared" si="74"/>
        <v>0.83798882681564246</v>
      </c>
      <c r="AU189" s="5">
        <f t="shared" si="75"/>
        <v>3</v>
      </c>
      <c r="AV189" s="5">
        <f t="shared" si="76"/>
        <v>0.83798882681564246</v>
      </c>
      <c r="AW189" s="5">
        <f t="shared" si="77"/>
        <v>4</v>
      </c>
      <c r="AX189" s="5">
        <f t="shared" si="78"/>
        <v>0.55865921787709494</v>
      </c>
      <c r="AY189" s="5">
        <f t="shared" si="79"/>
        <v>0</v>
      </c>
      <c r="AZ189" s="5">
        <f t="shared" si="80"/>
        <v>0.55865921787709494</v>
      </c>
      <c r="BA189" s="5">
        <f t="shared" si="81"/>
        <v>0.27932960893854747</v>
      </c>
      <c r="BB189" s="5">
        <f t="shared" si="82"/>
        <v>0</v>
      </c>
      <c r="BC189" s="5">
        <f t="shared" si="83"/>
        <v>0</v>
      </c>
      <c r="BD189" s="6"/>
      <c r="BE189" s="6"/>
      <c r="BF189" s="59"/>
      <c r="BG189" s="6"/>
      <c r="BH189" s="5"/>
      <c r="BI189" s="5"/>
      <c r="BJ189" s="5" t="s">
        <v>602</v>
      </c>
    </row>
    <row r="190" spans="1:62">
      <c r="A190" s="2" t="s">
        <v>347</v>
      </c>
      <c r="B190" s="3" t="s">
        <v>85</v>
      </c>
      <c r="C190" s="3" t="s">
        <v>85</v>
      </c>
      <c r="D190" s="4">
        <v>56</v>
      </c>
      <c r="E190" s="4">
        <v>88</v>
      </c>
      <c r="F190" s="4">
        <v>2011</v>
      </c>
      <c r="G190" s="39">
        <v>53</v>
      </c>
      <c r="H190" s="28">
        <v>0</v>
      </c>
      <c r="I190" s="28">
        <v>2</v>
      </c>
      <c r="J190" s="5">
        <v>2019</v>
      </c>
      <c r="K190" s="5">
        <v>2024</v>
      </c>
      <c r="L190" s="5">
        <f>(K190-J190)-0.42</f>
        <v>4.58</v>
      </c>
      <c r="M190" s="5">
        <v>0</v>
      </c>
      <c r="N190" s="5" t="s">
        <v>351</v>
      </c>
      <c r="O190" s="5" t="s">
        <v>35</v>
      </c>
      <c r="P190" s="5">
        <v>0</v>
      </c>
      <c r="Q190" s="5"/>
      <c r="R190" s="5" t="s">
        <v>30</v>
      </c>
      <c r="S190" s="5" t="s">
        <v>350</v>
      </c>
      <c r="T190" s="6" t="s">
        <v>101</v>
      </c>
      <c r="U190" s="6">
        <v>0</v>
      </c>
      <c r="V190" s="25">
        <v>32</v>
      </c>
      <c r="W190" s="5">
        <v>0</v>
      </c>
      <c r="X190" s="7">
        <f t="shared" si="71"/>
        <v>1</v>
      </c>
      <c r="Y190" s="22">
        <f t="shared" si="72"/>
        <v>1</v>
      </c>
      <c r="Z190" s="15">
        <f t="shared" si="88"/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36">
        <f t="shared" si="86"/>
        <v>0</v>
      </c>
      <c r="AH190" s="36">
        <f t="shared" si="86"/>
        <v>0</v>
      </c>
      <c r="AI190" s="36">
        <f t="shared" si="86"/>
        <v>0</v>
      </c>
      <c r="AJ190" s="36">
        <f t="shared" si="86"/>
        <v>1</v>
      </c>
      <c r="AK190" s="36">
        <f t="shared" si="86"/>
        <v>0</v>
      </c>
      <c r="AL190" s="36">
        <f t="shared" si="86"/>
        <v>0</v>
      </c>
      <c r="AM190" s="7">
        <v>0</v>
      </c>
      <c r="AN190" s="7">
        <v>0</v>
      </c>
      <c r="AO190" s="7">
        <v>0</v>
      </c>
      <c r="AP190" s="7">
        <v>1</v>
      </c>
      <c r="AQ190" s="7">
        <v>0</v>
      </c>
      <c r="AR190" s="7">
        <v>0</v>
      </c>
      <c r="AS190" s="22">
        <f t="shared" si="73"/>
        <v>1</v>
      </c>
      <c r="AT190" s="22">
        <f t="shared" si="74"/>
        <v>0.2183406113537118</v>
      </c>
      <c r="AU190" s="5">
        <f t="shared" si="75"/>
        <v>1</v>
      </c>
      <c r="AV190" s="5">
        <f t="shared" si="76"/>
        <v>0.2183406113537118</v>
      </c>
      <c r="AW190" s="5">
        <f t="shared" si="77"/>
        <v>0</v>
      </c>
      <c r="AX190" s="5">
        <f t="shared" si="78"/>
        <v>0</v>
      </c>
      <c r="AY190" s="5">
        <f t="shared" si="79"/>
        <v>0</v>
      </c>
      <c r="AZ190" s="5">
        <f t="shared" si="80"/>
        <v>0</v>
      </c>
      <c r="BA190" s="5">
        <f t="shared" si="81"/>
        <v>0.2183406113537118</v>
      </c>
      <c r="BB190" s="5">
        <f t="shared" si="82"/>
        <v>0</v>
      </c>
      <c r="BC190" s="5">
        <f t="shared" si="83"/>
        <v>0</v>
      </c>
      <c r="BD190" s="6"/>
      <c r="BE190" s="6"/>
      <c r="BF190" s="59"/>
      <c r="BG190" s="6"/>
      <c r="BH190" s="5"/>
      <c r="BI190" s="5"/>
      <c r="BJ190" s="5" t="s">
        <v>351</v>
      </c>
    </row>
    <row r="191" spans="1:62">
      <c r="A191" s="2" t="s">
        <v>347</v>
      </c>
      <c r="B191" s="3" t="s">
        <v>85</v>
      </c>
      <c r="C191" s="3" t="s">
        <v>85</v>
      </c>
      <c r="D191" s="4">
        <v>56</v>
      </c>
      <c r="E191" s="4">
        <v>88</v>
      </c>
      <c r="F191" s="4">
        <v>2011</v>
      </c>
      <c r="G191" s="39">
        <v>53</v>
      </c>
      <c r="H191" s="28">
        <v>0</v>
      </c>
      <c r="I191" s="28">
        <v>2</v>
      </c>
      <c r="J191" s="5">
        <v>2016</v>
      </c>
      <c r="K191" s="5">
        <v>2024</v>
      </c>
      <c r="L191" s="5">
        <f>(K191-J191)-0.42</f>
        <v>7.58</v>
      </c>
      <c r="M191" s="5">
        <v>0</v>
      </c>
      <c r="N191" s="5" t="s">
        <v>352</v>
      </c>
      <c r="O191" s="5" t="s">
        <v>35</v>
      </c>
      <c r="P191" s="5">
        <v>0</v>
      </c>
      <c r="Q191" s="5"/>
      <c r="R191" s="5" t="s">
        <v>30</v>
      </c>
      <c r="S191" s="5" t="s">
        <v>353</v>
      </c>
      <c r="T191" s="6" t="s">
        <v>218</v>
      </c>
      <c r="U191" s="6">
        <v>0</v>
      </c>
      <c r="V191" s="25">
        <v>18</v>
      </c>
      <c r="W191" s="5">
        <v>2</v>
      </c>
      <c r="X191" s="7">
        <f t="shared" si="71"/>
        <v>13</v>
      </c>
      <c r="Y191" s="22">
        <f t="shared" si="72"/>
        <v>11</v>
      </c>
      <c r="Z191" s="15">
        <f t="shared" si="88"/>
        <v>2</v>
      </c>
      <c r="AA191" s="19">
        <v>0</v>
      </c>
      <c r="AB191" s="19">
        <v>0</v>
      </c>
      <c r="AC191" s="19">
        <v>1</v>
      </c>
      <c r="AD191" s="19">
        <v>0</v>
      </c>
      <c r="AE191" s="19">
        <v>1</v>
      </c>
      <c r="AF191" s="19">
        <v>0</v>
      </c>
      <c r="AG191" s="36">
        <f t="shared" si="86"/>
        <v>5</v>
      </c>
      <c r="AH191" s="36">
        <f t="shared" si="86"/>
        <v>3</v>
      </c>
      <c r="AI191" s="36">
        <f t="shared" si="86"/>
        <v>4</v>
      </c>
      <c r="AJ191" s="36">
        <f t="shared" si="86"/>
        <v>4</v>
      </c>
      <c r="AK191" s="36">
        <f t="shared" si="86"/>
        <v>0</v>
      </c>
      <c r="AL191" s="36">
        <f t="shared" si="86"/>
        <v>0</v>
      </c>
      <c r="AM191" s="7">
        <v>5</v>
      </c>
      <c r="AN191" s="7">
        <v>3</v>
      </c>
      <c r="AO191" s="7">
        <v>5</v>
      </c>
      <c r="AP191" s="7">
        <v>4</v>
      </c>
      <c r="AQ191" s="7">
        <v>1</v>
      </c>
      <c r="AR191" s="7">
        <v>0</v>
      </c>
      <c r="AS191" s="22">
        <f t="shared" si="73"/>
        <v>13</v>
      </c>
      <c r="AT191" s="22">
        <f t="shared" si="74"/>
        <v>1.4511873350923483</v>
      </c>
      <c r="AU191" s="5">
        <f t="shared" si="75"/>
        <v>11</v>
      </c>
      <c r="AV191" s="5">
        <f t="shared" si="76"/>
        <v>1.4511873350923483</v>
      </c>
      <c r="AW191" s="5">
        <f t="shared" si="77"/>
        <v>2</v>
      </c>
      <c r="AX191" s="5">
        <f t="shared" si="78"/>
        <v>0.65963060686015829</v>
      </c>
      <c r="AY191" s="5">
        <f t="shared" si="79"/>
        <v>0.39577836411609496</v>
      </c>
      <c r="AZ191" s="5">
        <f t="shared" si="80"/>
        <v>0.52770448548812665</v>
      </c>
      <c r="BA191" s="5">
        <f t="shared" si="81"/>
        <v>0.52770448548812665</v>
      </c>
      <c r="BB191" s="5">
        <f t="shared" si="82"/>
        <v>0</v>
      </c>
      <c r="BC191" s="5">
        <f t="shared" si="83"/>
        <v>0</v>
      </c>
      <c r="BD191" s="6"/>
      <c r="BE191" s="6"/>
      <c r="BF191" s="59"/>
      <c r="BG191" s="6"/>
      <c r="BH191" s="5"/>
      <c r="BI191" s="5"/>
      <c r="BJ191" s="5" t="s">
        <v>352</v>
      </c>
    </row>
    <row r="192" spans="1:62">
      <c r="A192" s="2" t="s">
        <v>347</v>
      </c>
      <c r="B192" s="3" t="s">
        <v>85</v>
      </c>
      <c r="C192" s="3" t="s">
        <v>85</v>
      </c>
      <c r="D192" s="4">
        <v>56</v>
      </c>
      <c r="E192" s="4">
        <v>88</v>
      </c>
      <c r="F192" s="4">
        <v>2011</v>
      </c>
      <c r="G192" s="39">
        <v>53</v>
      </c>
      <c r="H192" s="28">
        <v>0</v>
      </c>
      <c r="I192" s="28">
        <v>2</v>
      </c>
      <c r="J192" s="5">
        <v>2017</v>
      </c>
      <c r="K192" s="5">
        <v>2023</v>
      </c>
      <c r="L192" s="5">
        <f>(K192-J192)</f>
        <v>6</v>
      </c>
      <c r="M192" s="5">
        <v>1</v>
      </c>
      <c r="N192" s="5" t="s">
        <v>354</v>
      </c>
      <c r="O192" s="5" t="s">
        <v>35</v>
      </c>
      <c r="P192" s="5">
        <v>0</v>
      </c>
      <c r="Q192" s="5"/>
      <c r="R192" s="5" t="s">
        <v>30</v>
      </c>
      <c r="S192" s="5" t="s">
        <v>95</v>
      </c>
      <c r="T192" s="6" t="s">
        <v>84</v>
      </c>
      <c r="U192" s="6">
        <v>0</v>
      </c>
      <c r="V192" s="25">
        <v>88</v>
      </c>
      <c r="W192" s="5">
        <v>6</v>
      </c>
      <c r="X192" s="7">
        <f t="shared" si="71"/>
        <v>10</v>
      </c>
      <c r="Y192" s="22">
        <f t="shared" si="72"/>
        <v>6</v>
      </c>
      <c r="Z192" s="15">
        <f t="shared" si="88"/>
        <v>4</v>
      </c>
      <c r="AA192" s="19">
        <v>0</v>
      </c>
      <c r="AB192" s="19">
        <v>4</v>
      </c>
      <c r="AC192" s="19">
        <v>0</v>
      </c>
      <c r="AD192" s="19">
        <v>0</v>
      </c>
      <c r="AE192" s="19">
        <v>0</v>
      </c>
      <c r="AF192" s="19">
        <v>0</v>
      </c>
      <c r="AG192" s="36">
        <f t="shared" si="86"/>
        <v>1</v>
      </c>
      <c r="AH192" s="36">
        <f t="shared" si="86"/>
        <v>0</v>
      </c>
      <c r="AI192" s="36">
        <f t="shared" si="86"/>
        <v>1</v>
      </c>
      <c r="AJ192" s="36">
        <f t="shared" si="86"/>
        <v>3</v>
      </c>
      <c r="AK192" s="36">
        <f t="shared" si="86"/>
        <v>1</v>
      </c>
      <c r="AL192" s="36">
        <f t="shared" si="86"/>
        <v>1</v>
      </c>
      <c r="AM192" s="7">
        <v>1</v>
      </c>
      <c r="AN192" s="7">
        <v>4</v>
      </c>
      <c r="AO192" s="7">
        <v>1</v>
      </c>
      <c r="AP192" s="7">
        <v>3</v>
      </c>
      <c r="AQ192" s="7">
        <v>1</v>
      </c>
      <c r="AR192" s="7">
        <v>1</v>
      </c>
      <c r="AS192" s="22">
        <f t="shared" si="73"/>
        <v>10</v>
      </c>
      <c r="AT192" s="22">
        <f t="shared" si="74"/>
        <v>1</v>
      </c>
      <c r="AU192" s="5">
        <f t="shared" si="75"/>
        <v>5</v>
      </c>
      <c r="AV192" s="5">
        <f t="shared" si="76"/>
        <v>0.83333333333333337</v>
      </c>
      <c r="AW192" s="5">
        <f t="shared" si="77"/>
        <v>4</v>
      </c>
      <c r="AX192" s="5">
        <f t="shared" si="78"/>
        <v>0.16666666666666666</v>
      </c>
      <c r="AY192" s="5">
        <f t="shared" si="79"/>
        <v>0</v>
      </c>
      <c r="AZ192" s="5">
        <f t="shared" si="80"/>
        <v>0.16666666666666666</v>
      </c>
      <c r="BA192" s="5">
        <f t="shared" si="81"/>
        <v>0.5</v>
      </c>
      <c r="BB192" s="5">
        <f t="shared" si="82"/>
        <v>0.16666666666666666</v>
      </c>
      <c r="BC192" s="5">
        <f t="shared" si="83"/>
        <v>0.16666666666666666</v>
      </c>
      <c r="BD192" s="6">
        <v>1</v>
      </c>
      <c r="BE192" s="6"/>
      <c r="BF192" s="59">
        <v>1</v>
      </c>
      <c r="BG192" s="6" t="s">
        <v>355</v>
      </c>
      <c r="BH192" s="5"/>
      <c r="BI192" s="5"/>
      <c r="BJ192" s="5" t="s">
        <v>354</v>
      </c>
    </row>
    <row r="193" spans="1:62">
      <c r="A193" s="2" t="s">
        <v>347</v>
      </c>
      <c r="B193" s="3" t="s">
        <v>85</v>
      </c>
      <c r="C193" s="3" t="s">
        <v>85</v>
      </c>
      <c r="D193" s="4">
        <v>56</v>
      </c>
      <c r="E193" s="4">
        <v>88</v>
      </c>
      <c r="F193" s="4">
        <v>2011</v>
      </c>
      <c r="G193" s="39">
        <v>53</v>
      </c>
      <c r="H193" s="28">
        <v>0</v>
      </c>
      <c r="I193" s="28">
        <v>2</v>
      </c>
      <c r="J193" s="5">
        <v>2016</v>
      </c>
      <c r="K193" s="5">
        <v>2022</v>
      </c>
      <c r="L193" s="5">
        <f>(K193-J193)</f>
        <v>6</v>
      </c>
      <c r="M193" s="5">
        <v>1</v>
      </c>
      <c r="N193" s="5" t="s">
        <v>603</v>
      </c>
      <c r="O193" s="5" t="s">
        <v>35</v>
      </c>
      <c r="P193" s="5">
        <v>0</v>
      </c>
      <c r="Q193" s="5"/>
      <c r="R193" s="5" t="s">
        <v>39</v>
      </c>
      <c r="S193" s="5" t="s">
        <v>473</v>
      </c>
      <c r="T193" s="6" t="s">
        <v>84</v>
      </c>
      <c r="U193" s="6">
        <v>0</v>
      </c>
      <c r="V193" s="25">
        <v>104</v>
      </c>
      <c r="W193" s="5">
        <v>6</v>
      </c>
      <c r="X193" s="7">
        <f t="shared" si="71"/>
        <v>34</v>
      </c>
      <c r="Y193" s="22">
        <f t="shared" si="72"/>
        <v>31</v>
      </c>
      <c r="Z193" s="15">
        <f t="shared" si="88"/>
        <v>3</v>
      </c>
      <c r="AA193" s="47">
        <v>0</v>
      </c>
      <c r="AB193" s="47">
        <v>0</v>
      </c>
      <c r="AC193" s="47">
        <v>3</v>
      </c>
      <c r="AD193" s="47">
        <v>0</v>
      </c>
      <c r="AE193" s="47">
        <v>0</v>
      </c>
      <c r="AF193" s="47">
        <v>0</v>
      </c>
      <c r="AG193" s="36">
        <f t="shared" si="86"/>
        <v>10</v>
      </c>
      <c r="AH193" s="36">
        <f t="shared" si="86"/>
        <v>0</v>
      </c>
      <c r="AI193" s="36">
        <f t="shared" si="86"/>
        <v>16</v>
      </c>
      <c r="AJ193" s="36">
        <f t="shared" si="86"/>
        <v>3</v>
      </c>
      <c r="AK193" s="36">
        <f t="shared" si="86"/>
        <v>2</v>
      </c>
      <c r="AL193" s="36">
        <f t="shared" si="86"/>
        <v>10</v>
      </c>
      <c r="AM193" s="45">
        <v>10</v>
      </c>
      <c r="AN193" s="45">
        <v>0</v>
      </c>
      <c r="AO193" s="45">
        <v>19</v>
      </c>
      <c r="AP193" s="45">
        <v>3</v>
      </c>
      <c r="AQ193" s="45">
        <v>2</v>
      </c>
      <c r="AR193" s="45">
        <v>10</v>
      </c>
      <c r="AS193" s="22">
        <f t="shared" si="73"/>
        <v>34</v>
      </c>
      <c r="AT193" s="22">
        <f t="shared" si="74"/>
        <v>5.166666666666667</v>
      </c>
      <c r="AU193" s="5">
        <f t="shared" si="75"/>
        <v>21</v>
      </c>
      <c r="AV193" s="5">
        <f t="shared" si="76"/>
        <v>3.5</v>
      </c>
      <c r="AW193" s="5">
        <f t="shared" si="77"/>
        <v>3</v>
      </c>
      <c r="AX193" s="5">
        <f t="shared" si="78"/>
        <v>1.6666666666666667</v>
      </c>
      <c r="AY193" s="5">
        <f t="shared" si="79"/>
        <v>0</v>
      </c>
      <c r="AZ193" s="5">
        <f t="shared" si="80"/>
        <v>2.6666666666666665</v>
      </c>
      <c r="BA193" s="5">
        <f t="shared" si="81"/>
        <v>0.5</v>
      </c>
      <c r="BB193" s="5">
        <f t="shared" si="82"/>
        <v>0.33333333333333331</v>
      </c>
      <c r="BC193" s="5">
        <f t="shared" si="83"/>
        <v>1.6666666666666667</v>
      </c>
      <c r="BD193" s="6"/>
      <c r="BE193" s="6"/>
      <c r="BF193" s="59">
        <v>0</v>
      </c>
      <c r="BG193" s="6" t="s">
        <v>708</v>
      </c>
      <c r="BH193" s="5"/>
      <c r="BI193" s="5"/>
      <c r="BJ193" s="5" t="s">
        <v>603</v>
      </c>
    </row>
    <row r="194" spans="1:62">
      <c r="A194" s="2" t="s">
        <v>347</v>
      </c>
      <c r="B194" s="3" t="s">
        <v>85</v>
      </c>
      <c r="C194" s="3" t="s">
        <v>85</v>
      </c>
      <c r="D194" s="4">
        <v>56</v>
      </c>
      <c r="E194" s="4">
        <v>88</v>
      </c>
      <c r="F194" s="4">
        <v>2011</v>
      </c>
      <c r="G194" s="39">
        <v>53</v>
      </c>
      <c r="H194" s="28">
        <v>0</v>
      </c>
      <c r="I194" s="28">
        <v>2</v>
      </c>
      <c r="J194" s="24">
        <v>2015</v>
      </c>
      <c r="K194" s="5">
        <v>2022</v>
      </c>
      <c r="L194" s="5">
        <f>(K194-J194)</f>
        <v>7</v>
      </c>
      <c r="M194" s="5">
        <v>1</v>
      </c>
      <c r="N194" s="5" t="s">
        <v>702</v>
      </c>
      <c r="O194" s="5" t="s">
        <v>35</v>
      </c>
      <c r="P194" s="5">
        <v>0</v>
      </c>
      <c r="Q194" s="5"/>
      <c r="R194" s="5" t="s">
        <v>30</v>
      </c>
      <c r="S194" s="5" t="s">
        <v>350</v>
      </c>
      <c r="T194" s="6" t="s">
        <v>101</v>
      </c>
      <c r="U194" s="6">
        <v>0</v>
      </c>
      <c r="V194" s="25">
        <v>32</v>
      </c>
      <c r="W194" s="5">
        <v>4</v>
      </c>
      <c r="X194" s="7">
        <f t="shared" si="71"/>
        <v>11</v>
      </c>
      <c r="Y194" s="22">
        <f t="shared" si="72"/>
        <v>10</v>
      </c>
      <c r="Z194" s="15">
        <f t="shared" si="88"/>
        <v>1</v>
      </c>
      <c r="AA194" s="47">
        <v>1</v>
      </c>
      <c r="AB194" s="47">
        <v>0</v>
      </c>
      <c r="AC194" s="47">
        <v>0</v>
      </c>
      <c r="AD194" s="47">
        <v>1</v>
      </c>
      <c r="AE194" s="47">
        <v>0</v>
      </c>
      <c r="AF194" s="47">
        <v>0</v>
      </c>
      <c r="AG194" s="36">
        <f t="shared" ref="AG194:AL194" si="90">AM194-AA194</f>
        <v>5</v>
      </c>
      <c r="AH194" s="36">
        <f t="shared" si="90"/>
        <v>1</v>
      </c>
      <c r="AI194" s="36">
        <f t="shared" si="90"/>
        <v>7</v>
      </c>
      <c r="AJ194" s="36">
        <f t="shared" si="90"/>
        <v>2</v>
      </c>
      <c r="AK194" s="36">
        <f t="shared" si="90"/>
        <v>0</v>
      </c>
      <c r="AL194" s="36">
        <f t="shared" si="90"/>
        <v>0</v>
      </c>
      <c r="AM194" s="45">
        <v>6</v>
      </c>
      <c r="AN194" s="45">
        <v>1</v>
      </c>
      <c r="AO194" s="45">
        <v>7</v>
      </c>
      <c r="AP194" s="45">
        <v>3</v>
      </c>
      <c r="AQ194" s="45">
        <v>0</v>
      </c>
      <c r="AR194" s="45">
        <v>0</v>
      </c>
      <c r="AS194" s="22">
        <f t="shared" si="73"/>
        <v>11</v>
      </c>
      <c r="AT194" s="22">
        <f t="shared" si="74"/>
        <v>1.4285714285714286</v>
      </c>
      <c r="AU194" s="5">
        <f t="shared" si="75"/>
        <v>10</v>
      </c>
      <c r="AV194" s="5">
        <f t="shared" si="76"/>
        <v>1.4285714285714286</v>
      </c>
      <c r="AW194" s="5">
        <f t="shared" si="77"/>
        <v>1</v>
      </c>
      <c r="AX194" s="5">
        <f t="shared" si="78"/>
        <v>0.7142857142857143</v>
      </c>
      <c r="AY194" s="5">
        <f t="shared" si="79"/>
        <v>0.14285714285714285</v>
      </c>
      <c r="AZ194" s="5">
        <f t="shared" si="80"/>
        <v>1</v>
      </c>
      <c r="BA194" s="5">
        <f t="shared" si="81"/>
        <v>0.2857142857142857</v>
      </c>
      <c r="BB194" s="5">
        <f t="shared" si="82"/>
        <v>0</v>
      </c>
      <c r="BC194" s="5">
        <f t="shared" si="83"/>
        <v>0</v>
      </c>
      <c r="BD194" s="6"/>
      <c r="BE194" s="6"/>
      <c r="BF194" s="59">
        <v>1</v>
      </c>
      <c r="BG194" s="6" t="s">
        <v>355</v>
      </c>
      <c r="BH194" s="5"/>
      <c r="BI194" s="5"/>
      <c r="BJ194" s="5" t="s">
        <v>702</v>
      </c>
    </row>
    <row r="195" spans="1:62">
      <c r="A195" s="2" t="s">
        <v>356</v>
      </c>
      <c r="B195" s="3" t="s">
        <v>85</v>
      </c>
      <c r="C195" s="4" t="s">
        <v>33</v>
      </c>
      <c r="D195" s="4">
        <v>62</v>
      </c>
      <c r="E195" s="4">
        <v>74</v>
      </c>
      <c r="F195" s="4">
        <v>2009</v>
      </c>
      <c r="G195" s="39">
        <v>16</v>
      </c>
      <c r="H195" s="28">
        <v>0</v>
      </c>
      <c r="I195" s="28">
        <v>2</v>
      </c>
      <c r="J195" s="5">
        <v>2021</v>
      </c>
      <c r="K195" s="5">
        <v>2024</v>
      </c>
      <c r="L195" s="5">
        <f>(K195-J195)-0.42</f>
        <v>2.58</v>
      </c>
      <c r="M195" s="5">
        <v>0</v>
      </c>
      <c r="N195" s="5" t="s">
        <v>519</v>
      </c>
      <c r="O195" s="5" t="s">
        <v>28</v>
      </c>
      <c r="P195" s="5">
        <v>0</v>
      </c>
      <c r="Q195" s="5"/>
      <c r="R195" s="5" t="s">
        <v>30</v>
      </c>
      <c r="S195" s="5" t="s">
        <v>340</v>
      </c>
      <c r="T195" s="6" t="s">
        <v>84</v>
      </c>
      <c r="U195" s="6">
        <v>0</v>
      </c>
      <c r="V195" s="25">
        <v>48</v>
      </c>
      <c r="W195" s="5">
        <v>3</v>
      </c>
      <c r="X195" s="7">
        <f t="shared" si="71"/>
        <v>8</v>
      </c>
      <c r="Y195" s="22">
        <f t="shared" si="72"/>
        <v>4</v>
      </c>
      <c r="Z195" s="15">
        <f t="shared" si="88"/>
        <v>4</v>
      </c>
      <c r="AA195" s="47">
        <v>3</v>
      </c>
      <c r="AB195" s="47">
        <v>0</v>
      </c>
      <c r="AC195" s="47">
        <v>2</v>
      </c>
      <c r="AD195" s="47">
        <v>2</v>
      </c>
      <c r="AE195" s="47">
        <v>0</v>
      </c>
      <c r="AF195" s="47">
        <v>0</v>
      </c>
      <c r="AG195" s="36">
        <f t="shared" si="86"/>
        <v>1</v>
      </c>
      <c r="AH195" s="36">
        <f t="shared" si="86"/>
        <v>1</v>
      </c>
      <c r="AI195" s="36">
        <f t="shared" si="86"/>
        <v>2</v>
      </c>
      <c r="AJ195" s="36">
        <f t="shared" si="86"/>
        <v>1</v>
      </c>
      <c r="AK195" s="36">
        <f t="shared" si="86"/>
        <v>0</v>
      </c>
      <c r="AL195" s="36">
        <f t="shared" si="86"/>
        <v>0</v>
      </c>
      <c r="AM195" s="45">
        <v>4</v>
      </c>
      <c r="AN195" s="45">
        <v>1</v>
      </c>
      <c r="AO195" s="45">
        <v>4</v>
      </c>
      <c r="AP195" s="45">
        <v>3</v>
      </c>
      <c r="AQ195" s="45">
        <v>0</v>
      </c>
      <c r="AR195" s="45">
        <v>0</v>
      </c>
      <c r="AS195" s="22">
        <f t="shared" si="73"/>
        <v>8</v>
      </c>
      <c r="AT195" s="22">
        <f t="shared" si="74"/>
        <v>1.5503875968992247</v>
      </c>
      <c r="AU195" s="5">
        <f t="shared" si="75"/>
        <v>4</v>
      </c>
      <c r="AV195" s="5">
        <f t="shared" si="76"/>
        <v>1.5503875968992247</v>
      </c>
      <c r="AW195" s="5">
        <f t="shared" si="77"/>
        <v>4</v>
      </c>
      <c r="AX195" s="5">
        <f t="shared" si="78"/>
        <v>0.38759689922480617</v>
      </c>
      <c r="AY195" s="5">
        <f t="shared" si="79"/>
        <v>0.38759689922480617</v>
      </c>
      <c r="AZ195" s="5">
        <f t="shared" si="80"/>
        <v>0.77519379844961234</v>
      </c>
      <c r="BA195" s="5">
        <f t="shared" si="81"/>
        <v>0.38759689922480617</v>
      </c>
      <c r="BB195" s="5">
        <f t="shared" si="82"/>
        <v>0</v>
      </c>
      <c r="BC195" s="5">
        <f t="shared" si="83"/>
        <v>0</v>
      </c>
      <c r="BD195" s="6"/>
      <c r="BE195" s="6"/>
      <c r="BF195" s="59"/>
      <c r="BG195" s="6"/>
      <c r="BH195" s="5"/>
      <c r="BI195" s="5"/>
      <c r="BJ195" s="5" t="s">
        <v>519</v>
      </c>
    </row>
    <row r="196" spans="1:62">
      <c r="A196" s="2" t="s">
        <v>356</v>
      </c>
      <c r="B196" s="3" t="s">
        <v>85</v>
      </c>
      <c r="C196" s="4" t="s">
        <v>33</v>
      </c>
      <c r="D196" s="4">
        <v>62</v>
      </c>
      <c r="E196" s="4">
        <v>74</v>
      </c>
      <c r="F196" s="4">
        <v>2009</v>
      </c>
      <c r="G196" s="39">
        <v>16</v>
      </c>
      <c r="H196" s="28">
        <v>0</v>
      </c>
      <c r="I196" s="28">
        <v>2</v>
      </c>
      <c r="J196" s="5">
        <v>2018</v>
      </c>
      <c r="K196" s="5">
        <v>2024</v>
      </c>
      <c r="L196" s="5">
        <f>(K196-J196)-0.42</f>
        <v>5.58</v>
      </c>
      <c r="M196" s="5">
        <v>0</v>
      </c>
      <c r="N196" s="5" t="s">
        <v>520</v>
      </c>
      <c r="O196" s="5" t="s">
        <v>35</v>
      </c>
      <c r="P196" s="5">
        <v>0</v>
      </c>
      <c r="Q196" s="5"/>
      <c r="R196" s="5" t="s">
        <v>30</v>
      </c>
      <c r="S196" s="5" t="s">
        <v>521</v>
      </c>
      <c r="T196" s="6" t="s">
        <v>84</v>
      </c>
      <c r="U196" s="6">
        <v>0</v>
      </c>
      <c r="V196" s="25">
        <v>106</v>
      </c>
      <c r="W196" s="5">
        <v>0</v>
      </c>
      <c r="X196" s="7">
        <f t="shared" ref="X196:X259" si="91">SUM(Y196:Z196)</f>
        <v>1</v>
      </c>
      <c r="Y196" s="22">
        <f t="shared" ref="Y196:Y259" si="92">AS196-Z196</f>
        <v>1</v>
      </c>
      <c r="Z196" s="15">
        <f t="shared" si="88"/>
        <v>0</v>
      </c>
      <c r="AA196" s="47">
        <v>0</v>
      </c>
      <c r="AB196" s="47">
        <v>0</v>
      </c>
      <c r="AC196" s="47">
        <v>0</v>
      </c>
      <c r="AD196" s="47">
        <v>0</v>
      </c>
      <c r="AE196" s="47">
        <v>0</v>
      </c>
      <c r="AF196" s="47">
        <v>0</v>
      </c>
      <c r="AG196" s="36">
        <f t="shared" si="86"/>
        <v>1</v>
      </c>
      <c r="AH196" s="36">
        <f t="shared" si="86"/>
        <v>0</v>
      </c>
      <c r="AI196" s="36">
        <f t="shared" si="86"/>
        <v>0</v>
      </c>
      <c r="AJ196" s="36">
        <f t="shared" si="86"/>
        <v>1</v>
      </c>
      <c r="AK196" s="36">
        <f t="shared" si="86"/>
        <v>0</v>
      </c>
      <c r="AL196" s="36">
        <f t="shared" si="86"/>
        <v>0</v>
      </c>
      <c r="AM196" s="45">
        <v>1</v>
      </c>
      <c r="AN196" s="45">
        <v>0</v>
      </c>
      <c r="AO196" s="45">
        <v>0</v>
      </c>
      <c r="AP196" s="45">
        <v>1</v>
      </c>
      <c r="AQ196" s="45">
        <v>0</v>
      </c>
      <c r="AR196" s="45">
        <v>0</v>
      </c>
      <c r="AS196" s="22">
        <f t="shared" ref="AS196:AS197" si="93">AN196+AO196+AP196+AQ196+AR196</f>
        <v>1</v>
      </c>
      <c r="AT196" s="22">
        <f t="shared" ref="AT196:AT259" si="94">Y196/L196</f>
        <v>0.17921146953405018</v>
      </c>
      <c r="AU196" s="5">
        <f t="shared" si="75"/>
        <v>1</v>
      </c>
      <c r="AV196" s="5">
        <f t="shared" si="76"/>
        <v>0.17921146953405018</v>
      </c>
      <c r="AW196" s="5">
        <f t="shared" si="77"/>
        <v>0</v>
      </c>
      <c r="AX196" s="5">
        <f t="shared" si="78"/>
        <v>0.17921146953405018</v>
      </c>
      <c r="AY196" s="5">
        <f t="shared" si="79"/>
        <v>0</v>
      </c>
      <c r="AZ196" s="5">
        <f t="shared" si="80"/>
        <v>0</v>
      </c>
      <c r="BA196" s="5">
        <f t="shared" si="81"/>
        <v>0.17921146953405018</v>
      </c>
      <c r="BB196" s="5">
        <f t="shared" si="82"/>
        <v>0</v>
      </c>
      <c r="BC196" s="5">
        <f t="shared" si="83"/>
        <v>0</v>
      </c>
      <c r="BD196" s="6"/>
      <c r="BE196" s="6"/>
      <c r="BF196" s="59"/>
      <c r="BG196" s="6"/>
      <c r="BH196" s="5"/>
      <c r="BI196" s="5"/>
      <c r="BJ196" s="5" t="s">
        <v>520</v>
      </c>
    </row>
    <row r="197" spans="1:62">
      <c r="A197" s="2" t="s">
        <v>356</v>
      </c>
      <c r="B197" s="3" t="s">
        <v>85</v>
      </c>
      <c r="C197" s="4" t="s">
        <v>33</v>
      </c>
      <c r="D197" s="4">
        <v>62</v>
      </c>
      <c r="E197" s="4">
        <v>74</v>
      </c>
      <c r="F197" s="4">
        <v>2009</v>
      </c>
      <c r="G197" s="39">
        <v>16</v>
      </c>
      <c r="H197" s="28">
        <v>0</v>
      </c>
      <c r="I197" s="28">
        <v>2</v>
      </c>
      <c r="J197" s="5">
        <v>2020</v>
      </c>
      <c r="K197" s="5">
        <v>2024</v>
      </c>
      <c r="L197" s="5">
        <f>(K197-J197)-0.42</f>
        <v>3.58</v>
      </c>
      <c r="M197" s="5">
        <v>0</v>
      </c>
      <c r="N197" s="5" t="s">
        <v>627</v>
      </c>
      <c r="O197" s="5" t="s">
        <v>35</v>
      </c>
      <c r="P197" s="5">
        <v>0</v>
      </c>
      <c r="Q197" s="5"/>
      <c r="R197" s="5" t="s">
        <v>30</v>
      </c>
      <c r="S197" s="5" t="s">
        <v>489</v>
      </c>
      <c r="T197" s="6" t="s">
        <v>218</v>
      </c>
      <c r="U197" s="6">
        <v>0</v>
      </c>
      <c r="V197" s="25">
        <v>13</v>
      </c>
      <c r="W197" s="6">
        <v>0</v>
      </c>
      <c r="X197" s="7">
        <f t="shared" si="91"/>
        <v>3</v>
      </c>
      <c r="Y197" s="22">
        <f t="shared" si="92"/>
        <v>3</v>
      </c>
      <c r="Z197" s="15">
        <f t="shared" si="88"/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36">
        <f t="shared" si="86"/>
        <v>1</v>
      </c>
      <c r="AH197" s="36">
        <v>0</v>
      </c>
      <c r="AI197" s="36">
        <f t="shared" si="86"/>
        <v>1</v>
      </c>
      <c r="AJ197" s="36">
        <f t="shared" si="86"/>
        <v>1</v>
      </c>
      <c r="AK197" s="36">
        <f t="shared" si="86"/>
        <v>0</v>
      </c>
      <c r="AL197" s="36">
        <f t="shared" si="86"/>
        <v>1</v>
      </c>
      <c r="AM197" s="7">
        <v>1</v>
      </c>
      <c r="AN197" s="7">
        <v>0</v>
      </c>
      <c r="AO197" s="7">
        <v>1</v>
      </c>
      <c r="AP197" s="7">
        <v>1</v>
      </c>
      <c r="AQ197" s="7">
        <v>0</v>
      </c>
      <c r="AR197" s="7">
        <v>1</v>
      </c>
      <c r="AS197" s="22">
        <f t="shared" si="93"/>
        <v>3</v>
      </c>
      <c r="AT197" s="22">
        <f t="shared" si="94"/>
        <v>0.83798882681564246</v>
      </c>
      <c r="AU197" s="5">
        <f t="shared" si="75"/>
        <v>2</v>
      </c>
      <c r="AV197" s="5">
        <f t="shared" si="76"/>
        <v>0.55865921787709494</v>
      </c>
      <c r="AW197" s="5">
        <f t="shared" si="77"/>
        <v>0</v>
      </c>
      <c r="AX197" s="5">
        <f t="shared" si="78"/>
        <v>0.27932960893854747</v>
      </c>
      <c r="AY197" s="5">
        <f t="shared" si="79"/>
        <v>0</v>
      </c>
      <c r="AZ197" s="5">
        <f t="shared" si="80"/>
        <v>0.27932960893854747</v>
      </c>
      <c r="BA197" s="5">
        <f t="shared" si="81"/>
        <v>0.27932960893854747</v>
      </c>
      <c r="BB197" s="5">
        <f t="shared" si="82"/>
        <v>0</v>
      </c>
      <c r="BC197" s="5">
        <f t="shared" si="83"/>
        <v>0.27932960893854747</v>
      </c>
      <c r="BD197" s="6"/>
      <c r="BE197" s="6"/>
      <c r="BF197" s="59"/>
      <c r="BG197" s="6"/>
      <c r="BH197" s="5"/>
      <c r="BI197" s="5"/>
      <c r="BJ197" s="5" t="s">
        <v>627</v>
      </c>
    </row>
    <row r="198" spans="1:62">
      <c r="A198" s="2" t="s">
        <v>356</v>
      </c>
      <c r="B198" s="3" t="s">
        <v>85</v>
      </c>
      <c r="C198" s="4" t="s">
        <v>33</v>
      </c>
      <c r="D198" s="4">
        <v>62</v>
      </c>
      <c r="E198" s="4">
        <v>74</v>
      </c>
      <c r="F198" s="4">
        <v>2009</v>
      </c>
      <c r="G198" s="39">
        <v>16</v>
      </c>
      <c r="H198" s="28">
        <v>0</v>
      </c>
      <c r="I198" s="28">
        <v>2</v>
      </c>
      <c r="J198" s="5">
        <v>2015</v>
      </c>
      <c r="K198" s="5">
        <v>2021</v>
      </c>
      <c r="L198" s="5">
        <f>(K198-J198)</f>
        <v>6</v>
      </c>
      <c r="M198" s="5">
        <v>1</v>
      </c>
      <c r="N198" s="5" t="s">
        <v>628</v>
      </c>
      <c r="O198" s="5" t="s">
        <v>28</v>
      </c>
      <c r="P198" s="5">
        <v>0</v>
      </c>
      <c r="Q198" s="5"/>
      <c r="R198" s="5" t="s">
        <v>30</v>
      </c>
      <c r="S198" s="5" t="s">
        <v>162</v>
      </c>
      <c r="T198" s="6" t="s">
        <v>37</v>
      </c>
      <c r="U198" s="6">
        <v>0</v>
      </c>
      <c r="V198" s="25">
        <v>30</v>
      </c>
      <c r="W198" s="5">
        <v>3</v>
      </c>
      <c r="X198" s="7">
        <f t="shared" si="91"/>
        <v>3</v>
      </c>
      <c r="Y198" s="22">
        <f t="shared" si="92"/>
        <v>2</v>
      </c>
      <c r="Z198" s="15">
        <f t="shared" si="88"/>
        <v>1</v>
      </c>
      <c r="AA198" s="19">
        <v>0</v>
      </c>
      <c r="AB198" s="19">
        <v>0</v>
      </c>
      <c r="AC198" s="19">
        <v>1</v>
      </c>
      <c r="AD198" s="19">
        <v>0</v>
      </c>
      <c r="AE198" s="19">
        <v>0</v>
      </c>
      <c r="AF198" s="19">
        <v>0</v>
      </c>
      <c r="AG198" s="36">
        <f t="shared" si="86"/>
        <v>0</v>
      </c>
      <c r="AH198" s="36">
        <f t="shared" si="86"/>
        <v>0</v>
      </c>
      <c r="AI198" s="36">
        <f t="shared" si="86"/>
        <v>2</v>
      </c>
      <c r="AJ198" s="36">
        <f t="shared" si="86"/>
        <v>0</v>
      </c>
      <c r="AK198" s="36">
        <f t="shared" si="86"/>
        <v>0</v>
      </c>
      <c r="AL198" s="36">
        <f t="shared" si="86"/>
        <v>0</v>
      </c>
      <c r="AM198" s="7">
        <v>0</v>
      </c>
      <c r="AN198" s="7">
        <v>0</v>
      </c>
      <c r="AO198" s="7">
        <v>3</v>
      </c>
      <c r="AP198" s="7">
        <v>0</v>
      </c>
      <c r="AQ198" s="7">
        <v>0</v>
      </c>
      <c r="AR198" s="7">
        <v>0</v>
      </c>
      <c r="AS198" s="22">
        <f t="shared" ref="AS198:AS259" si="95">AN198+AO198+AP198+AQ198+AR198</f>
        <v>3</v>
      </c>
      <c r="AT198" s="22">
        <f t="shared" si="94"/>
        <v>0.33333333333333331</v>
      </c>
      <c r="AU198" s="5">
        <f t="shared" ref="AU198:AU261" si="96">Y198-AL198</f>
        <v>2</v>
      </c>
      <c r="AV198" s="5">
        <f t="shared" ref="AV198:AV261" si="97">AU198/L198</f>
        <v>0.33333333333333331</v>
      </c>
      <c r="AW198" s="5">
        <f t="shared" ref="AW198:AW261" si="98">Z198-AF198</f>
        <v>1</v>
      </c>
      <c r="AX198" s="5">
        <f t="shared" ref="AX198:AX261" si="99">AG198/L198</f>
        <v>0</v>
      </c>
      <c r="AY198" s="5">
        <f t="shared" ref="AY198:AY261" si="100">AH198/L198</f>
        <v>0</v>
      </c>
      <c r="AZ198" s="5">
        <f t="shared" ref="AZ198:AZ261" si="101">AI198/L198</f>
        <v>0.33333333333333331</v>
      </c>
      <c r="BA198" s="5">
        <f t="shared" ref="BA198:BA261" si="102">AJ198/L198</f>
        <v>0</v>
      </c>
      <c r="BB198" s="5">
        <f t="shared" ref="BB198:BB261" si="103">AK198/L198</f>
        <v>0</v>
      </c>
      <c r="BC198" s="5">
        <f t="shared" ref="BC198:BC261" si="104">AL198/L198</f>
        <v>0</v>
      </c>
      <c r="BD198" s="6">
        <v>0</v>
      </c>
      <c r="BE198" s="6"/>
      <c r="BF198" s="59">
        <v>0</v>
      </c>
      <c r="BG198" s="6" t="s">
        <v>709</v>
      </c>
      <c r="BH198" s="5"/>
      <c r="BI198" s="5"/>
      <c r="BJ198" s="5" t="s">
        <v>628</v>
      </c>
    </row>
    <row r="199" spans="1:62">
      <c r="A199" s="2" t="s">
        <v>356</v>
      </c>
      <c r="B199" s="4" t="s">
        <v>85</v>
      </c>
      <c r="C199" s="4" t="s">
        <v>33</v>
      </c>
      <c r="D199" s="4">
        <v>62</v>
      </c>
      <c r="E199" s="4">
        <v>74</v>
      </c>
      <c r="F199" s="4">
        <v>2009</v>
      </c>
      <c r="G199" s="39">
        <v>16</v>
      </c>
      <c r="H199" s="28">
        <v>0</v>
      </c>
      <c r="I199" s="28">
        <v>2</v>
      </c>
      <c r="J199" s="6">
        <v>2019</v>
      </c>
      <c r="K199" s="5">
        <v>2024</v>
      </c>
      <c r="L199" s="5">
        <f t="shared" ref="L199:L206" si="105">(K199-J199)-0.42</f>
        <v>4.58</v>
      </c>
      <c r="M199" s="5">
        <v>0</v>
      </c>
      <c r="N199" s="11" t="s">
        <v>357</v>
      </c>
      <c r="O199" s="6" t="s">
        <v>35</v>
      </c>
      <c r="P199" s="6">
        <v>0</v>
      </c>
      <c r="Q199" s="6"/>
      <c r="R199" s="6" t="s">
        <v>30</v>
      </c>
      <c r="S199" s="6" t="s">
        <v>358</v>
      </c>
      <c r="T199" s="6" t="s">
        <v>84</v>
      </c>
      <c r="U199" s="6">
        <v>0</v>
      </c>
      <c r="V199" s="25">
        <v>48</v>
      </c>
      <c r="W199" s="6">
        <v>3</v>
      </c>
      <c r="X199" s="7">
        <f t="shared" si="91"/>
        <v>8</v>
      </c>
      <c r="Y199" s="22">
        <f t="shared" si="92"/>
        <v>6</v>
      </c>
      <c r="Z199" s="15">
        <f t="shared" si="88"/>
        <v>2</v>
      </c>
      <c r="AA199" s="19">
        <v>0</v>
      </c>
      <c r="AB199" s="19">
        <v>1</v>
      </c>
      <c r="AC199" s="19">
        <v>0</v>
      </c>
      <c r="AD199" s="19">
        <v>1</v>
      </c>
      <c r="AE199" s="19">
        <v>0</v>
      </c>
      <c r="AF199" s="19">
        <v>0</v>
      </c>
      <c r="AG199" s="36">
        <f t="shared" si="86"/>
        <v>3</v>
      </c>
      <c r="AH199" s="36">
        <f t="shared" si="86"/>
        <v>0</v>
      </c>
      <c r="AI199" s="36">
        <f t="shared" si="86"/>
        <v>3</v>
      </c>
      <c r="AJ199" s="36">
        <f t="shared" si="86"/>
        <v>0</v>
      </c>
      <c r="AK199" s="36">
        <f t="shared" si="86"/>
        <v>1</v>
      </c>
      <c r="AL199" s="36">
        <f t="shared" si="86"/>
        <v>2</v>
      </c>
      <c r="AM199" s="7">
        <v>3</v>
      </c>
      <c r="AN199" s="7">
        <v>1</v>
      </c>
      <c r="AO199" s="7">
        <v>3</v>
      </c>
      <c r="AP199" s="7">
        <v>1</v>
      </c>
      <c r="AQ199" s="7">
        <v>1</v>
      </c>
      <c r="AR199" s="7">
        <v>2</v>
      </c>
      <c r="AS199" s="22">
        <f t="shared" si="95"/>
        <v>8</v>
      </c>
      <c r="AT199" s="22">
        <f t="shared" si="94"/>
        <v>1.3100436681222707</v>
      </c>
      <c r="AU199" s="5">
        <f t="shared" si="96"/>
        <v>4</v>
      </c>
      <c r="AV199" s="5">
        <f t="shared" si="97"/>
        <v>0.8733624454148472</v>
      </c>
      <c r="AW199" s="5">
        <f t="shared" si="98"/>
        <v>2</v>
      </c>
      <c r="AX199" s="5">
        <f t="shared" si="99"/>
        <v>0.65502183406113534</v>
      </c>
      <c r="AY199" s="5">
        <f t="shared" si="100"/>
        <v>0</v>
      </c>
      <c r="AZ199" s="5">
        <f t="shared" si="101"/>
        <v>0.65502183406113534</v>
      </c>
      <c r="BA199" s="5">
        <f t="shared" si="102"/>
        <v>0</v>
      </c>
      <c r="BB199" s="5">
        <f t="shared" si="103"/>
        <v>0.2183406113537118</v>
      </c>
      <c r="BC199" s="5">
        <f t="shared" si="104"/>
        <v>0.4366812227074236</v>
      </c>
      <c r="BD199" s="6"/>
      <c r="BE199" s="6"/>
      <c r="BF199" s="59"/>
      <c r="BG199" s="6"/>
      <c r="BH199" s="6"/>
      <c r="BI199" s="6"/>
      <c r="BJ199" s="11" t="s">
        <v>357</v>
      </c>
    </row>
    <row r="200" spans="1:62">
      <c r="A200" s="2" t="s">
        <v>359</v>
      </c>
      <c r="B200" s="4" t="s">
        <v>85</v>
      </c>
      <c r="C200" s="4" t="s">
        <v>33</v>
      </c>
      <c r="D200" s="4">
        <v>62</v>
      </c>
      <c r="E200" s="4">
        <v>74</v>
      </c>
      <c r="F200" s="4">
        <v>2009</v>
      </c>
      <c r="G200" s="39">
        <v>16</v>
      </c>
      <c r="H200" s="28">
        <v>0</v>
      </c>
      <c r="I200" s="28">
        <v>2</v>
      </c>
      <c r="J200" s="6">
        <v>2022</v>
      </c>
      <c r="K200" s="5">
        <v>2024</v>
      </c>
      <c r="L200" s="5">
        <f t="shared" si="105"/>
        <v>1.58</v>
      </c>
      <c r="M200" s="5">
        <v>0</v>
      </c>
      <c r="N200" s="6" t="s">
        <v>360</v>
      </c>
      <c r="O200" s="6" t="s">
        <v>35</v>
      </c>
      <c r="P200" s="6">
        <v>0</v>
      </c>
      <c r="Q200" s="6"/>
      <c r="R200" s="6" t="s">
        <v>30</v>
      </c>
      <c r="S200" s="10" t="s">
        <v>361</v>
      </c>
      <c r="T200" s="6" t="s">
        <v>84</v>
      </c>
      <c r="U200" s="6">
        <v>0</v>
      </c>
      <c r="V200" s="25">
        <v>114</v>
      </c>
      <c r="W200" s="6">
        <v>4</v>
      </c>
      <c r="X200" s="7">
        <f t="shared" si="91"/>
        <v>27</v>
      </c>
      <c r="Y200" s="22">
        <f t="shared" si="92"/>
        <v>7</v>
      </c>
      <c r="Z200" s="15">
        <f t="shared" si="88"/>
        <v>20</v>
      </c>
      <c r="AA200" s="19">
        <v>2</v>
      </c>
      <c r="AB200" s="19">
        <v>4</v>
      </c>
      <c r="AC200" s="19">
        <v>14</v>
      </c>
      <c r="AD200" s="19">
        <v>1</v>
      </c>
      <c r="AE200" s="19">
        <v>0</v>
      </c>
      <c r="AF200" s="19">
        <v>1</v>
      </c>
      <c r="AG200" s="36">
        <f t="shared" si="86"/>
        <v>4</v>
      </c>
      <c r="AH200" s="36">
        <f t="shared" si="86"/>
        <v>0</v>
      </c>
      <c r="AI200" s="36">
        <f t="shared" si="86"/>
        <v>2</v>
      </c>
      <c r="AJ200" s="36">
        <f t="shared" si="86"/>
        <v>3</v>
      </c>
      <c r="AK200" s="36">
        <f t="shared" si="86"/>
        <v>2</v>
      </c>
      <c r="AL200" s="36">
        <f t="shared" si="86"/>
        <v>0</v>
      </c>
      <c r="AM200" s="7">
        <v>6</v>
      </c>
      <c r="AN200" s="7">
        <v>4</v>
      </c>
      <c r="AO200" s="7">
        <v>16</v>
      </c>
      <c r="AP200" s="7">
        <v>4</v>
      </c>
      <c r="AQ200" s="7">
        <v>2</v>
      </c>
      <c r="AR200" s="7">
        <v>1</v>
      </c>
      <c r="AS200" s="22">
        <f t="shared" si="95"/>
        <v>27</v>
      </c>
      <c r="AT200" s="22">
        <f t="shared" si="94"/>
        <v>4.4303797468354427</v>
      </c>
      <c r="AU200" s="5">
        <f t="shared" si="96"/>
        <v>7</v>
      </c>
      <c r="AV200" s="5">
        <f t="shared" si="97"/>
        <v>4.4303797468354427</v>
      </c>
      <c r="AW200" s="5">
        <f t="shared" si="98"/>
        <v>19</v>
      </c>
      <c r="AX200" s="5">
        <f t="shared" si="99"/>
        <v>2.5316455696202529</v>
      </c>
      <c r="AY200" s="5">
        <f t="shared" si="100"/>
        <v>0</v>
      </c>
      <c r="AZ200" s="5">
        <f t="shared" si="101"/>
        <v>1.2658227848101264</v>
      </c>
      <c r="BA200" s="5">
        <f t="shared" si="102"/>
        <v>1.8987341772151898</v>
      </c>
      <c r="BB200" s="5">
        <f t="shared" si="103"/>
        <v>1.2658227848101264</v>
      </c>
      <c r="BC200" s="5">
        <f t="shared" si="104"/>
        <v>0</v>
      </c>
      <c r="BD200" s="6"/>
      <c r="BE200" s="6"/>
      <c r="BF200" s="59"/>
      <c r="BG200" s="6"/>
      <c r="BH200" s="6"/>
      <c r="BI200" s="6"/>
      <c r="BJ200" s="6" t="s">
        <v>360</v>
      </c>
    </row>
    <row r="201" spans="1:62">
      <c r="A201" s="2" t="s">
        <v>362</v>
      </c>
      <c r="B201" s="4" t="s">
        <v>33</v>
      </c>
      <c r="C201" s="4" t="s">
        <v>32</v>
      </c>
      <c r="D201" s="4">
        <v>35</v>
      </c>
      <c r="E201" s="4">
        <v>74</v>
      </c>
      <c r="F201" s="6">
        <v>2020</v>
      </c>
      <c r="G201" s="39">
        <v>37</v>
      </c>
      <c r="H201" s="28">
        <v>0</v>
      </c>
      <c r="I201" s="28">
        <v>2</v>
      </c>
      <c r="J201" s="12">
        <v>2022</v>
      </c>
      <c r="K201" s="5">
        <v>2024</v>
      </c>
      <c r="L201" s="5">
        <f t="shared" si="105"/>
        <v>1.58</v>
      </c>
      <c r="M201" s="5">
        <v>0</v>
      </c>
      <c r="N201" s="12" t="s">
        <v>363</v>
      </c>
      <c r="O201" s="12" t="s">
        <v>35</v>
      </c>
      <c r="P201" s="12">
        <v>0</v>
      </c>
      <c r="Q201" s="12"/>
      <c r="R201" s="12" t="s">
        <v>30</v>
      </c>
      <c r="S201" s="6" t="s">
        <v>55</v>
      </c>
      <c r="T201" s="6" t="s">
        <v>218</v>
      </c>
      <c r="U201" s="6" t="s">
        <v>559</v>
      </c>
      <c r="V201" s="25">
        <v>5</v>
      </c>
      <c r="W201" s="12">
        <v>2</v>
      </c>
      <c r="X201" s="7">
        <f t="shared" si="91"/>
        <v>9</v>
      </c>
      <c r="Y201" s="22">
        <f t="shared" si="92"/>
        <v>4</v>
      </c>
      <c r="Z201" s="15">
        <f t="shared" si="88"/>
        <v>5</v>
      </c>
      <c r="AA201" s="19">
        <v>3</v>
      </c>
      <c r="AB201" s="19">
        <v>0</v>
      </c>
      <c r="AC201" s="19">
        <v>4</v>
      </c>
      <c r="AD201" s="19">
        <v>1</v>
      </c>
      <c r="AE201" s="19">
        <v>0</v>
      </c>
      <c r="AF201" s="19">
        <v>0</v>
      </c>
      <c r="AG201" s="36">
        <f t="shared" si="86"/>
        <v>1</v>
      </c>
      <c r="AH201" s="36">
        <f t="shared" si="86"/>
        <v>1</v>
      </c>
      <c r="AI201" s="36">
        <f t="shared" si="86"/>
        <v>3</v>
      </c>
      <c r="AJ201" s="36">
        <f t="shared" si="86"/>
        <v>0</v>
      </c>
      <c r="AK201" s="36">
        <f t="shared" si="86"/>
        <v>0</v>
      </c>
      <c r="AL201" s="36">
        <f t="shared" si="86"/>
        <v>0</v>
      </c>
      <c r="AM201" s="7">
        <v>4</v>
      </c>
      <c r="AN201" s="7">
        <v>1</v>
      </c>
      <c r="AO201" s="7">
        <v>7</v>
      </c>
      <c r="AP201" s="7">
        <v>1</v>
      </c>
      <c r="AQ201" s="7">
        <v>0</v>
      </c>
      <c r="AR201" s="7">
        <v>0</v>
      </c>
      <c r="AS201" s="22">
        <f t="shared" si="95"/>
        <v>9</v>
      </c>
      <c r="AT201" s="22">
        <f t="shared" si="94"/>
        <v>2.5316455696202529</v>
      </c>
      <c r="AU201" s="5">
        <f t="shared" si="96"/>
        <v>4</v>
      </c>
      <c r="AV201" s="5">
        <f t="shared" si="97"/>
        <v>2.5316455696202529</v>
      </c>
      <c r="AW201" s="5">
        <f t="shared" si="98"/>
        <v>5</v>
      </c>
      <c r="AX201" s="5">
        <f t="shared" si="99"/>
        <v>0.63291139240506322</v>
      </c>
      <c r="AY201" s="5">
        <f t="shared" si="100"/>
        <v>0.63291139240506322</v>
      </c>
      <c r="AZ201" s="5">
        <f t="shared" si="101"/>
        <v>1.8987341772151898</v>
      </c>
      <c r="BA201" s="5">
        <f t="shared" si="102"/>
        <v>0</v>
      </c>
      <c r="BB201" s="5">
        <f t="shared" si="103"/>
        <v>0</v>
      </c>
      <c r="BC201" s="5">
        <f t="shared" si="104"/>
        <v>0</v>
      </c>
      <c r="BD201" s="6"/>
      <c r="BE201" s="6"/>
      <c r="BF201" s="59"/>
      <c r="BG201" s="6"/>
      <c r="BH201" s="12"/>
      <c r="BI201" s="12"/>
      <c r="BJ201" s="12" t="s">
        <v>363</v>
      </c>
    </row>
    <row r="202" spans="1:62">
      <c r="A202" s="2" t="s">
        <v>362</v>
      </c>
      <c r="B202" s="4" t="s">
        <v>33</v>
      </c>
      <c r="C202" s="4" t="s">
        <v>32</v>
      </c>
      <c r="D202" s="4">
        <v>35</v>
      </c>
      <c r="E202" s="4">
        <v>74</v>
      </c>
      <c r="F202" s="6">
        <v>2020</v>
      </c>
      <c r="G202" s="39">
        <v>37</v>
      </c>
      <c r="H202" s="28">
        <v>0</v>
      </c>
      <c r="I202" s="28">
        <v>2</v>
      </c>
      <c r="J202" s="12">
        <v>2021</v>
      </c>
      <c r="K202" s="5">
        <v>2024</v>
      </c>
      <c r="L202" s="5">
        <f t="shared" si="105"/>
        <v>2.58</v>
      </c>
      <c r="M202" s="5">
        <v>0</v>
      </c>
      <c r="N202" s="12" t="s">
        <v>364</v>
      </c>
      <c r="O202" s="12" t="s">
        <v>35</v>
      </c>
      <c r="P202" s="12">
        <v>0</v>
      </c>
      <c r="Q202" s="12"/>
      <c r="R202" s="12" t="s">
        <v>30</v>
      </c>
      <c r="S202" s="12" t="s">
        <v>365</v>
      </c>
      <c r="T202" s="6" t="s">
        <v>84</v>
      </c>
      <c r="U202" s="6">
        <v>0</v>
      </c>
      <c r="V202" s="25">
        <v>44</v>
      </c>
      <c r="W202" s="12">
        <v>7</v>
      </c>
      <c r="X202" s="7">
        <f t="shared" si="91"/>
        <v>13</v>
      </c>
      <c r="Y202" s="22">
        <f t="shared" si="92"/>
        <v>2</v>
      </c>
      <c r="Z202" s="15">
        <f t="shared" si="88"/>
        <v>11</v>
      </c>
      <c r="AA202" s="19">
        <v>5</v>
      </c>
      <c r="AB202" s="19">
        <v>0</v>
      </c>
      <c r="AC202" s="19">
        <v>6</v>
      </c>
      <c r="AD202" s="19">
        <v>1</v>
      </c>
      <c r="AE202" s="19">
        <v>4</v>
      </c>
      <c r="AF202" s="19">
        <v>0</v>
      </c>
      <c r="AG202" s="36">
        <f t="shared" si="86"/>
        <v>0</v>
      </c>
      <c r="AH202" s="36">
        <f t="shared" si="86"/>
        <v>0</v>
      </c>
      <c r="AI202" s="36">
        <f t="shared" si="86"/>
        <v>1</v>
      </c>
      <c r="AJ202" s="36">
        <f t="shared" si="86"/>
        <v>1</v>
      </c>
      <c r="AK202" s="36">
        <f t="shared" si="86"/>
        <v>0</v>
      </c>
      <c r="AL202" s="36">
        <f t="shared" si="86"/>
        <v>0</v>
      </c>
      <c r="AM202" s="7">
        <v>5</v>
      </c>
      <c r="AN202" s="7">
        <v>0</v>
      </c>
      <c r="AO202" s="7">
        <v>7</v>
      </c>
      <c r="AP202" s="7">
        <v>2</v>
      </c>
      <c r="AQ202" s="7">
        <v>4</v>
      </c>
      <c r="AR202" s="7">
        <v>0</v>
      </c>
      <c r="AS202" s="22">
        <f t="shared" si="95"/>
        <v>13</v>
      </c>
      <c r="AT202" s="22">
        <f t="shared" si="94"/>
        <v>0.77519379844961234</v>
      </c>
      <c r="AU202" s="5">
        <f t="shared" si="96"/>
        <v>2</v>
      </c>
      <c r="AV202" s="5">
        <f t="shared" si="97"/>
        <v>0.77519379844961234</v>
      </c>
      <c r="AW202" s="5">
        <f t="shared" si="98"/>
        <v>11</v>
      </c>
      <c r="AX202" s="5">
        <f t="shared" si="99"/>
        <v>0</v>
      </c>
      <c r="AY202" s="5">
        <f t="shared" si="100"/>
        <v>0</v>
      </c>
      <c r="AZ202" s="5">
        <f t="shared" si="101"/>
        <v>0.38759689922480617</v>
      </c>
      <c r="BA202" s="5">
        <f t="shared" si="102"/>
        <v>0.38759689922480617</v>
      </c>
      <c r="BB202" s="5">
        <f t="shared" si="103"/>
        <v>0</v>
      </c>
      <c r="BC202" s="5">
        <f t="shared" si="104"/>
        <v>0</v>
      </c>
      <c r="BD202" s="6"/>
      <c r="BE202" s="6"/>
      <c r="BF202" s="59"/>
      <c r="BG202" s="6"/>
      <c r="BH202" s="12"/>
      <c r="BI202" s="12"/>
      <c r="BJ202" s="12" t="s">
        <v>364</v>
      </c>
    </row>
    <row r="203" spans="1:62">
      <c r="A203" s="2" t="s">
        <v>362</v>
      </c>
      <c r="B203" s="4" t="s">
        <v>33</v>
      </c>
      <c r="C203" s="4" t="s">
        <v>32</v>
      </c>
      <c r="D203" s="4">
        <v>35</v>
      </c>
      <c r="E203" s="4">
        <v>74</v>
      </c>
      <c r="F203" s="6">
        <v>2020</v>
      </c>
      <c r="G203" s="39">
        <v>37</v>
      </c>
      <c r="H203" s="28">
        <v>0</v>
      </c>
      <c r="I203" s="28">
        <v>2</v>
      </c>
      <c r="J203" s="12">
        <v>2021</v>
      </c>
      <c r="K203" s="5">
        <v>2024</v>
      </c>
      <c r="L203" s="5">
        <f t="shared" si="105"/>
        <v>2.58</v>
      </c>
      <c r="M203" s="5">
        <v>0</v>
      </c>
      <c r="N203" s="12" t="s">
        <v>366</v>
      </c>
      <c r="O203" s="12" t="s">
        <v>35</v>
      </c>
      <c r="P203" s="12">
        <v>0</v>
      </c>
      <c r="Q203" s="12"/>
      <c r="R203" s="5" t="s">
        <v>54</v>
      </c>
      <c r="S203" s="12" t="s">
        <v>362</v>
      </c>
      <c r="T203" s="6" t="s">
        <v>101</v>
      </c>
      <c r="U203" s="6">
        <v>0</v>
      </c>
      <c r="V203" s="25">
        <v>35</v>
      </c>
      <c r="W203" s="12">
        <v>6</v>
      </c>
      <c r="X203" s="7">
        <f t="shared" si="91"/>
        <v>15</v>
      </c>
      <c r="Y203" s="22">
        <f t="shared" si="92"/>
        <v>6</v>
      </c>
      <c r="Z203" s="15">
        <f t="shared" si="88"/>
        <v>9</v>
      </c>
      <c r="AA203" s="19">
        <v>3</v>
      </c>
      <c r="AB203" s="19">
        <v>8</v>
      </c>
      <c r="AC203" s="19">
        <v>0</v>
      </c>
      <c r="AD203" s="19">
        <v>0</v>
      </c>
      <c r="AE203" s="19">
        <v>1</v>
      </c>
      <c r="AF203" s="19">
        <v>0</v>
      </c>
      <c r="AG203" s="36">
        <f t="shared" si="86"/>
        <v>2</v>
      </c>
      <c r="AH203" s="36">
        <f t="shared" si="86"/>
        <v>1</v>
      </c>
      <c r="AI203" s="36">
        <f t="shared" si="86"/>
        <v>4</v>
      </c>
      <c r="AJ203" s="36">
        <f t="shared" si="86"/>
        <v>1</v>
      </c>
      <c r="AK203" s="36">
        <f t="shared" si="86"/>
        <v>0</v>
      </c>
      <c r="AL203" s="36">
        <f t="shared" si="86"/>
        <v>0</v>
      </c>
      <c r="AM203" s="7">
        <v>5</v>
      </c>
      <c r="AN203" s="7">
        <v>9</v>
      </c>
      <c r="AO203" s="7">
        <v>4</v>
      </c>
      <c r="AP203" s="7">
        <v>1</v>
      </c>
      <c r="AQ203" s="7">
        <v>1</v>
      </c>
      <c r="AR203" s="7">
        <v>0</v>
      </c>
      <c r="AS203" s="22">
        <f t="shared" si="95"/>
        <v>15</v>
      </c>
      <c r="AT203" s="22">
        <f t="shared" si="94"/>
        <v>2.3255813953488373</v>
      </c>
      <c r="AU203" s="5">
        <f t="shared" si="96"/>
        <v>6</v>
      </c>
      <c r="AV203" s="5">
        <f t="shared" si="97"/>
        <v>2.3255813953488373</v>
      </c>
      <c r="AW203" s="5">
        <f t="shared" si="98"/>
        <v>9</v>
      </c>
      <c r="AX203" s="5">
        <f t="shared" si="99"/>
        <v>0.77519379844961234</v>
      </c>
      <c r="AY203" s="5">
        <f t="shared" si="100"/>
        <v>0.38759689922480617</v>
      </c>
      <c r="AZ203" s="5">
        <f t="shared" si="101"/>
        <v>1.5503875968992247</v>
      </c>
      <c r="BA203" s="5">
        <f t="shared" si="102"/>
        <v>0.38759689922480617</v>
      </c>
      <c r="BB203" s="5">
        <f t="shared" si="103"/>
        <v>0</v>
      </c>
      <c r="BC203" s="5">
        <f t="shared" si="104"/>
        <v>0</v>
      </c>
      <c r="BD203" s="6"/>
      <c r="BE203" s="6"/>
      <c r="BF203" s="59"/>
      <c r="BG203" s="6"/>
      <c r="BH203" s="12"/>
      <c r="BI203" s="12"/>
      <c r="BJ203" s="12" t="s">
        <v>366</v>
      </c>
    </row>
    <row r="204" spans="1:62">
      <c r="A204" s="2" t="s">
        <v>367</v>
      </c>
      <c r="B204" s="3" t="s">
        <v>32</v>
      </c>
      <c r="C204" s="4" t="s">
        <v>32</v>
      </c>
      <c r="D204" s="4">
        <v>29</v>
      </c>
      <c r="E204" s="4">
        <v>74</v>
      </c>
      <c r="F204" s="4">
        <v>2013</v>
      </c>
      <c r="G204" s="39">
        <v>64</v>
      </c>
      <c r="H204" s="28">
        <v>0</v>
      </c>
      <c r="I204" s="28">
        <v>0</v>
      </c>
      <c r="J204" s="5">
        <v>2021</v>
      </c>
      <c r="K204" s="5">
        <v>2024</v>
      </c>
      <c r="L204" s="5">
        <f t="shared" si="105"/>
        <v>2.58</v>
      </c>
      <c r="M204" s="5">
        <v>0</v>
      </c>
      <c r="N204" s="5" t="s">
        <v>368</v>
      </c>
      <c r="O204" s="5" t="s">
        <v>35</v>
      </c>
      <c r="P204" s="5">
        <v>0</v>
      </c>
      <c r="Q204" s="5"/>
      <c r="R204" s="5" t="s">
        <v>30</v>
      </c>
      <c r="S204" s="5" t="s">
        <v>346</v>
      </c>
      <c r="T204" s="6" t="s">
        <v>84</v>
      </c>
      <c r="U204" s="6">
        <v>0</v>
      </c>
      <c r="V204" s="25">
        <v>85</v>
      </c>
      <c r="W204" s="5">
        <v>0</v>
      </c>
      <c r="X204" s="7">
        <f t="shared" si="91"/>
        <v>4</v>
      </c>
      <c r="Y204" s="22">
        <f t="shared" si="92"/>
        <v>0</v>
      </c>
      <c r="Z204" s="15">
        <f t="shared" si="88"/>
        <v>4</v>
      </c>
      <c r="AA204" s="19">
        <v>1</v>
      </c>
      <c r="AB204" s="19">
        <v>0</v>
      </c>
      <c r="AC204" s="19">
        <v>2</v>
      </c>
      <c r="AD204" s="19">
        <v>2</v>
      </c>
      <c r="AE204" s="19">
        <v>0</v>
      </c>
      <c r="AF204" s="19">
        <v>0</v>
      </c>
      <c r="AG204" s="36">
        <f t="shared" si="86"/>
        <v>0</v>
      </c>
      <c r="AH204" s="36">
        <f t="shared" si="86"/>
        <v>0</v>
      </c>
      <c r="AI204" s="36">
        <f t="shared" si="86"/>
        <v>0</v>
      </c>
      <c r="AJ204" s="36">
        <f t="shared" si="86"/>
        <v>0</v>
      </c>
      <c r="AK204" s="36">
        <f t="shared" si="86"/>
        <v>0</v>
      </c>
      <c r="AL204" s="36">
        <f t="shared" si="86"/>
        <v>0</v>
      </c>
      <c r="AM204" s="7">
        <v>1</v>
      </c>
      <c r="AN204" s="7">
        <v>0</v>
      </c>
      <c r="AO204" s="7">
        <v>2</v>
      </c>
      <c r="AP204" s="7">
        <v>2</v>
      </c>
      <c r="AQ204" s="7">
        <v>0</v>
      </c>
      <c r="AR204" s="7">
        <v>0</v>
      </c>
      <c r="AS204" s="22">
        <f t="shared" si="95"/>
        <v>4</v>
      </c>
      <c r="AT204" s="22">
        <f t="shared" si="94"/>
        <v>0</v>
      </c>
      <c r="AU204" s="5">
        <f t="shared" si="96"/>
        <v>0</v>
      </c>
      <c r="AV204" s="5">
        <f t="shared" si="97"/>
        <v>0</v>
      </c>
      <c r="AW204" s="5">
        <f t="shared" si="98"/>
        <v>4</v>
      </c>
      <c r="AX204" s="5">
        <f t="shared" si="99"/>
        <v>0</v>
      </c>
      <c r="AY204" s="5">
        <f t="shared" si="100"/>
        <v>0</v>
      </c>
      <c r="AZ204" s="5">
        <f t="shared" si="101"/>
        <v>0</v>
      </c>
      <c r="BA204" s="5">
        <f t="shared" si="102"/>
        <v>0</v>
      </c>
      <c r="BB204" s="5">
        <f t="shared" si="103"/>
        <v>0</v>
      </c>
      <c r="BC204" s="5">
        <f t="shared" si="104"/>
        <v>0</v>
      </c>
      <c r="BD204" s="6"/>
      <c r="BE204" s="6"/>
      <c r="BF204" s="59"/>
      <c r="BG204" s="6"/>
      <c r="BH204" s="5"/>
      <c r="BI204" s="5"/>
      <c r="BJ204" s="5" t="s">
        <v>368</v>
      </c>
    </row>
    <row r="205" spans="1:62">
      <c r="A205" s="2" t="s">
        <v>367</v>
      </c>
      <c r="B205" s="3" t="s">
        <v>32</v>
      </c>
      <c r="C205" s="4" t="s">
        <v>32</v>
      </c>
      <c r="D205" s="4">
        <v>29</v>
      </c>
      <c r="E205" s="4">
        <v>74</v>
      </c>
      <c r="F205" s="4">
        <v>2013</v>
      </c>
      <c r="G205" s="39">
        <v>64</v>
      </c>
      <c r="H205" s="28">
        <v>0</v>
      </c>
      <c r="I205" s="28">
        <v>0</v>
      </c>
      <c r="J205" s="5">
        <v>2020</v>
      </c>
      <c r="K205" s="5">
        <v>2024</v>
      </c>
      <c r="L205" s="5">
        <f t="shared" si="105"/>
        <v>3.58</v>
      </c>
      <c r="M205" s="5">
        <v>0</v>
      </c>
      <c r="N205" s="5" t="s">
        <v>369</v>
      </c>
      <c r="O205" s="5" t="s">
        <v>35</v>
      </c>
      <c r="P205" s="5">
        <v>0</v>
      </c>
      <c r="Q205" s="5"/>
      <c r="R205" s="5" t="s">
        <v>30</v>
      </c>
      <c r="S205" s="5" t="s">
        <v>370</v>
      </c>
      <c r="T205" s="6" t="s">
        <v>84</v>
      </c>
      <c r="U205" s="6">
        <v>0</v>
      </c>
      <c r="V205" s="25">
        <v>58</v>
      </c>
      <c r="W205" s="5">
        <v>1</v>
      </c>
      <c r="X205" s="7">
        <f t="shared" si="91"/>
        <v>9</v>
      </c>
      <c r="Y205" s="22">
        <f t="shared" si="92"/>
        <v>9</v>
      </c>
      <c r="Z205" s="15">
        <f t="shared" si="88"/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36">
        <f t="shared" si="86"/>
        <v>8</v>
      </c>
      <c r="AH205" s="36">
        <f t="shared" si="86"/>
        <v>0</v>
      </c>
      <c r="AI205" s="36">
        <f t="shared" si="86"/>
        <v>0</v>
      </c>
      <c r="AJ205" s="36">
        <f t="shared" si="86"/>
        <v>3</v>
      </c>
      <c r="AK205" s="36">
        <f t="shared" si="86"/>
        <v>2</v>
      </c>
      <c r="AL205" s="36">
        <f t="shared" si="86"/>
        <v>4</v>
      </c>
      <c r="AM205" s="7">
        <v>8</v>
      </c>
      <c r="AN205" s="7">
        <v>0</v>
      </c>
      <c r="AO205" s="7">
        <v>0</v>
      </c>
      <c r="AP205" s="7">
        <v>3</v>
      </c>
      <c r="AQ205" s="7">
        <v>2</v>
      </c>
      <c r="AR205" s="7">
        <v>4</v>
      </c>
      <c r="AS205" s="22">
        <f t="shared" si="95"/>
        <v>9</v>
      </c>
      <c r="AT205" s="22">
        <f t="shared" si="94"/>
        <v>2.5139664804469275</v>
      </c>
      <c r="AU205" s="5">
        <f t="shared" si="96"/>
        <v>5</v>
      </c>
      <c r="AV205" s="5">
        <f t="shared" si="97"/>
        <v>1.3966480446927374</v>
      </c>
      <c r="AW205" s="5">
        <f t="shared" si="98"/>
        <v>0</v>
      </c>
      <c r="AX205" s="5">
        <f t="shared" si="99"/>
        <v>2.2346368715083798</v>
      </c>
      <c r="AY205" s="5">
        <f t="shared" si="100"/>
        <v>0</v>
      </c>
      <c r="AZ205" s="5">
        <f t="shared" si="101"/>
        <v>0</v>
      </c>
      <c r="BA205" s="5">
        <f t="shared" si="102"/>
        <v>0.83798882681564246</v>
      </c>
      <c r="BB205" s="5">
        <f t="shared" si="103"/>
        <v>0.55865921787709494</v>
      </c>
      <c r="BC205" s="5">
        <f t="shared" si="104"/>
        <v>1.1173184357541899</v>
      </c>
      <c r="BD205" s="6"/>
      <c r="BE205" s="6"/>
      <c r="BF205" s="59"/>
      <c r="BG205" s="6"/>
      <c r="BH205" s="5"/>
      <c r="BI205" s="5"/>
      <c r="BJ205" s="5" t="s">
        <v>369</v>
      </c>
    </row>
    <row r="206" spans="1:62">
      <c r="A206" s="2" t="s">
        <v>367</v>
      </c>
      <c r="B206" s="3" t="s">
        <v>32</v>
      </c>
      <c r="C206" s="4" t="s">
        <v>32</v>
      </c>
      <c r="D206" s="4">
        <v>29</v>
      </c>
      <c r="E206" s="4">
        <v>74</v>
      </c>
      <c r="F206" s="4">
        <v>2013</v>
      </c>
      <c r="G206" s="39">
        <v>64</v>
      </c>
      <c r="H206" s="28">
        <v>0</v>
      </c>
      <c r="I206" s="28">
        <v>0</v>
      </c>
      <c r="J206" s="5">
        <v>2019</v>
      </c>
      <c r="K206" s="5">
        <v>2024</v>
      </c>
      <c r="L206" s="5">
        <f t="shared" si="105"/>
        <v>4.58</v>
      </c>
      <c r="M206" s="5">
        <v>0</v>
      </c>
      <c r="N206" s="5" t="s">
        <v>371</v>
      </c>
      <c r="O206" s="5" t="s">
        <v>35</v>
      </c>
      <c r="P206" s="5">
        <v>0</v>
      </c>
      <c r="Q206" s="5"/>
      <c r="R206" s="5" t="s">
        <v>30</v>
      </c>
      <c r="S206" s="5" t="s">
        <v>372</v>
      </c>
      <c r="T206" s="6" t="s">
        <v>101</v>
      </c>
      <c r="U206" s="6">
        <v>0</v>
      </c>
      <c r="V206" s="25">
        <v>28</v>
      </c>
      <c r="W206" s="5">
        <v>2</v>
      </c>
      <c r="X206" s="7">
        <f t="shared" si="91"/>
        <v>1</v>
      </c>
      <c r="Y206" s="22">
        <f t="shared" si="92"/>
        <v>1</v>
      </c>
      <c r="Z206" s="15">
        <f t="shared" si="88"/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36">
        <f t="shared" si="86"/>
        <v>1</v>
      </c>
      <c r="AH206" s="36">
        <f t="shared" si="86"/>
        <v>0</v>
      </c>
      <c r="AI206" s="36">
        <f t="shared" si="86"/>
        <v>1</v>
      </c>
      <c r="AJ206" s="36">
        <f t="shared" si="86"/>
        <v>0</v>
      </c>
      <c r="AK206" s="36">
        <f t="shared" si="86"/>
        <v>0</v>
      </c>
      <c r="AL206" s="36">
        <f t="shared" si="86"/>
        <v>0</v>
      </c>
      <c r="AM206" s="7">
        <v>1</v>
      </c>
      <c r="AN206" s="7">
        <v>0</v>
      </c>
      <c r="AO206" s="7">
        <v>1</v>
      </c>
      <c r="AP206" s="7">
        <v>0</v>
      </c>
      <c r="AQ206" s="7">
        <v>0</v>
      </c>
      <c r="AR206" s="7">
        <v>0</v>
      </c>
      <c r="AS206" s="22">
        <f t="shared" si="95"/>
        <v>1</v>
      </c>
      <c r="AT206" s="22">
        <f t="shared" si="94"/>
        <v>0.2183406113537118</v>
      </c>
      <c r="AU206" s="5">
        <f t="shared" si="96"/>
        <v>1</v>
      </c>
      <c r="AV206" s="5">
        <f t="shared" si="97"/>
        <v>0.2183406113537118</v>
      </c>
      <c r="AW206" s="5">
        <f t="shared" si="98"/>
        <v>0</v>
      </c>
      <c r="AX206" s="5">
        <f t="shared" si="99"/>
        <v>0.2183406113537118</v>
      </c>
      <c r="AY206" s="5">
        <f t="shared" si="100"/>
        <v>0</v>
      </c>
      <c r="AZ206" s="5">
        <f t="shared" si="101"/>
        <v>0.2183406113537118</v>
      </c>
      <c r="BA206" s="5">
        <f t="shared" si="102"/>
        <v>0</v>
      </c>
      <c r="BB206" s="5">
        <f t="shared" si="103"/>
        <v>0</v>
      </c>
      <c r="BC206" s="5">
        <f t="shared" si="104"/>
        <v>0</v>
      </c>
      <c r="BD206" s="6"/>
      <c r="BE206" s="6"/>
      <c r="BF206" s="59"/>
      <c r="BG206" s="6"/>
      <c r="BH206" s="5"/>
      <c r="BI206" s="5"/>
      <c r="BJ206" s="5" t="s">
        <v>371</v>
      </c>
    </row>
    <row r="207" spans="1:62">
      <c r="A207" s="2" t="s">
        <v>367</v>
      </c>
      <c r="B207" s="3" t="s">
        <v>32</v>
      </c>
      <c r="C207" s="4" t="s">
        <v>32</v>
      </c>
      <c r="D207" s="4">
        <v>29</v>
      </c>
      <c r="E207" s="4">
        <v>74</v>
      </c>
      <c r="F207" s="4">
        <v>2013</v>
      </c>
      <c r="G207" s="39">
        <v>64</v>
      </c>
      <c r="H207" s="28">
        <v>0</v>
      </c>
      <c r="I207" s="28">
        <v>0</v>
      </c>
      <c r="J207" s="5">
        <v>2017</v>
      </c>
      <c r="K207" s="5">
        <v>2023</v>
      </c>
      <c r="L207" s="5">
        <f>(K207-J207)</f>
        <v>6</v>
      </c>
      <c r="M207" s="5">
        <v>1</v>
      </c>
      <c r="N207" s="5" t="s">
        <v>373</v>
      </c>
      <c r="O207" s="5" t="s">
        <v>28</v>
      </c>
      <c r="P207" s="5">
        <v>1</v>
      </c>
      <c r="Q207" s="5" t="s">
        <v>604</v>
      </c>
      <c r="R207" s="5" t="s">
        <v>30</v>
      </c>
      <c r="S207" s="5" t="s">
        <v>374</v>
      </c>
      <c r="T207" s="6" t="s">
        <v>605</v>
      </c>
      <c r="U207" s="6">
        <v>0</v>
      </c>
      <c r="V207" s="25"/>
      <c r="W207" s="5">
        <v>0</v>
      </c>
      <c r="X207" s="7">
        <f t="shared" si="91"/>
        <v>2</v>
      </c>
      <c r="Y207" s="22">
        <f t="shared" si="92"/>
        <v>2</v>
      </c>
      <c r="Z207" s="15">
        <f t="shared" si="88"/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36">
        <f t="shared" si="86"/>
        <v>2</v>
      </c>
      <c r="AH207" s="36">
        <f t="shared" si="86"/>
        <v>0</v>
      </c>
      <c r="AI207" s="36">
        <f t="shared" si="86"/>
        <v>2</v>
      </c>
      <c r="AJ207" s="36">
        <f t="shared" si="86"/>
        <v>0</v>
      </c>
      <c r="AK207" s="36">
        <f t="shared" si="86"/>
        <v>0</v>
      </c>
      <c r="AL207" s="36">
        <f t="shared" si="86"/>
        <v>0</v>
      </c>
      <c r="AM207" s="7">
        <v>2</v>
      </c>
      <c r="AN207" s="7">
        <v>0</v>
      </c>
      <c r="AO207" s="7">
        <v>2</v>
      </c>
      <c r="AP207" s="7">
        <v>0</v>
      </c>
      <c r="AQ207" s="7">
        <v>0</v>
      </c>
      <c r="AR207" s="7">
        <v>0</v>
      </c>
      <c r="AS207" s="22">
        <f t="shared" si="95"/>
        <v>2</v>
      </c>
      <c r="AT207" s="22">
        <f t="shared" si="94"/>
        <v>0.33333333333333331</v>
      </c>
      <c r="AU207" s="5">
        <f t="shared" si="96"/>
        <v>2</v>
      </c>
      <c r="AV207" s="5">
        <f t="shared" si="97"/>
        <v>0.33333333333333331</v>
      </c>
      <c r="AW207" s="5">
        <f t="shared" si="98"/>
        <v>0</v>
      </c>
      <c r="AX207" s="5">
        <f t="shared" si="99"/>
        <v>0.33333333333333331</v>
      </c>
      <c r="AY207" s="5">
        <f t="shared" si="100"/>
        <v>0</v>
      </c>
      <c r="AZ207" s="5">
        <f t="shared" si="101"/>
        <v>0.33333333333333331</v>
      </c>
      <c r="BA207" s="5">
        <f t="shared" si="102"/>
        <v>0</v>
      </c>
      <c r="BB207" s="5">
        <f t="shared" si="103"/>
        <v>0</v>
      </c>
      <c r="BC207" s="5">
        <f t="shared" si="104"/>
        <v>0</v>
      </c>
      <c r="BD207" s="6">
        <v>0</v>
      </c>
      <c r="BE207" s="6"/>
      <c r="BF207" s="59">
        <v>1</v>
      </c>
      <c r="BG207" s="6" t="s">
        <v>710</v>
      </c>
      <c r="BH207" s="5"/>
      <c r="BI207" s="5"/>
      <c r="BJ207" s="5" t="s">
        <v>373</v>
      </c>
    </row>
    <row r="208" spans="1:62">
      <c r="A208" s="2" t="s">
        <v>367</v>
      </c>
      <c r="B208" s="3" t="s">
        <v>32</v>
      </c>
      <c r="C208" s="4" t="s">
        <v>32</v>
      </c>
      <c r="D208" s="4">
        <v>29</v>
      </c>
      <c r="E208" s="4">
        <v>74</v>
      </c>
      <c r="F208" s="4">
        <v>2013</v>
      </c>
      <c r="G208" s="39">
        <v>64</v>
      </c>
      <c r="H208" s="28">
        <v>0</v>
      </c>
      <c r="I208" s="28">
        <v>0</v>
      </c>
      <c r="J208" s="5">
        <v>2018</v>
      </c>
      <c r="K208" s="5">
        <v>2024</v>
      </c>
      <c r="L208" s="5">
        <f>(K208-J208)-0.42</f>
        <v>5.58</v>
      </c>
      <c r="M208" s="5">
        <v>0</v>
      </c>
      <c r="N208" s="39" t="s">
        <v>528</v>
      </c>
      <c r="O208" s="5" t="s">
        <v>35</v>
      </c>
      <c r="P208" s="5">
        <v>0</v>
      </c>
      <c r="Q208" s="5"/>
      <c r="R208" s="5" t="s">
        <v>30</v>
      </c>
      <c r="S208" s="39" t="s">
        <v>529</v>
      </c>
      <c r="T208" s="6" t="s">
        <v>84</v>
      </c>
      <c r="U208" s="6">
        <v>0</v>
      </c>
      <c r="V208" s="25" t="s">
        <v>107</v>
      </c>
      <c r="W208" s="39">
        <v>0</v>
      </c>
      <c r="X208" s="7">
        <f t="shared" si="91"/>
        <v>1</v>
      </c>
      <c r="Y208" s="22">
        <f t="shared" si="92"/>
        <v>1</v>
      </c>
      <c r="Z208" s="15">
        <f t="shared" si="88"/>
        <v>0</v>
      </c>
      <c r="AA208" s="47">
        <v>0</v>
      </c>
      <c r="AB208" s="47">
        <v>0</v>
      </c>
      <c r="AC208" s="47">
        <v>0</v>
      </c>
      <c r="AD208" s="47">
        <v>0</v>
      </c>
      <c r="AE208" s="47">
        <v>0</v>
      </c>
      <c r="AF208" s="47">
        <v>0</v>
      </c>
      <c r="AG208" s="36">
        <f t="shared" si="86"/>
        <v>0</v>
      </c>
      <c r="AH208" s="36">
        <f t="shared" si="86"/>
        <v>0</v>
      </c>
      <c r="AI208" s="36">
        <f t="shared" si="86"/>
        <v>0</v>
      </c>
      <c r="AJ208" s="36">
        <f t="shared" si="86"/>
        <v>0</v>
      </c>
      <c r="AK208" s="36">
        <f t="shared" si="86"/>
        <v>0</v>
      </c>
      <c r="AL208" s="36">
        <f t="shared" si="86"/>
        <v>1</v>
      </c>
      <c r="AM208" s="45">
        <v>0</v>
      </c>
      <c r="AN208" s="45">
        <v>0</v>
      </c>
      <c r="AO208" s="45">
        <v>0</v>
      </c>
      <c r="AP208" s="45">
        <v>0</v>
      </c>
      <c r="AQ208" s="45">
        <v>0</v>
      </c>
      <c r="AR208" s="45">
        <v>1</v>
      </c>
      <c r="AS208" s="22">
        <f t="shared" si="95"/>
        <v>1</v>
      </c>
      <c r="AT208" s="22">
        <f t="shared" si="94"/>
        <v>0.17921146953405018</v>
      </c>
      <c r="AU208" s="5">
        <f t="shared" si="96"/>
        <v>0</v>
      </c>
      <c r="AV208" s="5">
        <f t="shared" si="97"/>
        <v>0</v>
      </c>
      <c r="AW208" s="5">
        <f t="shared" si="98"/>
        <v>0</v>
      </c>
      <c r="AX208" s="5">
        <f t="shared" si="99"/>
        <v>0</v>
      </c>
      <c r="AY208" s="5">
        <f t="shared" si="100"/>
        <v>0</v>
      </c>
      <c r="AZ208" s="5">
        <f t="shared" si="101"/>
        <v>0</v>
      </c>
      <c r="BA208" s="5">
        <f t="shared" si="102"/>
        <v>0</v>
      </c>
      <c r="BB208" s="5">
        <f t="shared" si="103"/>
        <v>0</v>
      </c>
      <c r="BC208" s="5">
        <f t="shared" si="104"/>
        <v>0.17921146953405018</v>
      </c>
      <c r="BD208" s="6"/>
      <c r="BE208" s="6"/>
      <c r="BF208" s="59"/>
      <c r="BG208" s="6"/>
      <c r="BH208" s="5"/>
      <c r="BI208" s="5"/>
      <c r="BJ208" s="39" t="s">
        <v>528</v>
      </c>
    </row>
    <row r="209" spans="1:62">
      <c r="A209" s="2" t="s">
        <v>367</v>
      </c>
      <c r="B209" s="3" t="s">
        <v>32</v>
      </c>
      <c r="C209" s="4" t="s">
        <v>32</v>
      </c>
      <c r="D209" s="4">
        <v>29</v>
      </c>
      <c r="E209" s="4">
        <v>74</v>
      </c>
      <c r="F209" s="4">
        <v>2013</v>
      </c>
      <c r="G209" s="39">
        <v>64</v>
      </c>
      <c r="H209" s="28">
        <v>0</v>
      </c>
      <c r="I209" s="28">
        <v>0</v>
      </c>
      <c r="J209" s="5">
        <v>2022</v>
      </c>
      <c r="K209" s="5">
        <v>2024</v>
      </c>
      <c r="L209" s="5">
        <f>(K209-J209)-0.42</f>
        <v>1.58</v>
      </c>
      <c r="M209" s="5">
        <v>0</v>
      </c>
      <c r="N209" s="39" t="s">
        <v>530</v>
      </c>
      <c r="O209" s="5" t="s">
        <v>35</v>
      </c>
      <c r="P209" s="5">
        <v>0</v>
      </c>
      <c r="Q209" s="5"/>
      <c r="R209" s="5" t="s">
        <v>30</v>
      </c>
      <c r="S209" s="39" t="s">
        <v>532</v>
      </c>
      <c r="T209" s="6" t="s">
        <v>37</v>
      </c>
      <c r="U209" s="6">
        <v>0</v>
      </c>
      <c r="V209" s="25">
        <v>25</v>
      </c>
      <c r="W209" s="39">
        <v>0</v>
      </c>
      <c r="X209" s="7">
        <f t="shared" si="91"/>
        <v>1</v>
      </c>
      <c r="Y209" s="22">
        <f t="shared" si="92"/>
        <v>1</v>
      </c>
      <c r="Z209" s="15">
        <f t="shared" si="88"/>
        <v>0</v>
      </c>
      <c r="AA209" s="47">
        <v>0</v>
      </c>
      <c r="AB209" s="47">
        <v>0</v>
      </c>
      <c r="AC209" s="47">
        <v>0</v>
      </c>
      <c r="AD209" s="47">
        <v>0</v>
      </c>
      <c r="AE209" s="47">
        <v>0</v>
      </c>
      <c r="AF209" s="47">
        <v>0</v>
      </c>
      <c r="AG209" s="36">
        <f t="shared" si="86"/>
        <v>0</v>
      </c>
      <c r="AH209" s="36">
        <f t="shared" si="86"/>
        <v>0</v>
      </c>
      <c r="AI209" s="36">
        <f t="shared" si="86"/>
        <v>1</v>
      </c>
      <c r="AJ209" s="36">
        <f t="shared" si="86"/>
        <v>0</v>
      </c>
      <c r="AK209" s="36">
        <f t="shared" si="86"/>
        <v>0</v>
      </c>
      <c r="AL209" s="36">
        <f t="shared" si="86"/>
        <v>0</v>
      </c>
      <c r="AM209" s="45">
        <v>0</v>
      </c>
      <c r="AN209" s="45">
        <v>0</v>
      </c>
      <c r="AO209" s="45">
        <v>1</v>
      </c>
      <c r="AP209" s="45">
        <v>0</v>
      </c>
      <c r="AQ209" s="45">
        <v>0</v>
      </c>
      <c r="AR209" s="45">
        <v>0</v>
      </c>
      <c r="AS209" s="22">
        <f t="shared" si="95"/>
        <v>1</v>
      </c>
      <c r="AT209" s="22">
        <f t="shared" si="94"/>
        <v>0.63291139240506322</v>
      </c>
      <c r="AU209" s="5">
        <f t="shared" si="96"/>
        <v>1</v>
      </c>
      <c r="AV209" s="5">
        <f t="shared" si="97"/>
        <v>0.63291139240506322</v>
      </c>
      <c r="AW209" s="5">
        <f t="shared" si="98"/>
        <v>0</v>
      </c>
      <c r="AX209" s="5">
        <f t="shared" si="99"/>
        <v>0</v>
      </c>
      <c r="AY209" s="5">
        <f t="shared" si="100"/>
        <v>0</v>
      </c>
      <c r="AZ209" s="5">
        <f t="shared" si="101"/>
        <v>0.63291139240506322</v>
      </c>
      <c r="BA209" s="5">
        <f t="shared" si="102"/>
        <v>0</v>
      </c>
      <c r="BB209" s="5">
        <f t="shared" si="103"/>
        <v>0</v>
      </c>
      <c r="BC209" s="5">
        <f t="shared" si="104"/>
        <v>0</v>
      </c>
      <c r="BD209" s="6"/>
      <c r="BE209" s="6"/>
      <c r="BF209" s="59"/>
      <c r="BG209" s="6" t="s">
        <v>531</v>
      </c>
      <c r="BH209" s="5"/>
      <c r="BI209" s="5"/>
      <c r="BJ209" s="39" t="s">
        <v>530</v>
      </c>
    </row>
    <row r="210" spans="1:62">
      <c r="A210" s="2" t="s">
        <v>367</v>
      </c>
      <c r="B210" s="3" t="s">
        <v>32</v>
      </c>
      <c r="C210" s="4" t="s">
        <v>32</v>
      </c>
      <c r="D210" s="4">
        <v>29</v>
      </c>
      <c r="E210" s="4">
        <v>74</v>
      </c>
      <c r="F210" s="4">
        <v>2013</v>
      </c>
      <c r="G210" s="39">
        <v>64</v>
      </c>
      <c r="H210" s="28">
        <v>0</v>
      </c>
      <c r="I210" s="28">
        <v>0</v>
      </c>
      <c r="J210" s="5">
        <v>2016</v>
      </c>
      <c r="K210" s="5">
        <v>2022</v>
      </c>
      <c r="L210" s="5">
        <f>(K210-J210)</f>
        <v>6</v>
      </c>
      <c r="M210" s="5">
        <v>1</v>
      </c>
      <c r="N210" s="39" t="s">
        <v>606</v>
      </c>
      <c r="O210" s="5" t="s">
        <v>35</v>
      </c>
      <c r="P210" s="5">
        <v>0</v>
      </c>
      <c r="Q210" s="5"/>
      <c r="R210" s="5" t="s">
        <v>30</v>
      </c>
      <c r="S210" s="39" t="s">
        <v>534</v>
      </c>
      <c r="T210" s="6" t="s">
        <v>84</v>
      </c>
      <c r="U210" s="6">
        <v>0</v>
      </c>
      <c r="V210" s="25">
        <v>64</v>
      </c>
      <c r="W210" s="39">
        <v>4</v>
      </c>
      <c r="X210" s="7">
        <f t="shared" si="91"/>
        <v>12</v>
      </c>
      <c r="Y210" s="22">
        <f t="shared" si="92"/>
        <v>11</v>
      </c>
      <c r="Z210" s="15">
        <f t="shared" si="88"/>
        <v>1</v>
      </c>
      <c r="AA210" s="47">
        <v>0</v>
      </c>
      <c r="AB210" s="47">
        <v>0</v>
      </c>
      <c r="AC210" s="47">
        <v>1</v>
      </c>
      <c r="AD210" s="47">
        <v>0</v>
      </c>
      <c r="AE210" s="47">
        <v>0</v>
      </c>
      <c r="AF210" s="47">
        <v>0</v>
      </c>
      <c r="AG210" s="36">
        <f t="shared" si="86"/>
        <v>6</v>
      </c>
      <c r="AH210" s="36">
        <f t="shared" si="86"/>
        <v>0</v>
      </c>
      <c r="AI210" s="36">
        <f t="shared" si="86"/>
        <v>2</v>
      </c>
      <c r="AJ210" s="36">
        <f t="shared" si="86"/>
        <v>3</v>
      </c>
      <c r="AK210" s="36">
        <f t="shared" si="86"/>
        <v>2</v>
      </c>
      <c r="AL210" s="36">
        <f t="shared" si="86"/>
        <v>4</v>
      </c>
      <c r="AM210" s="45">
        <v>6</v>
      </c>
      <c r="AN210" s="45">
        <v>0</v>
      </c>
      <c r="AO210" s="45">
        <v>3</v>
      </c>
      <c r="AP210" s="45">
        <v>3</v>
      </c>
      <c r="AQ210" s="45">
        <v>2</v>
      </c>
      <c r="AR210" s="45">
        <v>4</v>
      </c>
      <c r="AS210" s="22">
        <f t="shared" si="95"/>
        <v>12</v>
      </c>
      <c r="AT210" s="22">
        <f t="shared" si="94"/>
        <v>1.8333333333333333</v>
      </c>
      <c r="AU210" s="5">
        <f t="shared" si="96"/>
        <v>7</v>
      </c>
      <c r="AV210" s="5">
        <f t="shared" si="97"/>
        <v>1.1666666666666667</v>
      </c>
      <c r="AW210" s="5">
        <f t="shared" si="98"/>
        <v>1</v>
      </c>
      <c r="AX210" s="5">
        <f t="shared" si="99"/>
        <v>1</v>
      </c>
      <c r="AY210" s="5">
        <f t="shared" si="100"/>
        <v>0</v>
      </c>
      <c r="AZ210" s="5">
        <f t="shared" si="101"/>
        <v>0.33333333333333331</v>
      </c>
      <c r="BA210" s="5">
        <f t="shared" si="102"/>
        <v>0.5</v>
      </c>
      <c r="BB210" s="5">
        <f t="shared" si="103"/>
        <v>0.33333333333333331</v>
      </c>
      <c r="BC210" s="5">
        <f t="shared" si="104"/>
        <v>0.66666666666666663</v>
      </c>
      <c r="BD210" s="6"/>
      <c r="BE210" s="6"/>
      <c r="BF210" s="59">
        <v>1</v>
      </c>
      <c r="BG210" s="6" t="s">
        <v>533</v>
      </c>
      <c r="BH210" s="5"/>
      <c r="BI210" s="5"/>
      <c r="BJ210" s="39" t="s">
        <v>606</v>
      </c>
    </row>
    <row r="211" spans="1:62">
      <c r="A211" s="2" t="s">
        <v>367</v>
      </c>
      <c r="B211" s="3" t="s">
        <v>32</v>
      </c>
      <c r="C211" s="4" t="s">
        <v>32</v>
      </c>
      <c r="D211" s="4">
        <v>29</v>
      </c>
      <c r="E211" s="4">
        <v>74</v>
      </c>
      <c r="F211" s="4">
        <v>2013</v>
      </c>
      <c r="G211" s="39">
        <v>64</v>
      </c>
      <c r="H211" s="28">
        <v>0</v>
      </c>
      <c r="I211" s="28">
        <v>0</v>
      </c>
      <c r="J211" s="5">
        <v>2015</v>
      </c>
      <c r="K211" s="5">
        <v>2021</v>
      </c>
      <c r="L211" s="5">
        <f>(K211-J211)</f>
        <v>6</v>
      </c>
      <c r="M211" s="5">
        <v>1</v>
      </c>
      <c r="N211" s="39" t="s">
        <v>607</v>
      </c>
      <c r="O211" s="5" t="s">
        <v>28</v>
      </c>
      <c r="P211" s="5">
        <v>0</v>
      </c>
      <c r="Q211" s="5"/>
      <c r="R211" s="5" t="s">
        <v>30</v>
      </c>
      <c r="S211" s="5" t="s">
        <v>104</v>
      </c>
      <c r="T211" s="6" t="s">
        <v>47</v>
      </c>
      <c r="U211" s="6">
        <v>0</v>
      </c>
      <c r="V211" s="25">
        <v>22</v>
      </c>
      <c r="W211" s="39">
        <v>0</v>
      </c>
      <c r="X211" s="7">
        <f t="shared" si="91"/>
        <v>1</v>
      </c>
      <c r="Y211" s="22">
        <f t="shared" si="92"/>
        <v>1</v>
      </c>
      <c r="Z211" s="15">
        <f t="shared" si="88"/>
        <v>0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36">
        <f t="shared" si="86"/>
        <v>0</v>
      </c>
      <c r="AH211" s="36">
        <f t="shared" si="86"/>
        <v>0</v>
      </c>
      <c r="AI211" s="36">
        <f t="shared" si="86"/>
        <v>1</v>
      </c>
      <c r="AJ211" s="36">
        <f t="shared" si="86"/>
        <v>0</v>
      </c>
      <c r="AK211" s="36">
        <f t="shared" si="86"/>
        <v>0</v>
      </c>
      <c r="AL211" s="36">
        <f t="shared" si="86"/>
        <v>0</v>
      </c>
      <c r="AM211" s="45">
        <v>0</v>
      </c>
      <c r="AN211" s="45">
        <v>0</v>
      </c>
      <c r="AO211" s="45">
        <v>1</v>
      </c>
      <c r="AP211" s="45">
        <v>0</v>
      </c>
      <c r="AQ211" s="45">
        <v>0</v>
      </c>
      <c r="AR211" s="45">
        <v>0</v>
      </c>
      <c r="AS211" s="22">
        <f t="shared" si="95"/>
        <v>1</v>
      </c>
      <c r="AT211" s="22">
        <f t="shared" si="94"/>
        <v>0.16666666666666666</v>
      </c>
      <c r="AU211" s="5">
        <f t="shared" si="96"/>
        <v>1</v>
      </c>
      <c r="AV211" s="5">
        <f t="shared" si="97"/>
        <v>0.16666666666666666</v>
      </c>
      <c r="AW211" s="5">
        <f t="shared" si="98"/>
        <v>0</v>
      </c>
      <c r="AX211" s="5">
        <f t="shared" si="99"/>
        <v>0</v>
      </c>
      <c r="AY211" s="5">
        <f t="shared" si="100"/>
        <v>0</v>
      </c>
      <c r="AZ211" s="5">
        <f t="shared" si="101"/>
        <v>0.16666666666666666</v>
      </c>
      <c r="BA211" s="5">
        <f t="shared" si="102"/>
        <v>0</v>
      </c>
      <c r="BB211" s="5">
        <f t="shared" si="103"/>
        <v>0</v>
      </c>
      <c r="BC211" s="5">
        <f t="shared" si="104"/>
        <v>0</v>
      </c>
      <c r="BD211" s="6"/>
      <c r="BE211" s="6"/>
      <c r="BF211" s="59">
        <v>1</v>
      </c>
      <c r="BG211" s="6" t="s">
        <v>533</v>
      </c>
      <c r="BH211" s="5"/>
      <c r="BI211" s="5"/>
      <c r="BJ211" s="39" t="s">
        <v>607</v>
      </c>
    </row>
    <row r="212" spans="1:62">
      <c r="A212" s="2" t="s">
        <v>375</v>
      </c>
      <c r="B212" s="3" t="s">
        <v>32</v>
      </c>
      <c r="C212" s="4" t="s">
        <v>32</v>
      </c>
      <c r="D212" s="4">
        <v>88</v>
      </c>
      <c r="E212" s="4">
        <v>74</v>
      </c>
      <c r="F212" s="4">
        <v>2008</v>
      </c>
      <c r="G212" s="39">
        <v>4</v>
      </c>
      <c r="H212" s="28">
        <v>0</v>
      </c>
      <c r="I212" s="28">
        <v>2</v>
      </c>
      <c r="J212" s="5">
        <v>2022</v>
      </c>
      <c r="K212" s="5">
        <v>2024</v>
      </c>
      <c r="L212" s="5">
        <f t="shared" ref="L212:L225" si="106">(K212-J212)-0.42</f>
        <v>1.58</v>
      </c>
      <c r="M212" s="5">
        <v>0</v>
      </c>
      <c r="N212" s="5" t="s">
        <v>376</v>
      </c>
      <c r="O212" s="5" t="s">
        <v>35</v>
      </c>
      <c r="P212" s="5">
        <v>1</v>
      </c>
      <c r="Q212" s="5" t="s">
        <v>377</v>
      </c>
      <c r="R212" s="5" t="s">
        <v>30</v>
      </c>
      <c r="S212" s="5" t="s">
        <v>378</v>
      </c>
      <c r="T212" s="6"/>
      <c r="U212" s="6">
        <v>0</v>
      </c>
      <c r="V212" s="25"/>
      <c r="W212" s="5">
        <v>7</v>
      </c>
      <c r="X212" s="7">
        <f t="shared" si="91"/>
        <v>31</v>
      </c>
      <c r="Y212" s="22">
        <f t="shared" si="92"/>
        <v>8</v>
      </c>
      <c r="Z212" s="15">
        <f t="shared" si="88"/>
        <v>23</v>
      </c>
      <c r="AA212" s="19">
        <v>13</v>
      </c>
      <c r="AB212" s="19">
        <v>12</v>
      </c>
      <c r="AC212" s="19">
        <v>3</v>
      </c>
      <c r="AD212" s="19">
        <v>0</v>
      </c>
      <c r="AE212" s="19">
        <v>0</v>
      </c>
      <c r="AF212" s="19">
        <v>8</v>
      </c>
      <c r="AG212" s="36">
        <f t="shared" si="86"/>
        <v>0</v>
      </c>
      <c r="AH212" s="36">
        <f t="shared" si="86"/>
        <v>7</v>
      </c>
      <c r="AI212" s="36">
        <f t="shared" si="86"/>
        <v>1</v>
      </c>
      <c r="AJ212" s="36">
        <f t="shared" si="86"/>
        <v>0</v>
      </c>
      <c r="AK212" s="36">
        <f t="shared" si="86"/>
        <v>0</v>
      </c>
      <c r="AL212" s="36">
        <f t="shared" si="86"/>
        <v>0</v>
      </c>
      <c r="AM212" s="7">
        <v>13</v>
      </c>
      <c r="AN212" s="7">
        <v>19</v>
      </c>
      <c r="AO212" s="7">
        <v>4</v>
      </c>
      <c r="AP212" s="7">
        <v>0</v>
      </c>
      <c r="AQ212" s="7">
        <v>0</v>
      </c>
      <c r="AR212" s="7">
        <v>8</v>
      </c>
      <c r="AS212" s="22">
        <f t="shared" si="95"/>
        <v>31</v>
      </c>
      <c r="AT212" s="22">
        <f t="shared" si="94"/>
        <v>5.0632911392405058</v>
      </c>
      <c r="AU212" s="5">
        <f t="shared" si="96"/>
        <v>8</v>
      </c>
      <c r="AV212" s="5">
        <f t="shared" si="97"/>
        <v>5.0632911392405058</v>
      </c>
      <c r="AW212" s="5">
        <f t="shared" si="98"/>
        <v>15</v>
      </c>
      <c r="AX212" s="5">
        <f t="shared" si="99"/>
        <v>0</v>
      </c>
      <c r="AY212" s="5">
        <f t="shared" si="100"/>
        <v>4.4303797468354427</v>
      </c>
      <c r="AZ212" s="5">
        <f t="shared" si="101"/>
        <v>0.63291139240506322</v>
      </c>
      <c r="BA212" s="5">
        <f t="shared" si="102"/>
        <v>0</v>
      </c>
      <c r="BB212" s="5">
        <f t="shared" si="103"/>
        <v>0</v>
      </c>
      <c r="BC212" s="5">
        <f t="shared" si="104"/>
        <v>0</v>
      </c>
      <c r="BD212" s="6"/>
      <c r="BE212" s="6"/>
      <c r="BF212" s="59"/>
      <c r="BG212" s="6"/>
      <c r="BH212" s="5"/>
      <c r="BI212" s="5"/>
      <c r="BJ212" s="5" t="s">
        <v>376</v>
      </c>
    </row>
    <row r="213" spans="1:62">
      <c r="A213" s="2" t="s">
        <v>375</v>
      </c>
      <c r="B213" s="3" t="s">
        <v>32</v>
      </c>
      <c r="C213" s="4" t="s">
        <v>32</v>
      </c>
      <c r="D213" s="4">
        <v>88</v>
      </c>
      <c r="E213" s="4">
        <v>74</v>
      </c>
      <c r="F213" s="4">
        <v>2008</v>
      </c>
      <c r="G213" s="39">
        <v>4</v>
      </c>
      <c r="H213" s="28">
        <v>0</v>
      </c>
      <c r="I213" s="28">
        <v>2</v>
      </c>
      <c r="J213" s="5">
        <v>2022</v>
      </c>
      <c r="K213" s="5">
        <v>2024</v>
      </c>
      <c r="L213" s="5">
        <f t="shared" si="106"/>
        <v>1.58</v>
      </c>
      <c r="M213" s="5">
        <v>0</v>
      </c>
      <c r="N213" s="5" t="s">
        <v>379</v>
      </c>
      <c r="O213" s="5" t="s">
        <v>35</v>
      </c>
      <c r="P213" s="5">
        <v>0</v>
      </c>
      <c r="Q213" s="6"/>
      <c r="R213" s="5" t="s">
        <v>30</v>
      </c>
      <c r="S213" s="5" t="s">
        <v>228</v>
      </c>
      <c r="T213" s="6" t="s">
        <v>84</v>
      </c>
      <c r="U213" s="6">
        <v>0</v>
      </c>
      <c r="V213" s="25">
        <v>53</v>
      </c>
      <c r="W213" s="5">
        <v>5</v>
      </c>
      <c r="X213" s="7">
        <f t="shared" si="91"/>
        <v>6</v>
      </c>
      <c r="Y213" s="22">
        <f t="shared" si="92"/>
        <v>0</v>
      </c>
      <c r="Z213" s="15">
        <f t="shared" si="88"/>
        <v>6</v>
      </c>
      <c r="AA213" s="19">
        <v>4</v>
      </c>
      <c r="AB213" s="19">
        <v>0</v>
      </c>
      <c r="AC213" s="19">
        <v>0</v>
      </c>
      <c r="AD213" s="19">
        <v>2</v>
      </c>
      <c r="AE213" s="19">
        <v>2</v>
      </c>
      <c r="AF213" s="19">
        <v>2</v>
      </c>
      <c r="AG213" s="36">
        <f t="shared" si="86"/>
        <v>0</v>
      </c>
      <c r="AH213" s="36">
        <f t="shared" si="86"/>
        <v>0</v>
      </c>
      <c r="AI213" s="36">
        <f t="shared" si="86"/>
        <v>0</v>
      </c>
      <c r="AJ213" s="36">
        <f t="shared" si="86"/>
        <v>0</v>
      </c>
      <c r="AK213" s="36">
        <f t="shared" si="86"/>
        <v>0</v>
      </c>
      <c r="AL213" s="36">
        <f t="shared" si="86"/>
        <v>0</v>
      </c>
      <c r="AM213" s="7">
        <v>4</v>
      </c>
      <c r="AN213" s="7">
        <v>0</v>
      </c>
      <c r="AO213" s="7">
        <v>0</v>
      </c>
      <c r="AP213" s="7">
        <v>2</v>
      </c>
      <c r="AQ213" s="7">
        <v>2</v>
      </c>
      <c r="AR213" s="7">
        <v>2</v>
      </c>
      <c r="AS213" s="22">
        <f t="shared" si="95"/>
        <v>6</v>
      </c>
      <c r="AT213" s="22">
        <f t="shared" si="94"/>
        <v>0</v>
      </c>
      <c r="AU213" s="5">
        <f t="shared" si="96"/>
        <v>0</v>
      </c>
      <c r="AV213" s="5">
        <f t="shared" si="97"/>
        <v>0</v>
      </c>
      <c r="AW213" s="5">
        <f t="shared" si="98"/>
        <v>4</v>
      </c>
      <c r="AX213" s="5">
        <f t="shared" si="99"/>
        <v>0</v>
      </c>
      <c r="AY213" s="5">
        <f t="shared" si="100"/>
        <v>0</v>
      </c>
      <c r="AZ213" s="5">
        <f t="shared" si="101"/>
        <v>0</v>
      </c>
      <c r="BA213" s="5">
        <f t="shared" si="102"/>
        <v>0</v>
      </c>
      <c r="BB213" s="5">
        <f t="shared" si="103"/>
        <v>0</v>
      </c>
      <c r="BC213" s="5">
        <f t="shared" si="104"/>
        <v>0</v>
      </c>
      <c r="BD213" s="6"/>
      <c r="BE213" s="6"/>
      <c r="BF213" s="59"/>
      <c r="BG213" s="6"/>
      <c r="BH213" s="5"/>
      <c r="BI213" s="5"/>
      <c r="BJ213" s="5" t="s">
        <v>379</v>
      </c>
    </row>
    <row r="214" spans="1:62">
      <c r="A214" s="2" t="s">
        <v>375</v>
      </c>
      <c r="B214" s="3" t="s">
        <v>32</v>
      </c>
      <c r="C214" s="4" t="s">
        <v>32</v>
      </c>
      <c r="D214" s="4">
        <v>88</v>
      </c>
      <c r="E214" s="4">
        <v>74</v>
      </c>
      <c r="F214" s="4">
        <v>2008</v>
      </c>
      <c r="G214" s="39">
        <v>4</v>
      </c>
      <c r="H214" s="28">
        <v>0</v>
      </c>
      <c r="I214" s="28">
        <v>2</v>
      </c>
      <c r="J214" s="5">
        <v>2021</v>
      </c>
      <c r="K214" s="5">
        <v>2024</v>
      </c>
      <c r="L214" s="5">
        <f t="shared" si="106"/>
        <v>2.58</v>
      </c>
      <c r="M214" s="5">
        <v>0</v>
      </c>
      <c r="N214" s="5" t="s">
        <v>380</v>
      </c>
      <c r="O214" s="5" t="s">
        <v>28</v>
      </c>
      <c r="P214" s="5">
        <v>0</v>
      </c>
      <c r="Q214" s="6"/>
      <c r="R214" s="5" t="s">
        <v>30</v>
      </c>
      <c r="S214" s="5" t="s">
        <v>217</v>
      </c>
      <c r="T214" s="6" t="s">
        <v>218</v>
      </c>
      <c r="U214" s="6" t="s">
        <v>559</v>
      </c>
      <c r="V214" s="25">
        <v>3</v>
      </c>
      <c r="W214" s="5">
        <v>2</v>
      </c>
      <c r="X214" s="7">
        <f t="shared" si="91"/>
        <v>26</v>
      </c>
      <c r="Y214" s="22">
        <f t="shared" si="92"/>
        <v>22</v>
      </c>
      <c r="Z214" s="15">
        <f t="shared" si="88"/>
        <v>4</v>
      </c>
      <c r="AA214" s="19">
        <v>0</v>
      </c>
      <c r="AB214" s="19">
        <v>2</v>
      </c>
      <c r="AC214" s="19">
        <v>2</v>
      </c>
      <c r="AD214" s="19">
        <v>0</v>
      </c>
      <c r="AE214" s="19">
        <v>0</v>
      </c>
      <c r="AF214" s="19">
        <v>0</v>
      </c>
      <c r="AG214" s="36">
        <f t="shared" si="86"/>
        <v>1</v>
      </c>
      <c r="AH214" s="36">
        <f t="shared" si="86"/>
        <v>0</v>
      </c>
      <c r="AI214" s="36">
        <f t="shared" si="86"/>
        <v>18</v>
      </c>
      <c r="AJ214" s="36">
        <f t="shared" si="86"/>
        <v>0</v>
      </c>
      <c r="AK214" s="36">
        <f t="shared" si="86"/>
        <v>2</v>
      </c>
      <c r="AL214" s="36">
        <f t="shared" si="86"/>
        <v>2</v>
      </c>
      <c r="AM214" s="7">
        <v>1</v>
      </c>
      <c r="AN214" s="7">
        <v>2</v>
      </c>
      <c r="AO214" s="7">
        <v>20</v>
      </c>
      <c r="AP214" s="7">
        <v>0</v>
      </c>
      <c r="AQ214" s="7">
        <v>2</v>
      </c>
      <c r="AR214" s="7">
        <v>2</v>
      </c>
      <c r="AS214" s="22">
        <f t="shared" si="95"/>
        <v>26</v>
      </c>
      <c r="AT214" s="22">
        <f t="shared" si="94"/>
        <v>8.5271317829457356</v>
      </c>
      <c r="AU214" s="5">
        <f t="shared" si="96"/>
        <v>20</v>
      </c>
      <c r="AV214" s="5">
        <f t="shared" si="97"/>
        <v>7.7519379844961236</v>
      </c>
      <c r="AW214" s="5">
        <f t="shared" si="98"/>
        <v>4</v>
      </c>
      <c r="AX214" s="5">
        <f t="shared" si="99"/>
        <v>0.38759689922480617</v>
      </c>
      <c r="AY214" s="5">
        <f t="shared" si="100"/>
        <v>0</v>
      </c>
      <c r="AZ214" s="5">
        <f t="shared" si="101"/>
        <v>6.9767441860465116</v>
      </c>
      <c r="BA214" s="5">
        <f t="shared" si="102"/>
        <v>0</v>
      </c>
      <c r="BB214" s="5">
        <f t="shared" si="103"/>
        <v>0.77519379844961234</v>
      </c>
      <c r="BC214" s="5">
        <f t="shared" si="104"/>
        <v>0.77519379844961234</v>
      </c>
      <c r="BD214" s="6"/>
      <c r="BE214" s="6"/>
      <c r="BF214" s="59"/>
      <c r="BG214" s="6"/>
      <c r="BH214" s="5"/>
      <c r="BI214" s="5"/>
      <c r="BJ214" s="5" t="s">
        <v>380</v>
      </c>
    </row>
    <row r="215" spans="1:62">
      <c r="A215" s="2" t="s">
        <v>375</v>
      </c>
      <c r="B215" s="3" t="s">
        <v>32</v>
      </c>
      <c r="C215" s="4" t="s">
        <v>32</v>
      </c>
      <c r="D215" s="4">
        <v>88</v>
      </c>
      <c r="E215" s="4">
        <v>74</v>
      </c>
      <c r="F215" s="4">
        <v>2008</v>
      </c>
      <c r="G215" s="39">
        <v>4</v>
      </c>
      <c r="H215" s="28">
        <v>0</v>
      </c>
      <c r="I215" s="28">
        <v>2</v>
      </c>
      <c r="J215" s="5">
        <v>2021</v>
      </c>
      <c r="K215" s="5">
        <v>2024</v>
      </c>
      <c r="L215" s="5">
        <f t="shared" si="106"/>
        <v>2.58</v>
      </c>
      <c r="M215" s="5">
        <v>0</v>
      </c>
      <c r="N215" s="5" t="s">
        <v>381</v>
      </c>
      <c r="O215" s="5" t="s">
        <v>35</v>
      </c>
      <c r="P215" s="5">
        <v>0</v>
      </c>
      <c r="Q215" s="6"/>
      <c r="R215" s="5" t="s">
        <v>30</v>
      </c>
      <c r="S215" s="5" t="s">
        <v>185</v>
      </c>
      <c r="T215" s="6" t="s">
        <v>84</v>
      </c>
      <c r="U215" s="6">
        <v>0</v>
      </c>
      <c r="V215" s="25">
        <v>68</v>
      </c>
      <c r="W215" s="5">
        <v>5</v>
      </c>
      <c r="X215" s="7">
        <f t="shared" si="91"/>
        <v>27</v>
      </c>
      <c r="Y215" s="22">
        <f t="shared" si="92"/>
        <v>15</v>
      </c>
      <c r="Z215" s="15">
        <f t="shared" si="88"/>
        <v>12</v>
      </c>
      <c r="AA215" s="19">
        <v>7</v>
      </c>
      <c r="AB215" s="19">
        <v>0</v>
      </c>
      <c r="AC215" s="19">
        <v>9</v>
      </c>
      <c r="AD215" s="19">
        <v>1</v>
      </c>
      <c r="AE215" s="19">
        <v>1</v>
      </c>
      <c r="AF215" s="19">
        <v>1</v>
      </c>
      <c r="AG215" s="36">
        <f t="shared" si="86"/>
        <v>6</v>
      </c>
      <c r="AH215" s="36">
        <f t="shared" si="86"/>
        <v>0</v>
      </c>
      <c r="AI215" s="36">
        <f t="shared" si="86"/>
        <v>11</v>
      </c>
      <c r="AJ215" s="36">
        <f t="shared" si="86"/>
        <v>1</v>
      </c>
      <c r="AK215" s="36">
        <f t="shared" si="86"/>
        <v>0</v>
      </c>
      <c r="AL215" s="36">
        <f t="shared" si="86"/>
        <v>3</v>
      </c>
      <c r="AM215" s="7">
        <v>13</v>
      </c>
      <c r="AN215" s="7">
        <v>0</v>
      </c>
      <c r="AO215" s="7">
        <v>20</v>
      </c>
      <c r="AP215" s="7">
        <v>2</v>
      </c>
      <c r="AQ215" s="7">
        <v>1</v>
      </c>
      <c r="AR215" s="7">
        <v>4</v>
      </c>
      <c r="AS215" s="22">
        <f t="shared" si="95"/>
        <v>27</v>
      </c>
      <c r="AT215" s="22">
        <f t="shared" si="94"/>
        <v>5.8139534883720927</v>
      </c>
      <c r="AU215" s="5">
        <f t="shared" si="96"/>
        <v>12</v>
      </c>
      <c r="AV215" s="5">
        <f t="shared" si="97"/>
        <v>4.6511627906976747</v>
      </c>
      <c r="AW215" s="5">
        <f t="shared" si="98"/>
        <v>11</v>
      </c>
      <c r="AX215" s="5">
        <f t="shared" si="99"/>
        <v>2.3255813953488373</v>
      </c>
      <c r="AY215" s="5">
        <f t="shared" si="100"/>
        <v>0</v>
      </c>
      <c r="AZ215" s="5">
        <f t="shared" si="101"/>
        <v>4.2635658914728678</v>
      </c>
      <c r="BA215" s="5">
        <f t="shared" si="102"/>
        <v>0.38759689922480617</v>
      </c>
      <c r="BB215" s="5">
        <f t="shared" si="103"/>
        <v>0</v>
      </c>
      <c r="BC215" s="5">
        <f t="shared" si="104"/>
        <v>1.1627906976744187</v>
      </c>
      <c r="BD215" s="6"/>
      <c r="BE215" s="6"/>
      <c r="BF215" s="59"/>
      <c r="BG215" s="6"/>
      <c r="BH215" s="5"/>
      <c r="BI215" s="5"/>
      <c r="BJ215" s="5" t="s">
        <v>381</v>
      </c>
    </row>
    <row r="216" spans="1:62">
      <c r="A216" s="2" t="s">
        <v>375</v>
      </c>
      <c r="B216" s="3" t="s">
        <v>32</v>
      </c>
      <c r="C216" s="4" t="s">
        <v>32</v>
      </c>
      <c r="D216" s="4">
        <v>88</v>
      </c>
      <c r="E216" s="4">
        <v>74</v>
      </c>
      <c r="F216" s="4">
        <v>2008</v>
      </c>
      <c r="G216" s="39">
        <v>4</v>
      </c>
      <c r="H216" s="28">
        <v>0</v>
      </c>
      <c r="I216" s="28">
        <v>2</v>
      </c>
      <c r="J216" s="5">
        <v>2020</v>
      </c>
      <c r="K216" s="5">
        <v>2024</v>
      </c>
      <c r="L216" s="5">
        <f t="shared" si="106"/>
        <v>3.58</v>
      </c>
      <c r="M216" s="5">
        <v>0</v>
      </c>
      <c r="N216" s="5" t="s">
        <v>382</v>
      </c>
      <c r="O216" s="5" t="s">
        <v>35</v>
      </c>
      <c r="P216" s="5">
        <v>0</v>
      </c>
      <c r="Q216" s="6"/>
      <c r="R216" s="5" t="s">
        <v>30</v>
      </c>
      <c r="S216" s="5" t="s">
        <v>217</v>
      </c>
      <c r="T216" s="6" t="s">
        <v>218</v>
      </c>
      <c r="U216" s="6" t="s">
        <v>559</v>
      </c>
      <c r="V216" s="25">
        <v>3</v>
      </c>
      <c r="W216" s="5">
        <v>7</v>
      </c>
      <c r="X216" s="7">
        <f t="shared" si="91"/>
        <v>18</v>
      </c>
      <c r="Y216" s="22">
        <f t="shared" si="92"/>
        <v>8</v>
      </c>
      <c r="Z216" s="15">
        <f t="shared" si="88"/>
        <v>10</v>
      </c>
      <c r="AA216" s="19">
        <v>7</v>
      </c>
      <c r="AB216" s="19">
        <v>0</v>
      </c>
      <c r="AC216" s="19">
        <v>8</v>
      </c>
      <c r="AD216" s="19">
        <v>2</v>
      </c>
      <c r="AE216" s="19">
        <v>0</v>
      </c>
      <c r="AF216" s="19">
        <v>0</v>
      </c>
      <c r="AG216" s="36">
        <f t="shared" si="86"/>
        <v>2</v>
      </c>
      <c r="AH216" s="36">
        <f t="shared" ref="AH216:AL247" si="107">AN216-AB216</f>
        <v>0</v>
      </c>
      <c r="AI216" s="36">
        <f t="shared" si="107"/>
        <v>7</v>
      </c>
      <c r="AJ216" s="36">
        <f t="shared" si="107"/>
        <v>0</v>
      </c>
      <c r="AK216" s="36">
        <f t="shared" si="107"/>
        <v>0</v>
      </c>
      <c r="AL216" s="36">
        <f t="shared" si="107"/>
        <v>1</v>
      </c>
      <c r="AM216" s="7">
        <v>9</v>
      </c>
      <c r="AN216" s="7">
        <v>0</v>
      </c>
      <c r="AO216" s="7">
        <v>15</v>
      </c>
      <c r="AP216" s="7">
        <v>2</v>
      </c>
      <c r="AQ216" s="7">
        <v>0</v>
      </c>
      <c r="AR216" s="7">
        <v>1</v>
      </c>
      <c r="AS216" s="22">
        <f t="shared" si="95"/>
        <v>18</v>
      </c>
      <c r="AT216" s="22">
        <f t="shared" si="94"/>
        <v>2.2346368715083798</v>
      </c>
      <c r="AU216" s="5">
        <f t="shared" si="96"/>
        <v>7</v>
      </c>
      <c r="AV216" s="5">
        <f t="shared" si="97"/>
        <v>1.9553072625698324</v>
      </c>
      <c r="AW216" s="5">
        <f t="shared" si="98"/>
        <v>10</v>
      </c>
      <c r="AX216" s="5">
        <f t="shared" si="99"/>
        <v>0.55865921787709494</v>
      </c>
      <c r="AY216" s="5">
        <f t="shared" si="100"/>
        <v>0</v>
      </c>
      <c r="AZ216" s="5">
        <f t="shared" si="101"/>
        <v>1.9553072625698324</v>
      </c>
      <c r="BA216" s="5">
        <f t="shared" si="102"/>
        <v>0</v>
      </c>
      <c r="BB216" s="5">
        <f t="shared" si="103"/>
        <v>0</v>
      </c>
      <c r="BC216" s="5">
        <f t="shared" si="104"/>
        <v>0.27932960893854747</v>
      </c>
      <c r="BD216" s="6"/>
      <c r="BE216" s="6"/>
      <c r="BF216" s="59"/>
      <c r="BG216" s="6"/>
      <c r="BH216" s="5"/>
      <c r="BI216" s="5"/>
      <c r="BJ216" s="5" t="s">
        <v>382</v>
      </c>
    </row>
    <row r="217" spans="1:62">
      <c r="A217" s="2" t="s">
        <v>375</v>
      </c>
      <c r="B217" s="3" t="s">
        <v>32</v>
      </c>
      <c r="C217" s="4" t="s">
        <v>32</v>
      </c>
      <c r="D217" s="4">
        <v>88</v>
      </c>
      <c r="E217" s="4">
        <v>74</v>
      </c>
      <c r="F217" s="4">
        <v>2008</v>
      </c>
      <c r="G217" s="39">
        <v>4</v>
      </c>
      <c r="H217" s="28">
        <v>0</v>
      </c>
      <c r="I217" s="28">
        <v>2</v>
      </c>
      <c r="J217" s="5">
        <v>2020</v>
      </c>
      <c r="K217" s="5">
        <v>2024</v>
      </c>
      <c r="L217" s="5">
        <f t="shared" si="106"/>
        <v>3.58</v>
      </c>
      <c r="M217" s="5">
        <v>0</v>
      </c>
      <c r="N217" s="5" t="s">
        <v>383</v>
      </c>
      <c r="O217" s="5" t="s">
        <v>35</v>
      </c>
      <c r="P217" s="5">
        <v>0</v>
      </c>
      <c r="Q217" s="6"/>
      <c r="R217" s="5" t="s">
        <v>30</v>
      </c>
      <c r="S217" s="5" t="s">
        <v>217</v>
      </c>
      <c r="T217" s="6" t="s">
        <v>218</v>
      </c>
      <c r="U217" s="6" t="s">
        <v>559</v>
      </c>
      <c r="V217" s="25">
        <v>3</v>
      </c>
      <c r="W217" s="5">
        <v>4</v>
      </c>
      <c r="X217" s="7">
        <f t="shared" si="91"/>
        <v>26</v>
      </c>
      <c r="Y217" s="22">
        <f t="shared" si="92"/>
        <v>25</v>
      </c>
      <c r="Z217" s="15">
        <f t="shared" si="88"/>
        <v>1</v>
      </c>
      <c r="AA217" s="19">
        <v>1</v>
      </c>
      <c r="AB217" s="19">
        <v>0</v>
      </c>
      <c r="AC217" s="19">
        <v>1</v>
      </c>
      <c r="AD217" s="19">
        <v>0</v>
      </c>
      <c r="AE217" s="19">
        <v>0</v>
      </c>
      <c r="AF217" s="19">
        <v>0</v>
      </c>
      <c r="AG217" s="36">
        <f t="shared" ref="AG217:AL280" si="108">AM217-AA217</f>
        <v>0</v>
      </c>
      <c r="AH217" s="36">
        <f t="shared" si="107"/>
        <v>0</v>
      </c>
      <c r="AI217" s="36">
        <f t="shared" si="107"/>
        <v>22</v>
      </c>
      <c r="AJ217" s="36">
        <f t="shared" si="107"/>
        <v>1</v>
      </c>
      <c r="AK217" s="36">
        <f t="shared" si="107"/>
        <v>0</v>
      </c>
      <c r="AL217" s="36">
        <f t="shared" si="107"/>
        <v>2</v>
      </c>
      <c r="AM217" s="7">
        <v>1</v>
      </c>
      <c r="AN217" s="7">
        <v>0</v>
      </c>
      <c r="AO217" s="7">
        <v>23</v>
      </c>
      <c r="AP217" s="7">
        <v>1</v>
      </c>
      <c r="AQ217" s="7">
        <v>0</v>
      </c>
      <c r="AR217" s="7">
        <v>2</v>
      </c>
      <c r="AS217" s="22">
        <f t="shared" si="95"/>
        <v>26</v>
      </c>
      <c r="AT217" s="22">
        <f t="shared" si="94"/>
        <v>6.983240223463687</v>
      </c>
      <c r="AU217" s="5">
        <f t="shared" si="96"/>
        <v>23</v>
      </c>
      <c r="AV217" s="5">
        <f t="shared" si="97"/>
        <v>6.4245810055865924</v>
      </c>
      <c r="AW217" s="5">
        <f t="shared" si="98"/>
        <v>1</v>
      </c>
      <c r="AX217" s="5">
        <f t="shared" si="99"/>
        <v>0</v>
      </c>
      <c r="AY217" s="5">
        <f t="shared" si="100"/>
        <v>0</v>
      </c>
      <c r="AZ217" s="5">
        <f t="shared" si="101"/>
        <v>6.1452513966480442</v>
      </c>
      <c r="BA217" s="5">
        <f t="shared" si="102"/>
        <v>0.27932960893854747</v>
      </c>
      <c r="BB217" s="5">
        <f t="shared" si="103"/>
        <v>0</v>
      </c>
      <c r="BC217" s="5">
        <f t="shared" si="104"/>
        <v>0.55865921787709494</v>
      </c>
      <c r="BD217" s="6"/>
      <c r="BE217" s="6"/>
      <c r="BF217" s="59"/>
      <c r="BG217" s="6"/>
      <c r="BH217" s="5"/>
      <c r="BI217" s="5"/>
      <c r="BJ217" s="5" t="s">
        <v>383</v>
      </c>
    </row>
    <row r="218" spans="1:62">
      <c r="A218" s="2" t="s">
        <v>375</v>
      </c>
      <c r="B218" s="3" t="s">
        <v>32</v>
      </c>
      <c r="C218" s="4" t="s">
        <v>32</v>
      </c>
      <c r="D218" s="4">
        <v>88</v>
      </c>
      <c r="E218" s="4">
        <v>74</v>
      </c>
      <c r="F218" s="4">
        <v>2008</v>
      </c>
      <c r="G218" s="39">
        <v>4</v>
      </c>
      <c r="H218" s="28">
        <v>0</v>
      </c>
      <c r="I218" s="28">
        <v>2</v>
      </c>
      <c r="J218" s="12">
        <v>2017</v>
      </c>
      <c r="K218" s="5">
        <v>2024</v>
      </c>
      <c r="L218" s="5">
        <f t="shared" si="106"/>
        <v>6.58</v>
      </c>
      <c r="M218" s="5">
        <v>0</v>
      </c>
      <c r="N218" s="5" t="s">
        <v>384</v>
      </c>
      <c r="O218" s="5" t="s">
        <v>35</v>
      </c>
      <c r="P218" s="5">
        <v>0</v>
      </c>
      <c r="Q218" s="6"/>
      <c r="R218" s="5" t="s">
        <v>30</v>
      </c>
      <c r="S218" s="5" t="s">
        <v>217</v>
      </c>
      <c r="T218" s="6" t="s">
        <v>218</v>
      </c>
      <c r="U218" s="6" t="s">
        <v>559</v>
      </c>
      <c r="V218" s="25">
        <v>3</v>
      </c>
      <c r="W218" s="5">
        <v>15</v>
      </c>
      <c r="X218" s="7">
        <f t="shared" si="91"/>
        <v>160</v>
      </c>
      <c r="Y218" s="22">
        <f t="shared" si="92"/>
        <v>150</v>
      </c>
      <c r="Z218" s="15">
        <f t="shared" si="88"/>
        <v>10</v>
      </c>
      <c r="AA218" s="19">
        <v>2</v>
      </c>
      <c r="AB218" s="19">
        <v>2</v>
      </c>
      <c r="AC218" s="19">
        <v>8</v>
      </c>
      <c r="AD218" s="19">
        <v>0</v>
      </c>
      <c r="AE218" s="19">
        <v>0</v>
      </c>
      <c r="AF218" s="19">
        <v>0</v>
      </c>
      <c r="AG218" s="36">
        <f t="shared" si="108"/>
        <v>69</v>
      </c>
      <c r="AH218" s="36">
        <f t="shared" si="107"/>
        <v>2</v>
      </c>
      <c r="AI218" s="36">
        <f t="shared" si="107"/>
        <v>45</v>
      </c>
      <c r="AJ218" s="36">
        <f t="shared" si="107"/>
        <v>1</v>
      </c>
      <c r="AK218" s="36">
        <f t="shared" si="107"/>
        <v>3</v>
      </c>
      <c r="AL218" s="36">
        <f t="shared" si="107"/>
        <v>99</v>
      </c>
      <c r="AM218" s="7">
        <v>71</v>
      </c>
      <c r="AN218" s="7">
        <v>4</v>
      </c>
      <c r="AO218" s="7">
        <v>53</v>
      </c>
      <c r="AP218" s="7">
        <v>1</v>
      </c>
      <c r="AQ218" s="7">
        <v>3</v>
      </c>
      <c r="AR218" s="7">
        <v>99</v>
      </c>
      <c r="AS218" s="22">
        <f t="shared" si="95"/>
        <v>160</v>
      </c>
      <c r="AT218" s="22">
        <f t="shared" si="94"/>
        <v>22.796352583586625</v>
      </c>
      <c r="AU218" s="5">
        <f t="shared" si="96"/>
        <v>51</v>
      </c>
      <c r="AV218" s="5">
        <f t="shared" si="97"/>
        <v>7.7507598784194531</v>
      </c>
      <c r="AW218" s="5">
        <f t="shared" si="98"/>
        <v>10</v>
      </c>
      <c r="AX218" s="5">
        <f t="shared" si="99"/>
        <v>10.486322188449847</v>
      </c>
      <c r="AY218" s="5">
        <f t="shared" si="100"/>
        <v>0.303951367781155</v>
      </c>
      <c r="AZ218" s="5">
        <f t="shared" si="101"/>
        <v>6.8389057750759878</v>
      </c>
      <c r="BA218" s="5">
        <f t="shared" si="102"/>
        <v>0.1519756838905775</v>
      </c>
      <c r="BB218" s="5">
        <f t="shared" si="103"/>
        <v>0.45592705167173253</v>
      </c>
      <c r="BC218" s="5">
        <f t="shared" si="104"/>
        <v>15.045592705167174</v>
      </c>
      <c r="BD218" s="6"/>
      <c r="BE218" s="6"/>
      <c r="BF218" s="59"/>
      <c r="BG218" s="6"/>
      <c r="BH218" s="5"/>
      <c r="BI218" s="5"/>
      <c r="BJ218" s="5" t="s">
        <v>384</v>
      </c>
    </row>
    <row r="219" spans="1:62">
      <c r="A219" s="2" t="s">
        <v>375</v>
      </c>
      <c r="B219" s="3" t="s">
        <v>32</v>
      </c>
      <c r="C219" s="4" t="s">
        <v>32</v>
      </c>
      <c r="D219" s="4">
        <v>88</v>
      </c>
      <c r="E219" s="4">
        <v>74</v>
      </c>
      <c r="F219" s="4">
        <v>2008</v>
      </c>
      <c r="G219" s="39">
        <v>4</v>
      </c>
      <c r="H219" s="28">
        <v>0</v>
      </c>
      <c r="I219" s="28">
        <v>2</v>
      </c>
      <c r="J219" s="12">
        <v>2017</v>
      </c>
      <c r="K219" s="5">
        <v>2024</v>
      </c>
      <c r="L219" s="5">
        <f t="shared" si="106"/>
        <v>6.58</v>
      </c>
      <c r="M219" s="5">
        <v>0</v>
      </c>
      <c r="N219" s="5" t="s">
        <v>385</v>
      </c>
      <c r="O219" s="5" t="s">
        <v>35</v>
      </c>
      <c r="P219" s="5">
        <v>0</v>
      </c>
      <c r="Q219" s="6"/>
      <c r="R219" s="5" t="s">
        <v>30</v>
      </c>
      <c r="S219" s="5" t="s">
        <v>386</v>
      </c>
      <c r="T219" s="6" t="s">
        <v>218</v>
      </c>
      <c r="U219" s="6" t="s">
        <v>559</v>
      </c>
      <c r="V219" s="25">
        <v>5</v>
      </c>
      <c r="W219" s="5">
        <v>14</v>
      </c>
      <c r="X219" s="7">
        <f t="shared" si="91"/>
        <v>62</v>
      </c>
      <c r="Y219" s="22">
        <f t="shared" si="92"/>
        <v>52</v>
      </c>
      <c r="Z219" s="15">
        <f t="shared" si="88"/>
        <v>10</v>
      </c>
      <c r="AA219" s="19">
        <v>2</v>
      </c>
      <c r="AB219" s="19">
        <v>2</v>
      </c>
      <c r="AC219" s="19">
        <v>6</v>
      </c>
      <c r="AD219" s="19">
        <v>1</v>
      </c>
      <c r="AE219" s="19">
        <v>1</v>
      </c>
      <c r="AF219" s="19">
        <v>0</v>
      </c>
      <c r="AG219" s="36">
        <f t="shared" si="108"/>
        <v>9</v>
      </c>
      <c r="AH219" s="36">
        <f t="shared" si="107"/>
        <v>1</v>
      </c>
      <c r="AI219" s="36">
        <f t="shared" si="107"/>
        <v>42</v>
      </c>
      <c r="AJ219" s="36">
        <f t="shared" si="107"/>
        <v>0</v>
      </c>
      <c r="AK219" s="36">
        <f t="shared" si="107"/>
        <v>1</v>
      </c>
      <c r="AL219" s="36">
        <f t="shared" si="107"/>
        <v>8</v>
      </c>
      <c r="AM219" s="7">
        <v>11</v>
      </c>
      <c r="AN219" s="7">
        <v>3</v>
      </c>
      <c r="AO219" s="7">
        <v>48</v>
      </c>
      <c r="AP219" s="7">
        <v>1</v>
      </c>
      <c r="AQ219" s="7">
        <v>2</v>
      </c>
      <c r="AR219" s="7">
        <v>8</v>
      </c>
      <c r="AS219" s="22">
        <f t="shared" si="95"/>
        <v>62</v>
      </c>
      <c r="AT219" s="22">
        <f t="shared" si="94"/>
        <v>7.9027355623100304</v>
      </c>
      <c r="AU219" s="5">
        <f t="shared" si="96"/>
        <v>44</v>
      </c>
      <c r="AV219" s="5">
        <f t="shared" si="97"/>
        <v>6.6869300911854106</v>
      </c>
      <c r="AW219" s="5">
        <f t="shared" si="98"/>
        <v>10</v>
      </c>
      <c r="AX219" s="5">
        <f t="shared" si="99"/>
        <v>1.3677811550151975</v>
      </c>
      <c r="AY219" s="5">
        <f t="shared" si="100"/>
        <v>0.1519756838905775</v>
      </c>
      <c r="AZ219" s="5">
        <f t="shared" si="101"/>
        <v>6.3829787234042552</v>
      </c>
      <c r="BA219" s="5">
        <f t="shared" si="102"/>
        <v>0</v>
      </c>
      <c r="BB219" s="5">
        <f t="shared" si="103"/>
        <v>0.1519756838905775</v>
      </c>
      <c r="BC219" s="5">
        <f t="shared" si="104"/>
        <v>1.21580547112462</v>
      </c>
      <c r="BD219" s="6"/>
      <c r="BE219" s="6"/>
      <c r="BF219" s="59"/>
      <c r="BG219" s="6"/>
      <c r="BH219" s="5"/>
      <c r="BI219" s="5"/>
      <c r="BJ219" s="5" t="s">
        <v>385</v>
      </c>
    </row>
    <row r="220" spans="1:62">
      <c r="A220" s="2" t="s">
        <v>375</v>
      </c>
      <c r="B220" s="3" t="s">
        <v>32</v>
      </c>
      <c r="C220" s="4" t="s">
        <v>32</v>
      </c>
      <c r="D220" s="4">
        <v>88</v>
      </c>
      <c r="E220" s="4">
        <v>74</v>
      </c>
      <c r="F220" s="4">
        <v>2008</v>
      </c>
      <c r="G220" s="39">
        <v>4</v>
      </c>
      <c r="H220" s="28">
        <v>0</v>
      </c>
      <c r="I220" s="28">
        <v>2</v>
      </c>
      <c r="J220" s="5">
        <v>2019</v>
      </c>
      <c r="K220" s="5">
        <v>2024</v>
      </c>
      <c r="L220" s="5">
        <f t="shared" si="106"/>
        <v>4.58</v>
      </c>
      <c r="M220" s="5">
        <v>0</v>
      </c>
      <c r="N220" s="5" t="s">
        <v>387</v>
      </c>
      <c r="O220" s="5" t="s">
        <v>35</v>
      </c>
      <c r="P220" s="5">
        <v>0</v>
      </c>
      <c r="Q220" s="6"/>
      <c r="R220" s="5" t="s">
        <v>30</v>
      </c>
      <c r="S220" s="5" t="s">
        <v>295</v>
      </c>
      <c r="T220" s="6" t="s">
        <v>218</v>
      </c>
      <c r="U220" s="6" t="s">
        <v>559</v>
      </c>
      <c r="V220" s="25">
        <v>2</v>
      </c>
      <c r="W220" s="5">
        <v>1</v>
      </c>
      <c r="X220" s="7">
        <f t="shared" si="91"/>
        <v>3</v>
      </c>
      <c r="Y220" s="22">
        <f t="shared" si="92"/>
        <v>3</v>
      </c>
      <c r="Z220" s="15">
        <f t="shared" si="88"/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36">
        <f t="shared" si="108"/>
        <v>0</v>
      </c>
      <c r="AH220" s="36">
        <f t="shared" si="107"/>
        <v>0</v>
      </c>
      <c r="AI220" s="36">
        <f t="shared" si="107"/>
        <v>2</v>
      </c>
      <c r="AJ220" s="36">
        <f t="shared" si="107"/>
        <v>0</v>
      </c>
      <c r="AK220" s="36">
        <f t="shared" si="107"/>
        <v>0</v>
      </c>
      <c r="AL220" s="36">
        <f t="shared" si="107"/>
        <v>1</v>
      </c>
      <c r="AM220" s="7">
        <v>0</v>
      </c>
      <c r="AN220" s="7">
        <v>0</v>
      </c>
      <c r="AO220" s="7">
        <v>2</v>
      </c>
      <c r="AP220" s="7">
        <v>0</v>
      </c>
      <c r="AQ220" s="7">
        <v>0</v>
      </c>
      <c r="AR220" s="7">
        <v>1</v>
      </c>
      <c r="AS220" s="22">
        <f t="shared" si="95"/>
        <v>3</v>
      </c>
      <c r="AT220" s="22">
        <f t="shared" si="94"/>
        <v>0.65502183406113534</v>
      </c>
      <c r="AU220" s="5">
        <f t="shared" si="96"/>
        <v>2</v>
      </c>
      <c r="AV220" s="5">
        <f t="shared" si="97"/>
        <v>0.4366812227074236</v>
      </c>
      <c r="AW220" s="5">
        <f t="shared" si="98"/>
        <v>0</v>
      </c>
      <c r="AX220" s="5">
        <f t="shared" si="99"/>
        <v>0</v>
      </c>
      <c r="AY220" s="5">
        <f t="shared" si="100"/>
        <v>0</v>
      </c>
      <c r="AZ220" s="5">
        <f t="shared" si="101"/>
        <v>0.4366812227074236</v>
      </c>
      <c r="BA220" s="5">
        <f t="shared" si="102"/>
        <v>0</v>
      </c>
      <c r="BB220" s="5">
        <f t="shared" si="103"/>
        <v>0</v>
      </c>
      <c r="BC220" s="5">
        <f t="shared" si="104"/>
        <v>0.2183406113537118</v>
      </c>
      <c r="BD220" s="6"/>
      <c r="BE220" s="6"/>
      <c r="BF220" s="59"/>
      <c r="BG220" s="6"/>
      <c r="BH220" s="5"/>
      <c r="BI220" s="5"/>
      <c r="BJ220" s="5" t="s">
        <v>387</v>
      </c>
    </row>
    <row r="221" spans="1:62">
      <c r="A221" s="2" t="s">
        <v>375</v>
      </c>
      <c r="B221" s="3" t="s">
        <v>32</v>
      </c>
      <c r="C221" s="4" t="s">
        <v>32</v>
      </c>
      <c r="D221" s="4">
        <v>88</v>
      </c>
      <c r="E221" s="4">
        <v>74</v>
      </c>
      <c r="F221" s="4">
        <v>2008</v>
      </c>
      <c r="G221" s="39">
        <v>4</v>
      </c>
      <c r="H221" s="28">
        <v>0</v>
      </c>
      <c r="I221" s="28">
        <v>2</v>
      </c>
      <c r="J221" s="12">
        <v>2016</v>
      </c>
      <c r="K221" s="5">
        <v>2024</v>
      </c>
      <c r="L221" s="5">
        <f t="shared" si="106"/>
        <v>7.58</v>
      </c>
      <c r="M221" s="5">
        <v>0</v>
      </c>
      <c r="N221" s="5" t="s">
        <v>388</v>
      </c>
      <c r="O221" s="5" t="s">
        <v>35</v>
      </c>
      <c r="P221" s="5">
        <v>0</v>
      </c>
      <c r="Q221" s="6"/>
      <c r="R221" s="5" t="s">
        <v>30</v>
      </c>
      <c r="S221" s="5" t="s">
        <v>295</v>
      </c>
      <c r="T221" s="6" t="s">
        <v>218</v>
      </c>
      <c r="U221" s="6" t="s">
        <v>559</v>
      </c>
      <c r="V221" s="25">
        <v>2</v>
      </c>
      <c r="W221" s="5">
        <v>7</v>
      </c>
      <c r="X221" s="7">
        <f t="shared" si="91"/>
        <v>75</v>
      </c>
      <c r="Y221" s="22">
        <f t="shared" si="92"/>
        <v>73</v>
      </c>
      <c r="Z221" s="15">
        <f t="shared" si="88"/>
        <v>2</v>
      </c>
      <c r="AA221" s="19">
        <v>0</v>
      </c>
      <c r="AB221" s="19">
        <v>2</v>
      </c>
      <c r="AC221" s="19">
        <v>0</v>
      </c>
      <c r="AD221" s="19">
        <v>0</v>
      </c>
      <c r="AE221" s="19">
        <v>0</v>
      </c>
      <c r="AF221" s="19">
        <v>0</v>
      </c>
      <c r="AG221" s="36">
        <f t="shared" si="108"/>
        <v>16</v>
      </c>
      <c r="AH221" s="36">
        <f t="shared" si="107"/>
        <v>2</v>
      </c>
      <c r="AI221" s="36">
        <f t="shared" si="107"/>
        <v>46</v>
      </c>
      <c r="AJ221" s="36">
        <f t="shared" si="107"/>
        <v>1</v>
      </c>
      <c r="AK221" s="36">
        <f t="shared" si="107"/>
        <v>1</v>
      </c>
      <c r="AL221" s="36">
        <f t="shared" si="107"/>
        <v>23</v>
      </c>
      <c r="AM221" s="7">
        <v>16</v>
      </c>
      <c r="AN221" s="7">
        <v>4</v>
      </c>
      <c r="AO221" s="7">
        <v>46</v>
      </c>
      <c r="AP221" s="7">
        <v>1</v>
      </c>
      <c r="AQ221" s="7">
        <v>1</v>
      </c>
      <c r="AR221" s="7">
        <v>23</v>
      </c>
      <c r="AS221" s="22">
        <f t="shared" si="95"/>
        <v>75</v>
      </c>
      <c r="AT221" s="22">
        <f t="shared" si="94"/>
        <v>9.630606860158311</v>
      </c>
      <c r="AU221" s="5">
        <f t="shared" si="96"/>
        <v>50</v>
      </c>
      <c r="AV221" s="5">
        <f t="shared" si="97"/>
        <v>6.5963060686015833</v>
      </c>
      <c r="AW221" s="5">
        <f t="shared" si="98"/>
        <v>2</v>
      </c>
      <c r="AX221" s="5">
        <f t="shared" si="99"/>
        <v>2.1108179419525066</v>
      </c>
      <c r="AY221" s="5">
        <f t="shared" si="100"/>
        <v>0.26385224274406333</v>
      </c>
      <c r="AZ221" s="5">
        <f t="shared" si="101"/>
        <v>6.0686015831134563</v>
      </c>
      <c r="BA221" s="5">
        <f t="shared" si="102"/>
        <v>0.13192612137203166</v>
      </c>
      <c r="BB221" s="5">
        <f t="shared" si="103"/>
        <v>0.13192612137203166</v>
      </c>
      <c r="BC221" s="5">
        <f t="shared" si="104"/>
        <v>3.0343007915567282</v>
      </c>
      <c r="BD221" s="6"/>
      <c r="BE221" s="6"/>
      <c r="BF221" s="59"/>
      <c r="BG221" s="6"/>
      <c r="BH221" s="5"/>
      <c r="BI221" s="5"/>
      <c r="BJ221" s="5" t="s">
        <v>388</v>
      </c>
    </row>
    <row r="222" spans="1:62">
      <c r="A222" s="2" t="s">
        <v>375</v>
      </c>
      <c r="B222" s="3" t="s">
        <v>32</v>
      </c>
      <c r="C222" s="4" t="s">
        <v>32</v>
      </c>
      <c r="D222" s="4">
        <v>88</v>
      </c>
      <c r="E222" s="4">
        <v>74</v>
      </c>
      <c r="F222" s="4">
        <v>2008</v>
      </c>
      <c r="G222" s="39">
        <v>4</v>
      </c>
      <c r="H222" s="28">
        <v>0</v>
      </c>
      <c r="I222" s="28">
        <v>2</v>
      </c>
      <c r="J222" s="5">
        <v>2016</v>
      </c>
      <c r="K222" s="5">
        <v>2024</v>
      </c>
      <c r="L222" s="5">
        <f t="shared" si="106"/>
        <v>7.58</v>
      </c>
      <c r="M222" s="5">
        <v>0</v>
      </c>
      <c r="N222" s="5" t="s">
        <v>389</v>
      </c>
      <c r="O222" s="5" t="s">
        <v>28</v>
      </c>
      <c r="P222" s="5">
        <v>0</v>
      </c>
      <c r="Q222" s="6"/>
      <c r="R222" s="5" t="s">
        <v>39</v>
      </c>
      <c r="S222" s="5" t="s">
        <v>217</v>
      </c>
      <c r="T222" s="6" t="s">
        <v>218</v>
      </c>
      <c r="U222" s="6" t="s">
        <v>559</v>
      </c>
      <c r="V222" s="25">
        <v>3</v>
      </c>
      <c r="W222" s="5">
        <v>5</v>
      </c>
      <c r="X222" s="7">
        <f t="shared" si="91"/>
        <v>20</v>
      </c>
      <c r="Y222" s="22">
        <f t="shared" si="92"/>
        <v>18</v>
      </c>
      <c r="Z222" s="15">
        <f t="shared" si="88"/>
        <v>2</v>
      </c>
      <c r="AA222" s="19">
        <v>1</v>
      </c>
      <c r="AB222" s="19">
        <v>0</v>
      </c>
      <c r="AC222" s="19">
        <v>1</v>
      </c>
      <c r="AD222" s="19">
        <v>1</v>
      </c>
      <c r="AE222" s="19">
        <v>0</v>
      </c>
      <c r="AF222" s="19">
        <v>0</v>
      </c>
      <c r="AG222" s="36">
        <f t="shared" si="108"/>
        <v>7</v>
      </c>
      <c r="AH222" s="36">
        <f t="shared" si="107"/>
        <v>2</v>
      </c>
      <c r="AI222" s="36">
        <f t="shared" si="107"/>
        <v>11</v>
      </c>
      <c r="AJ222" s="36">
        <f t="shared" si="107"/>
        <v>0</v>
      </c>
      <c r="AK222" s="36">
        <f t="shared" si="107"/>
        <v>0</v>
      </c>
      <c r="AL222" s="36">
        <f t="shared" si="107"/>
        <v>5</v>
      </c>
      <c r="AM222" s="7">
        <v>8</v>
      </c>
      <c r="AN222" s="7">
        <v>2</v>
      </c>
      <c r="AO222" s="7">
        <v>12</v>
      </c>
      <c r="AP222" s="7">
        <v>1</v>
      </c>
      <c r="AQ222" s="7">
        <v>0</v>
      </c>
      <c r="AR222" s="7">
        <v>5</v>
      </c>
      <c r="AS222" s="22">
        <f t="shared" si="95"/>
        <v>20</v>
      </c>
      <c r="AT222" s="22">
        <f t="shared" si="94"/>
        <v>2.3746701846965701</v>
      </c>
      <c r="AU222" s="5">
        <f t="shared" si="96"/>
        <v>13</v>
      </c>
      <c r="AV222" s="5">
        <f t="shared" si="97"/>
        <v>1.7150395778364116</v>
      </c>
      <c r="AW222" s="5">
        <f t="shared" si="98"/>
        <v>2</v>
      </c>
      <c r="AX222" s="5">
        <f t="shared" si="99"/>
        <v>0.92348284960422167</v>
      </c>
      <c r="AY222" s="5">
        <f t="shared" si="100"/>
        <v>0.26385224274406333</v>
      </c>
      <c r="AZ222" s="5">
        <f t="shared" si="101"/>
        <v>1.4511873350923483</v>
      </c>
      <c r="BA222" s="5">
        <f t="shared" si="102"/>
        <v>0</v>
      </c>
      <c r="BB222" s="5">
        <f t="shared" si="103"/>
        <v>0</v>
      </c>
      <c r="BC222" s="5">
        <f t="shared" si="104"/>
        <v>0.65963060686015829</v>
      </c>
      <c r="BD222" s="6"/>
      <c r="BE222" s="6"/>
      <c r="BF222" s="59"/>
      <c r="BG222" s="6"/>
      <c r="BH222" s="5"/>
      <c r="BI222" s="5"/>
      <c r="BJ222" s="5" t="s">
        <v>389</v>
      </c>
    </row>
    <row r="223" spans="1:62">
      <c r="A223" s="2" t="s">
        <v>375</v>
      </c>
      <c r="B223" s="3" t="s">
        <v>32</v>
      </c>
      <c r="C223" s="4" t="s">
        <v>32</v>
      </c>
      <c r="D223" s="4">
        <v>88</v>
      </c>
      <c r="E223" s="4">
        <v>74</v>
      </c>
      <c r="F223" s="4">
        <v>2008</v>
      </c>
      <c r="G223" s="39">
        <v>4</v>
      </c>
      <c r="H223" s="28">
        <v>0</v>
      </c>
      <c r="I223" s="28">
        <v>2</v>
      </c>
      <c r="J223" s="12">
        <v>2018</v>
      </c>
      <c r="K223" s="5">
        <v>2024</v>
      </c>
      <c r="L223" s="5">
        <f t="shared" si="106"/>
        <v>5.58</v>
      </c>
      <c r="M223" s="5">
        <v>0</v>
      </c>
      <c r="N223" s="5" t="s">
        <v>390</v>
      </c>
      <c r="O223" s="5" t="s">
        <v>35</v>
      </c>
      <c r="P223" s="5">
        <v>0</v>
      </c>
      <c r="Q223" s="6"/>
      <c r="R223" s="5" t="s">
        <v>39</v>
      </c>
      <c r="S223" s="5" t="s">
        <v>312</v>
      </c>
      <c r="T223" s="6" t="s">
        <v>218</v>
      </c>
      <c r="U223" s="6">
        <v>0</v>
      </c>
      <c r="V223" s="25">
        <v>18</v>
      </c>
      <c r="W223" s="5">
        <v>8</v>
      </c>
      <c r="X223" s="7">
        <f t="shared" si="91"/>
        <v>100</v>
      </c>
      <c r="Y223" s="22">
        <f t="shared" si="92"/>
        <v>85</v>
      </c>
      <c r="Z223" s="15">
        <f t="shared" si="88"/>
        <v>15</v>
      </c>
      <c r="AA223" s="19">
        <v>4</v>
      </c>
      <c r="AB223" s="19">
        <v>3</v>
      </c>
      <c r="AC223" s="19">
        <v>12</v>
      </c>
      <c r="AD223" s="19">
        <v>0</v>
      </c>
      <c r="AE223" s="19">
        <v>0</v>
      </c>
      <c r="AF223" s="19">
        <v>0</v>
      </c>
      <c r="AG223" s="36">
        <f t="shared" si="108"/>
        <v>20</v>
      </c>
      <c r="AH223" s="36">
        <f t="shared" si="107"/>
        <v>1</v>
      </c>
      <c r="AI223" s="36">
        <f t="shared" si="107"/>
        <v>57</v>
      </c>
      <c r="AJ223" s="36">
        <f t="shared" si="107"/>
        <v>1</v>
      </c>
      <c r="AK223" s="36">
        <f t="shared" si="107"/>
        <v>1</v>
      </c>
      <c r="AL223" s="36">
        <f t="shared" si="107"/>
        <v>25</v>
      </c>
      <c r="AM223" s="7">
        <v>24</v>
      </c>
      <c r="AN223" s="7">
        <v>4</v>
      </c>
      <c r="AO223" s="7">
        <v>69</v>
      </c>
      <c r="AP223" s="7">
        <v>1</v>
      </c>
      <c r="AQ223" s="7">
        <v>1</v>
      </c>
      <c r="AR223" s="7">
        <v>25</v>
      </c>
      <c r="AS223" s="22">
        <f t="shared" si="95"/>
        <v>100</v>
      </c>
      <c r="AT223" s="22">
        <f t="shared" si="94"/>
        <v>15.232974910394265</v>
      </c>
      <c r="AU223" s="5">
        <f t="shared" si="96"/>
        <v>60</v>
      </c>
      <c r="AV223" s="5">
        <f t="shared" si="97"/>
        <v>10.75268817204301</v>
      </c>
      <c r="AW223" s="5">
        <f t="shared" si="98"/>
        <v>15</v>
      </c>
      <c r="AX223" s="5">
        <f t="shared" si="99"/>
        <v>3.5842293906810037</v>
      </c>
      <c r="AY223" s="5">
        <f t="shared" si="100"/>
        <v>0.17921146953405018</v>
      </c>
      <c r="AZ223" s="5">
        <f t="shared" si="101"/>
        <v>10.21505376344086</v>
      </c>
      <c r="BA223" s="5">
        <f t="shared" si="102"/>
        <v>0.17921146953405018</v>
      </c>
      <c r="BB223" s="5">
        <f t="shared" si="103"/>
        <v>0.17921146953405018</v>
      </c>
      <c r="BC223" s="5">
        <f t="shared" si="104"/>
        <v>4.4802867383512543</v>
      </c>
      <c r="BD223" s="6"/>
      <c r="BE223" s="6"/>
      <c r="BF223" s="59"/>
      <c r="BG223" s="6"/>
      <c r="BH223" s="5"/>
      <c r="BI223" s="5"/>
      <c r="BJ223" s="5" t="s">
        <v>390</v>
      </c>
    </row>
    <row r="224" spans="1:62">
      <c r="A224" s="2" t="s">
        <v>375</v>
      </c>
      <c r="B224" s="3" t="s">
        <v>32</v>
      </c>
      <c r="C224" s="4" t="s">
        <v>32</v>
      </c>
      <c r="D224" s="4">
        <v>88</v>
      </c>
      <c r="E224" s="4">
        <v>74</v>
      </c>
      <c r="F224" s="4">
        <v>2008</v>
      </c>
      <c r="G224" s="39">
        <v>4</v>
      </c>
      <c r="H224" s="28">
        <v>0</v>
      </c>
      <c r="I224" s="28">
        <v>2</v>
      </c>
      <c r="J224" s="5">
        <v>2018</v>
      </c>
      <c r="K224" s="5">
        <v>2024</v>
      </c>
      <c r="L224" s="5">
        <f t="shared" si="106"/>
        <v>5.58</v>
      </c>
      <c r="M224" s="5">
        <v>0</v>
      </c>
      <c r="N224" s="5" t="s">
        <v>391</v>
      </c>
      <c r="O224" s="5" t="s">
        <v>35</v>
      </c>
      <c r="P224" s="5">
        <v>0</v>
      </c>
      <c r="Q224" s="6"/>
      <c r="R224" s="5" t="s">
        <v>30</v>
      </c>
      <c r="S224" s="5" t="s">
        <v>392</v>
      </c>
      <c r="T224" s="6" t="s">
        <v>37</v>
      </c>
      <c r="U224" s="6">
        <v>0</v>
      </c>
      <c r="V224" s="25">
        <v>23</v>
      </c>
      <c r="W224" s="5">
        <v>10</v>
      </c>
      <c r="X224" s="7">
        <f t="shared" si="91"/>
        <v>52</v>
      </c>
      <c r="Y224" s="22">
        <f t="shared" si="92"/>
        <v>50</v>
      </c>
      <c r="Z224" s="15">
        <f t="shared" si="88"/>
        <v>2</v>
      </c>
      <c r="AA224" s="19">
        <v>0</v>
      </c>
      <c r="AB224" s="19">
        <v>0</v>
      </c>
      <c r="AC224" s="19">
        <v>2</v>
      </c>
      <c r="AD224" s="19">
        <v>0</v>
      </c>
      <c r="AE224" s="19">
        <v>0</v>
      </c>
      <c r="AF224" s="19">
        <v>0</v>
      </c>
      <c r="AG224" s="36">
        <f t="shared" si="108"/>
        <v>7</v>
      </c>
      <c r="AH224" s="36">
        <f t="shared" si="107"/>
        <v>0</v>
      </c>
      <c r="AI224" s="36">
        <f t="shared" si="107"/>
        <v>36</v>
      </c>
      <c r="AJ224" s="36">
        <f t="shared" si="107"/>
        <v>2</v>
      </c>
      <c r="AK224" s="36">
        <f t="shared" si="107"/>
        <v>1</v>
      </c>
      <c r="AL224" s="36">
        <f t="shared" si="107"/>
        <v>11</v>
      </c>
      <c r="AM224" s="7">
        <v>7</v>
      </c>
      <c r="AN224" s="7">
        <v>0</v>
      </c>
      <c r="AO224" s="7">
        <v>38</v>
      </c>
      <c r="AP224" s="7">
        <v>2</v>
      </c>
      <c r="AQ224" s="7">
        <v>1</v>
      </c>
      <c r="AR224" s="7">
        <v>11</v>
      </c>
      <c r="AS224" s="22">
        <f t="shared" si="95"/>
        <v>52</v>
      </c>
      <c r="AT224" s="22">
        <f t="shared" si="94"/>
        <v>8.9605734767025087</v>
      </c>
      <c r="AU224" s="5">
        <f t="shared" si="96"/>
        <v>39</v>
      </c>
      <c r="AV224" s="5">
        <f t="shared" si="97"/>
        <v>6.989247311827957</v>
      </c>
      <c r="AW224" s="5">
        <f t="shared" si="98"/>
        <v>2</v>
      </c>
      <c r="AX224" s="5">
        <f t="shared" si="99"/>
        <v>1.2544802867383513</v>
      </c>
      <c r="AY224" s="5">
        <f t="shared" si="100"/>
        <v>0</v>
      </c>
      <c r="AZ224" s="5">
        <f t="shared" si="101"/>
        <v>6.4516129032258061</v>
      </c>
      <c r="BA224" s="5">
        <f t="shared" si="102"/>
        <v>0.35842293906810035</v>
      </c>
      <c r="BB224" s="5">
        <f t="shared" si="103"/>
        <v>0.17921146953405018</v>
      </c>
      <c r="BC224" s="5">
        <f t="shared" si="104"/>
        <v>1.9713261648745519</v>
      </c>
      <c r="BD224" s="6"/>
      <c r="BE224" s="6"/>
      <c r="BF224" s="59"/>
      <c r="BG224" s="6"/>
      <c r="BH224" s="5"/>
      <c r="BI224" s="5"/>
      <c r="BJ224" s="5" t="s">
        <v>391</v>
      </c>
    </row>
    <row r="225" spans="1:62">
      <c r="A225" s="2" t="s">
        <v>375</v>
      </c>
      <c r="B225" s="3" t="s">
        <v>32</v>
      </c>
      <c r="C225" s="4" t="s">
        <v>32</v>
      </c>
      <c r="D225" s="4">
        <v>88</v>
      </c>
      <c r="E225" s="4">
        <v>74</v>
      </c>
      <c r="F225" s="4">
        <v>2008</v>
      </c>
      <c r="G225" s="39">
        <v>4</v>
      </c>
      <c r="H225" s="28">
        <v>0</v>
      </c>
      <c r="I225" s="28">
        <v>2</v>
      </c>
      <c r="J225" s="5">
        <v>2019</v>
      </c>
      <c r="K225" s="5">
        <v>2024</v>
      </c>
      <c r="L225" s="5">
        <f t="shared" si="106"/>
        <v>4.58</v>
      </c>
      <c r="M225" s="5">
        <v>0</v>
      </c>
      <c r="N225" s="5" t="s">
        <v>393</v>
      </c>
      <c r="O225" s="5" t="s">
        <v>35</v>
      </c>
      <c r="P225" s="5">
        <v>0</v>
      </c>
      <c r="Q225" s="6"/>
      <c r="R225" s="5" t="s">
        <v>30</v>
      </c>
      <c r="S225" s="5" t="s">
        <v>394</v>
      </c>
      <c r="T225" s="6" t="s">
        <v>101</v>
      </c>
      <c r="U225" s="6">
        <v>0</v>
      </c>
      <c r="V225" s="25">
        <v>35</v>
      </c>
      <c r="W225" s="5">
        <v>10</v>
      </c>
      <c r="X225" s="7">
        <f t="shared" si="91"/>
        <v>53</v>
      </c>
      <c r="Y225" s="22">
        <f t="shared" si="92"/>
        <v>48</v>
      </c>
      <c r="Z225" s="15">
        <f t="shared" si="88"/>
        <v>5</v>
      </c>
      <c r="AA225" s="19">
        <v>3</v>
      </c>
      <c r="AB225" s="19">
        <v>2</v>
      </c>
      <c r="AC225" s="19">
        <v>3</v>
      </c>
      <c r="AD225" s="19">
        <v>0</v>
      </c>
      <c r="AE225" s="19">
        <v>0</v>
      </c>
      <c r="AF225" s="19">
        <v>0</v>
      </c>
      <c r="AG225" s="36">
        <f t="shared" si="108"/>
        <v>11</v>
      </c>
      <c r="AH225" s="36">
        <f t="shared" si="107"/>
        <v>0</v>
      </c>
      <c r="AI225" s="36">
        <f t="shared" si="107"/>
        <v>30</v>
      </c>
      <c r="AJ225" s="36">
        <f t="shared" si="107"/>
        <v>0</v>
      </c>
      <c r="AK225" s="36">
        <f t="shared" si="107"/>
        <v>4</v>
      </c>
      <c r="AL225" s="36">
        <f t="shared" si="107"/>
        <v>14</v>
      </c>
      <c r="AM225" s="7">
        <v>14</v>
      </c>
      <c r="AN225" s="7">
        <v>2</v>
      </c>
      <c r="AO225" s="7">
        <v>33</v>
      </c>
      <c r="AP225" s="7">
        <v>0</v>
      </c>
      <c r="AQ225" s="7">
        <v>4</v>
      </c>
      <c r="AR225" s="7">
        <v>14</v>
      </c>
      <c r="AS225" s="22">
        <f t="shared" si="95"/>
        <v>53</v>
      </c>
      <c r="AT225" s="22">
        <f t="shared" si="94"/>
        <v>10.480349344978166</v>
      </c>
      <c r="AU225" s="5">
        <f t="shared" si="96"/>
        <v>34</v>
      </c>
      <c r="AV225" s="5">
        <f t="shared" si="97"/>
        <v>7.4235807860262009</v>
      </c>
      <c r="AW225" s="5">
        <f t="shared" si="98"/>
        <v>5</v>
      </c>
      <c r="AX225" s="5">
        <f t="shared" si="99"/>
        <v>2.4017467248908297</v>
      </c>
      <c r="AY225" s="5">
        <f t="shared" si="100"/>
        <v>0</v>
      </c>
      <c r="AZ225" s="5">
        <f t="shared" si="101"/>
        <v>6.5502183406113534</v>
      </c>
      <c r="BA225" s="5">
        <f t="shared" si="102"/>
        <v>0</v>
      </c>
      <c r="BB225" s="5">
        <f t="shared" si="103"/>
        <v>0.8733624454148472</v>
      </c>
      <c r="BC225" s="5">
        <f t="shared" si="104"/>
        <v>3.0567685589519651</v>
      </c>
      <c r="BD225" s="6"/>
      <c r="BE225" s="6"/>
      <c r="BF225" s="59"/>
      <c r="BG225" s="6"/>
      <c r="BH225" s="5"/>
      <c r="BI225" s="5"/>
      <c r="BJ225" s="5" t="s">
        <v>393</v>
      </c>
    </row>
    <row r="226" spans="1:62">
      <c r="A226" s="2" t="s">
        <v>375</v>
      </c>
      <c r="B226" s="3" t="s">
        <v>32</v>
      </c>
      <c r="C226" s="4" t="s">
        <v>32</v>
      </c>
      <c r="D226" s="4">
        <v>88</v>
      </c>
      <c r="E226" s="4">
        <v>74</v>
      </c>
      <c r="F226" s="4">
        <v>2008</v>
      </c>
      <c r="G226" s="39">
        <v>4</v>
      </c>
      <c r="H226" s="28">
        <v>0</v>
      </c>
      <c r="I226" s="28">
        <v>2</v>
      </c>
      <c r="J226" s="5">
        <v>2015</v>
      </c>
      <c r="K226" s="5">
        <v>2021</v>
      </c>
      <c r="L226" s="5">
        <f>(K226-J226)</f>
        <v>6</v>
      </c>
      <c r="M226" s="5">
        <v>1</v>
      </c>
      <c r="N226" s="5" t="s">
        <v>608</v>
      </c>
      <c r="O226" s="5" t="s">
        <v>35</v>
      </c>
      <c r="P226" s="5">
        <v>1</v>
      </c>
      <c r="Q226" s="6" t="s">
        <v>367</v>
      </c>
      <c r="R226" s="5" t="s">
        <v>30</v>
      </c>
      <c r="S226" s="5" t="s">
        <v>609</v>
      </c>
      <c r="T226" s="6"/>
      <c r="U226" s="6">
        <v>0</v>
      </c>
      <c r="V226" s="25"/>
      <c r="W226" s="5">
        <v>18</v>
      </c>
      <c r="X226" s="7">
        <f t="shared" si="91"/>
        <v>67</v>
      </c>
      <c r="Y226" s="22">
        <f t="shared" si="92"/>
        <v>24</v>
      </c>
      <c r="Z226" s="15">
        <f t="shared" si="88"/>
        <v>43</v>
      </c>
      <c r="AA226" s="47">
        <v>22</v>
      </c>
      <c r="AB226" s="47">
        <v>18</v>
      </c>
      <c r="AC226" s="47">
        <v>6</v>
      </c>
      <c r="AD226" s="47">
        <v>3</v>
      </c>
      <c r="AE226" s="47">
        <v>12</v>
      </c>
      <c r="AF226" s="47">
        <v>4</v>
      </c>
      <c r="AG226" s="36">
        <f t="shared" si="108"/>
        <v>19</v>
      </c>
      <c r="AH226" s="36">
        <f t="shared" si="107"/>
        <v>0</v>
      </c>
      <c r="AI226" s="36">
        <f t="shared" si="107"/>
        <v>11</v>
      </c>
      <c r="AJ226" s="36">
        <f t="shared" si="107"/>
        <v>4</v>
      </c>
      <c r="AK226" s="36">
        <f t="shared" si="107"/>
        <v>4</v>
      </c>
      <c r="AL226" s="36">
        <f t="shared" si="107"/>
        <v>5</v>
      </c>
      <c r="AM226" s="45">
        <v>41</v>
      </c>
      <c r="AN226" s="45">
        <v>18</v>
      </c>
      <c r="AO226" s="45">
        <v>17</v>
      </c>
      <c r="AP226" s="45">
        <v>7</v>
      </c>
      <c r="AQ226" s="45">
        <v>16</v>
      </c>
      <c r="AR226" s="45">
        <v>9</v>
      </c>
      <c r="AS226" s="22">
        <f t="shared" si="95"/>
        <v>67</v>
      </c>
      <c r="AT226" s="22">
        <f t="shared" si="94"/>
        <v>4</v>
      </c>
      <c r="AU226" s="5">
        <f t="shared" si="96"/>
        <v>19</v>
      </c>
      <c r="AV226" s="5">
        <f t="shared" si="97"/>
        <v>3.1666666666666665</v>
      </c>
      <c r="AW226" s="5">
        <f t="shared" si="98"/>
        <v>39</v>
      </c>
      <c r="AX226" s="5">
        <f t="shared" si="99"/>
        <v>3.1666666666666665</v>
      </c>
      <c r="AY226" s="5">
        <f t="shared" si="100"/>
        <v>0</v>
      </c>
      <c r="AZ226" s="5">
        <f t="shared" si="101"/>
        <v>1.8333333333333333</v>
      </c>
      <c r="BA226" s="5">
        <f t="shared" si="102"/>
        <v>0.66666666666666663</v>
      </c>
      <c r="BB226" s="5">
        <f t="shared" si="103"/>
        <v>0.66666666666666663</v>
      </c>
      <c r="BC226" s="5">
        <f t="shared" si="104"/>
        <v>0.83333333333333337</v>
      </c>
      <c r="BD226" s="6"/>
      <c r="BE226" s="6"/>
      <c r="BF226" s="59">
        <v>1</v>
      </c>
      <c r="BG226" s="6" t="s">
        <v>711</v>
      </c>
      <c r="BH226" s="5"/>
      <c r="BI226" s="5"/>
      <c r="BJ226" s="5" t="s">
        <v>608</v>
      </c>
    </row>
    <row r="227" spans="1:62">
      <c r="A227" s="23" t="s">
        <v>395</v>
      </c>
      <c r="B227" s="3" t="s">
        <v>85</v>
      </c>
      <c r="C227" s="3" t="s">
        <v>85</v>
      </c>
      <c r="D227" s="4">
        <v>38</v>
      </c>
      <c r="E227" s="4">
        <v>85</v>
      </c>
      <c r="F227" s="4">
        <v>2009</v>
      </c>
      <c r="G227" s="39">
        <v>15</v>
      </c>
      <c r="H227" s="28">
        <v>0</v>
      </c>
      <c r="I227" s="28">
        <v>0</v>
      </c>
      <c r="J227" s="5">
        <v>2022</v>
      </c>
      <c r="K227" s="5">
        <v>2024</v>
      </c>
      <c r="L227" s="5">
        <f>(K227-J227)-0.42</f>
        <v>1.58</v>
      </c>
      <c r="M227" s="5">
        <v>0</v>
      </c>
      <c r="N227" s="5" t="s">
        <v>396</v>
      </c>
      <c r="O227" s="5" t="s">
        <v>35</v>
      </c>
      <c r="P227" s="5">
        <v>0</v>
      </c>
      <c r="Q227" s="6"/>
      <c r="R227" s="5" t="s">
        <v>30</v>
      </c>
      <c r="S227" s="5" t="s">
        <v>260</v>
      </c>
      <c r="T227" s="6" t="s">
        <v>84</v>
      </c>
      <c r="U227" s="6">
        <v>0</v>
      </c>
      <c r="V227" s="25" t="s">
        <v>107</v>
      </c>
      <c r="W227" s="5">
        <v>1</v>
      </c>
      <c r="X227" s="7">
        <f t="shared" si="91"/>
        <v>1</v>
      </c>
      <c r="Y227" s="22">
        <f t="shared" si="92"/>
        <v>0</v>
      </c>
      <c r="Z227" s="15">
        <f t="shared" si="88"/>
        <v>1</v>
      </c>
      <c r="AA227" s="19">
        <v>0</v>
      </c>
      <c r="AB227" s="19">
        <v>1</v>
      </c>
      <c r="AC227" s="19">
        <v>0</v>
      </c>
      <c r="AD227" s="19">
        <v>0</v>
      </c>
      <c r="AE227" s="19">
        <v>0</v>
      </c>
      <c r="AF227" s="19">
        <v>0</v>
      </c>
      <c r="AG227" s="36">
        <f t="shared" si="108"/>
        <v>0</v>
      </c>
      <c r="AH227" s="36">
        <f t="shared" si="107"/>
        <v>0</v>
      </c>
      <c r="AI227" s="36">
        <f t="shared" si="107"/>
        <v>0</v>
      </c>
      <c r="AJ227" s="36">
        <f t="shared" si="107"/>
        <v>0</v>
      </c>
      <c r="AK227" s="36">
        <f t="shared" si="107"/>
        <v>0</v>
      </c>
      <c r="AL227" s="36">
        <f t="shared" si="107"/>
        <v>0</v>
      </c>
      <c r="AM227" s="7">
        <v>0</v>
      </c>
      <c r="AN227" s="7">
        <v>1</v>
      </c>
      <c r="AO227" s="7">
        <v>0</v>
      </c>
      <c r="AP227" s="7">
        <v>0</v>
      </c>
      <c r="AQ227" s="7">
        <v>0</v>
      </c>
      <c r="AR227" s="7">
        <v>0</v>
      </c>
      <c r="AS227" s="22">
        <f t="shared" si="95"/>
        <v>1</v>
      </c>
      <c r="AT227" s="22">
        <f t="shared" si="94"/>
        <v>0</v>
      </c>
      <c r="AU227" s="5">
        <f t="shared" si="96"/>
        <v>0</v>
      </c>
      <c r="AV227" s="5">
        <f t="shared" si="97"/>
        <v>0</v>
      </c>
      <c r="AW227" s="5">
        <f t="shared" si="98"/>
        <v>1</v>
      </c>
      <c r="AX227" s="5">
        <f t="shared" si="99"/>
        <v>0</v>
      </c>
      <c r="AY227" s="5">
        <f t="shared" si="100"/>
        <v>0</v>
      </c>
      <c r="AZ227" s="5">
        <f t="shared" si="101"/>
        <v>0</v>
      </c>
      <c r="BA227" s="5">
        <f t="shared" si="102"/>
        <v>0</v>
      </c>
      <c r="BB227" s="5">
        <f t="shared" si="103"/>
        <v>0</v>
      </c>
      <c r="BC227" s="5">
        <f t="shared" si="104"/>
        <v>0</v>
      </c>
      <c r="BD227" s="6"/>
      <c r="BE227" s="6"/>
      <c r="BF227" s="59"/>
      <c r="BG227" s="6"/>
      <c r="BH227" s="5"/>
      <c r="BI227" s="5"/>
      <c r="BJ227" s="5" t="s">
        <v>396</v>
      </c>
    </row>
    <row r="228" spans="1:62">
      <c r="A228" s="2" t="s">
        <v>395</v>
      </c>
      <c r="B228" s="3" t="s">
        <v>85</v>
      </c>
      <c r="C228" s="3" t="s">
        <v>85</v>
      </c>
      <c r="D228" s="4">
        <v>38</v>
      </c>
      <c r="E228" s="4">
        <v>85</v>
      </c>
      <c r="F228" s="4">
        <v>2009</v>
      </c>
      <c r="G228" s="39">
        <v>15</v>
      </c>
      <c r="H228" s="28">
        <v>0</v>
      </c>
      <c r="I228" s="28">
        <v>0</v>
      </c>
      <c r="J228" s="5">
        <v>2021</v>
      </c>
      <c r="K228" s="5">
        <v>2024</v>
      </c>
      <c r="L228" s="5">
        <f>(K228-J228)-0.42</f>
        <v>2.58</v>
      </c>
      <c r="M228" s="5">
        <v>0</v>
      </c>
      <c r="N228" s="5" t="s">
        <v>397</v>
      </c>
      <c r="O228" s="5" t="s">
        <v>28</v>
      </c>
      <c r="P228" s="5">
        <v>0</v>
      </c>
      <c r="Q228" s="6"/>
      <c r="R228" s="5" t="s">
        <v>30</v>
      </c>
      <c r="S228" s="5" t="s">
        <v>398</v>
      </c>
      <c r="T228" s="6" t="s">
        <v>84</v>
      </c>
      <c r="U228" s="6">
        <v>0</v>
      </c>
      <c r="V228" s="25">
        <v>58</v>
      </c>
      <c r="W228" s="5">
        <v>3</v>
      </c>
      <c r="X228" s="7">
        <f t="shared" si="91"/>
        <v>6</v>
      </c>
      <c r="Y228" s="22">
        <f t="shared" si="92"/>
        <v>3</v>
      </c>
      <c r="Z228" s="15">
        <f t="shared" si="88"/>
        <v>3</v>
      </c>
      <c r="AA228" s="19">
        <v>2</v>
      </c>
      <c r="AB228" s="19">
        <v>0</v>
      </c>
      <c r="AC228" s="19">
        <v>2</v>
      </c>
      <c r="AD228" s="19">
        <v>0</v>
      </c>
      <c r="AE228" s="19">
        <v>1</v>
      </c>
      <c r="AF228" s="19">
        <v>0</v>
      </c>
      <c r="AG228" s="36">
        <f t="shared" si="108"/>
        <v>3</v>
      </c>
      <c r="AH228" s="36">
        <f t="shared" si="107"/>
        <v>0</v>
      </c>
      <c r="AI228" s="36">
        <f t="shared" si="107"/>
        <v>3</v>
      </c>
      <c r="AJ228" s="36">
        <f t="shared" si="107"/>
        <v>0</v>
      </c>
      <c r="AK228" s="36">
        <f t="shared" si="107"/>
        <v>0</v>
      </c>
      <c r="AL228" s="36">
        <f t="shared" si="107"/>
        <v>0</v>
      </c>
      <c r="AM228" s="7">
        <v>5</v>
      </c>
      <c r="AN228" s="7">
        <v>0</v>
      </c>
      <c r="AO228" s="7">
        <v>5</v>
      </c>
      <c r="AP228" s="7">
        <v>0</v>
      </c>
      <c r="AQ228" s="7">
        <v>1</v>
      </c>
      <c r="AR228" s="7">
        <v>0</v>
      </c>
      <c r="AS228" s="22">
        <f t="shared" si="95"/>
        <v>6</v>
      </c>
      <c r="AT228" s="22">
        <f t="shared" si="94"/>
        <v>1.1627906976744187</v>
      </c>
      <c r="AU228" s="5">
        <f t="shared" si="96"/>
        <v>3</v>
      </c>
      <c r="AV228" s="5">
        <f t="shared" si="97"/>
        <v>1.1627906976744187</v>
      </c>
      <c r="AW228" s="5">
        <f t="shared" si="98"/>
        <v>3</v>
      </c>
      <c r="AX228" s="5">
        <f t="shared" si="99"/>
        <v>1.1627906976744187</v>
      </c>
      <c r="AY228" s="5">
        <f t="shared" si="100"/>
        <v>0</v>
      </c>
      <c r="AZ228" s="5">
        <f t="shared" si="101"/>
        <v>1.1627906976744187</v>
      </c>
      <c r="BA228" s="5">
        <f t="shared" si="102"/>
        <v>0</v>
      </c>
      <c r="BB228" s="5">
        <f t="shared" si="103"/>
        <v>0</v>
      </c>
      <c r="BC228" s="5">
        <f t="shared" si="104"/>
        <v>0</v>
      </c>
      <c r="BD228" s="6"/>
      <c r="BE228" s="6"/>
      <c r="BF228" s="59"/>
      <c r="BG228" s="6"/>
      <c r="BH228" s="5"/>
      <c r="BI228" s="5"/>
      <c r="BJ228" s="5" t="s">
        <v>397</v>
      </c>
    </row>
    <row r="229" spans="1:62">
      <c r="A229" s="2" t="s">
        <v>395</v>
      </c>
      <c r="B229" s="3" t="s">
        <v>85</v>
      </c>
      <c r="C229" s="3" t="s">
        <v>85</v>
      </c>
      <c r="D229" s="4">
        <v>38</v>
      </c>
      <c r="E229" s="4">
        <v>85</v>
      </c>
      <c r="F229" s="4">
        <v>2009</v>
      </c>
      <c r="G229" s="39">
        <v>15</v>
      </c>
      <c r="H229" s="28">
        <v>0</v>
      </c>
      <c r="I229" s="28">
        <v>0</v>
      </c>
      <c r="J229" s="5">
        <v>2020</v>
      </c>
      <c r="K229" s="5">
        <v>2024</v>
      </c>
      <c r="L229" s="5">
        <f>(K229-J229)-0.42</f>
        <v>3.58</v>
      </c>
      <c r="M229" s="5">
        <v>0</v>
      </c>
      <c r="N229" s="5" t="s">
        <v>399</v>
      </c>
      <c r="O229" s="5" t="s">
        <v>28</v>
      </c>
      <c r="P229" s="5">
        <v>0</v>
      </c>
      <c r="Q229" s="6"/>
      <c r="R229" s="5" t="s">
        <v>30</v>
      </c>
      <c r="S229" s="5" t="s">
        <v>400</v>
      </c>
      <c r="T229" s="6" t="s">
        <v>84</v>
      </c>
      <c r="U229" s="6">
        <v>0</v>
      </c>
      <c r="V229" s="25">
        <v>57</v>
      </c>
      <c r="W229" s="5">
        <v>2</v>
      </c>
      <c r="X229" s="7">
        <f t="shared" si="91"/>
        <v>7</v>
      </c>
      <c r="Y229" s="22">
        <f t="shared" si="92"/>
        <v>1</v>
      </c>
      <c r="Z229" s="15">
        <f t="shared" si="88"/>
        <v>6</v>
      </c>
      <c r="AA229" s="19">
        <v>4</v>
      </c>
      <c r="AB229" s="19">
        <v>0</v>
      </c>
      <c r="AC229" s="19">
        <v>2</v>
      </c>
      <c r="AD229" s="19">
        <v>1</v>
      </c>
      <c r="AE229" s="19">
        <v>1</v>
      </c>
      <c r="AF229" s="19">
        <v>2</v>
      </c>
      <c r="AG229" s="36">
        <f t="shared" si="108"/>
        <v>1</v>
      </c>
      <c r="AH229" s="36">
        <f t="shared" si="107"/>
        <v>0</v>
      </c>
      <c r="AI229" s="36">
        <f t="shared" si="107"/>
        <v>1</v>
      </c>
      <c r="AJ229" s="36">
        <f t="shared" si="107"/>
        <v>0</v>
      </c>
      <c r="AK229" s="36">
        <f t="shared" si="107"/>
        <v>0</v>
      </c>
      <c r="AL229" s="36">
        <f t="shared" si="107"/>
        <v>0</v>
      </c>
      <c r="AM229" s="7">
        <v>5</v>
      </c>
      <c r="AN229" s="7">
        <v>0</v>
      </c>
      <c r="AO229" s="7">
        <v>3</v>
      </c>
      <c r="AP229" s="7">
        <v>1</v>
      </c>
      <c r="AQ229" s="7">
        <v>1</v>
      </c>
      <c r="AR229" s="7">
        <v>2</v>
      </c>
      <c r="AS229" s="22">
        <f t="shared" si="95"/>
        <v>7</v>
      </c>
      <c r="AT229" s="22">
        <f t="shared" si="94"/>
        <v>0.27932960893854747</v>
      </c>
      <c r="AU229" s="5">
        <f t="shared" si="96"/>
        <v>1</v>
      </c>
      <c r="AV229" s="5">
        <f t="shared" si="97"/>
        <v>0.27932960893854747</v>
      </c>
      <c r="AW229" s="5">
        <f t="shared" si="98"/>
        <v>4</v>
      </c>
      <c r="AX229" s="5">
        <f t="shared" si="99"/>
        <v>0.27932960893854747</v>
      </c>
      <c r="AY229" s="5">
        <f t="shared" si="100"/>
        <v>0</v>
      </c>
      <c r="AZ229" s="5">
        <f t="shared" si="101"/>
        <v>0.27932960893854747</v>
      </c>
      <c r="BA229" s="5">
        <f t="shared" si="102"/>
        <v>0</v>
      </c>
      <c r="BB229" s="5">
        <f t="shared" si="103"/>
        <v>0</v>
      </c>
      <c r="BC229" s="5">
        <f t="shared" si="104"/>
        <v>0</v>
      </c>
      <c r="BD229" s="6"/>
      <c r="BE229" s="6"/>
      <c r="BF229" s="59"/>
      <c r="BG229" s="6"/>
      <c r="BH229" s="5"/>
      <c r="BI229" s="5"/>
      <c r="BJ229" s="5" t="s">
        <v>399</v>
      </c>
    </row>
    <row r="230" spans="1:62">
      <c r="A230" s="2" t="s">
        <v>395</v>
      </c>
      <c r="B230" s="3" t="s">
        <v>85</v>
      </c>
      <c r="C230" s="3" t="s">
        <v>85</v>
      </c>
      <c r="D230" s="4">
        <v>38</v>
      </c>
      <c r="E230" s="4">
        <v>85</v>
      </c>
      <c r="F230" s="4">
        <v>2009</v>
      </c>
      <c r="G230" s="39">
        <v>15</v>
      </c>
      <c r="H230" s="28">
        <v>0</v>
      </c>
      <c r="I230" s="28">
        <v>0</v>
      </c>
      <c r="J230" s="5">
        <v>2019</v>
      </c>
      <c r="K230" s="5">
        <v>2024</v>
      </c>
      <c r="L230" s="5">
        <f>(K230-J230)-0.42</f>
        <v>4.58</v>
      </c>
      <c r="M230" s="5">
        <v>0</v>
      </c>
      <c r="N230" s="5" t="s">
        <v>401</v>
      </c>
      <c r="O230" s="5" t="s">
        <v>28</v>
      </c>
      <c r="P230" s="5">
        <v>0</v>
      </c>
      <c r="Q230" s="6"/>
      <c r="R230" s="5" t="s">
        <v>39</v>
      </c>
      <c r="S230" s="6" t="s">
        <v>55</v>
      </c>
      <c r="T230" s="6" t="s">
        <v>218</v>
      </c>
      <c r="U230" s="6" t="s">
        <v>559</v>
      </c>
      <c r="V230" s="25">
        <v>5</v>
      </c>
      <c r="W230" s="5">
        <v>6</v>
      </c>
      <c r="X230" s="7">
        <f t="shared" si="91"/>
        <v>11</v>
      </c>
      <c r="Y230" s="22">
        <f t="shared" si="92"/>
        <v>8</v>
      </c>
      <c r="Z230" s="15">
        <f t="shared" si="88"/>
        <v>3</v>
      </c>
      <c r="AA230" s="19">
        <v>2</v>
      </c>
      <c r="AB230" s="19">
        <v>0</v>
      </c>
      <c r="AC230" s="19">
        <v>3</v>
      </c>
      <c r="AD230" s="19">
        <v>0</v>
      </c>
      <c r="AE230" s="19">
        <v>0</v>
      </c>
      <c r="AF230" s="19">
        <v>0</v>
      </c>
      <c r="AG230" s="36">
        <f t="shared" si="108"/>
        <v>5</v>
      </c>
      <c r="AH230" s="36">
        <f t="shared" si="107"/>
        <v>0</v>
      </c>
      <c r="AI230" s="36">
        <f t="shared" si="107"/>
        <v>5</v>
      </c>
      <c r="AJ230" s="36">
        <f t="shared" si="107"/>
        <v>2</v>
      </c>
      <c r="AK230" s="36">
        <f t="shared" si="107"/>
        <v>1</v>
      </c>
      <c r="AL230" s="36">
        <f t="shared" si="107"/>
        <v>0</v>
      </c>
      <c r="AM230" s="7">
        <v>7</v>
      </c>
      <c r="AN230" s="7">
        <v>0</v>
      </c>
      <c r="AO230" s="7">
        <v>8</v>
      </c>
      <c r="AP230" s="7">
        <v>2</v>
      </c>
      <c r="AQ230" s="7">
        <v>1</v>
      </c>
      <c r="AR230" s="7">
        <v>0</v>
      </c>
      <c r="AS230" s="22">
        <f t="shared" si="95"/>
        <v>11</v>
      </c>
      <c r="AT230" s="22">
        <f t="shared" si="94"/>
        <v>1.7467248908296944</v>
      </c>
      <c r="AU230" s="5">
        <f t="shared" si="96"/>
        <v>8</v>
      </c>
      <c r="AV230" s="5">
        <f t="shared" si="97"/>
        <v>1.7467248908296944</v>
      </c>
      <c r="AW230" s="5">
        <f t="shared" si="98"/>
        <v>3</v>
      </c>
      <c r="AX230" s="5">
        <f t="shared" si="99"/>
        <v>1.0917030567685588</v>
      </c>
      <c r="AY230" s="5">
        <f t="shared" si="100"/>
        <v>0</v>
      </c>
      <c r="AZ230" s="5">
        <f t="shared" si="101"/>
        <v>1.0917030567685588</v>
      </c>
      <c r="BA230" s="5">
        <f t="shared" si="102"/>
        <v>0.4366812227074236</v>
      </c>
      <c r="BB230" s="5">
        <f t="shared" si="103"/>
        <v>0.2183406113537118</v>
      </c>
      <c r="BC230" s="5">
        <f t="shared" si="104"/>
        <v>0</v>
      </c>
      <c r="BD230" s="6"/>
      <c r="BE230" s="6"/>
      <c r="BF230" s="59"/>
      <c r="BG230" s="6"/>
      <c r="BH230" s="5"/>
      <c r="BI230" s="5"/>
      <c r="BJ230" s="5" t="s">
        <v>401</v>
      </c>
    </row>
    <row r="231" spans="1:62">
      <c r="A231" s="2" t="s">
        <v>395</v>
      </c>
      <c r="B231" s="3" t="s">
        <v>85</v>
      </c>
      <c r="C231" s="3" t="s">
        <v>85</v>
      </c>
      <c r="D231" s="4">
        <v>38</v>
      </c>
      <c r="E231" s="4">
        <v>85</v>
      </c>
      <c r="F231" s="4">
        <v>2009</v>
      </c>
      <c r="G231" s="39">
        <v>15</v>
      </c>
      <c r="H231" s="28">
        <v>0</v>
      </c>
      <c r="I231" s="28">
        <v>0</v>
      </c>
      <c r="J231" s="5">
        <v>2017</v>
      </c>
      <c r="K231" s="5">
        <v>2023</v>
      </c>
      <c r="L231" s="5">
        <f>(K231-J231)</f>
        <v>6</v>
      </c>
      <c r="M231" s="5">
        <v>1</v>
      </c>
      <c r="N231" s="5" t="s">
        <v>402</v>
      </c>
      <c r="O231" s="5" t="s">
        <v>28</v>
      </c>
      <c r="P231" s="5">
        <v>0</v>
      </c>
      <c r="Q231" s="6"/>
      <c r="R231" s="5" t="s">
        <v>30</v>
      </c>
      <c r="S231" s="5" t="s">
        <v>114</v>
      </c>
      <c r="T231" s="6" t="s">
        <v>101</v>
      </c>
      <c r="U231" s="6">
        <v>0</v>
      </c>
      <c r="V231" s="25">
        <v>25</v>
      </c>
      <c r="W231" s="5">
        <v>9</v>
      </c>
      <c r="X231" s="7">
        <f t="shared" si="91"/>
        <v>28</v>
      </c>
      <c r="Y231" s="22">
        <f t="shared" si="92"/>
        <v>17</v>
      </c>
      <c r="Z231" s="15">
        <f t="shared" si="88"/>
        <v>11</v>
      </c>
      <c r="AA231" s="19">
        <v>1</v>
      </c>
      <c r="AB231" s="19">
        <v>0</v>
      </c>
      <c r="AC231" s="19">
        <v>9</v>
      </c>
      <c r="AD231" s="19">
        <v>2</v>
      </c>
      <c r="AE231" s="19">
        <v>0</v>
      </c>
      <c r="AF231" s="19">
        <v>0</v>
      </c>
      <c r="AG231" s="36">
        <f t="shared" si="108"/>
        <v>14</v>
      </c>
      <c r="AH231" s="36">
        <f t="shared" si="107"/>
        <v>0</v>
      </c>
      <c r="AI231" s="36">
        <f t="shared" si="107"/>
        <v>9</v>
      </c>
      <c r="AJ231" s="36">
        <f t="shared" si="107"/>
        <v>3</v>
      </c>
      <c r="AK231" s="36">
        <f t="shared" si="107"/>
        <v>1</v>
      </c>
      <c r="AL231" s="36">
        <f t="shared" si="107"/>
        <v>4</v>
      </c>
      <c r="AM231" s="7">
        <v>15</v>
      </c>
      <c r="AN231" s="7">
        <v>0</v>
      </c>
      <c r="AO231" s="7">
        <v>18</v>
      </c>
      <c r="AP231" s="7">
        <v>5</v>
      </c>
      <c r="AQ231" s="7">
        <v>1</v>
      </c>
      <c r="AR231" s="7">
        <v>4</v>
      </c>
      <c r="AS231" s="22">
        <f t="shared" si="95"/>
        <v>28</v>
      </c>
      <c r="AT231" s="22">
        <f t="shared" si="94"/>
        <v>2.8333333333333335</v>
      </c>
      <c r="AU231" s="5">
        <f t="shared" si="96"/>
        <v>13</v>
      </c>
      <c r="AV231" s="5">
        <f t="shared" si="97"/>
        <v>2.1666666666666665</v>
      </c>
      <c r="AW231" s="5">
        <f t="shared" si="98"/>
        <v>11</v>
      </c>
      <c r="AX231" s="5">
        <f t="shared" si="99"/>
        <v>2.3333333333333335</v>
      </c>
      <c r="AY231" s="5">
        <f t="shared" si="100"/>
        <v>0</v>
      </c>
      <c r="AZ231" s="5">
        <f t="shared" si="101"/>
        <v>1.5</v>
      </c>
      <c r="BA231" s="5">
        <f t="shared" si="102"/>
        <v>0.5</v>
      </c>
      <c r="BB231" s="5">
        <f t="shared" si="103"/>
        <v>0.16666666666666666</v>
      </c>
      <c r="BC231" s="5">
        <f t="shared" si="104"/>
        <v>0.66666666666666663</v>
      </c>
      <c r="BD231" s="6"/>
      <c r="BE231" s="6"/>
      <c r="BF231" s="59">
        <v>1</v>
      </c>
      <c r="BG231" s="6" t="s">
        <v>222</v>
      </c>
      <c r="BH231" s="5"/>
      <c r="BI231" s="5"/>
      <c r="BJ231" s="5" t="s">
        <v>402</v>
      </c>
    </row>
    <row r="232" spans="1:62">
      <c r="A232" s="2" t="s">
        <v>395</v>
      </c>
      <c r="B232" s="3" t="s">
        <v>85</v>
      </c>
      <c r="C232" s="3" t="s">
        <v>85</v>
      </c>
      <c r="D232" s="4">
        <v>38</v>
      </c>
      <c r="E232" s="4">
        <v>85</v>
      </c>
      <c r="F232" s="4">
        <v>2009</v>
      </c>
      <c r="G232" s="39">
        <v>15</v>
      </c>
      <c r="H232" s="28">
        <v>0</v>
      </c>
      <c r="I232" s="28">
        <v>0</v>
      </c>
      <c r="J232" s="5">
        <v>2016</v>
      </c>
      <c r="K232" s="5">
        <v>2022</v>
      </c>
      <c r="L232" s="5">
        <f>(K232-J232)</f>
        <v>6</v>
      </c>
      <c r="M232" s="5">
        <v>1</v>
      </c>
      <c r="N232" s="5" t="s">
        <v>610</v>
      </c>
      <c r="O232" s="5" t="s">
        <v>28</v>
      </c>
      <c r="P232" s="5">
        <v>0</v>
      </c>
      <c r="Q232" s="6"/>
      <c r="R232" s="5" t="s">
        <v>39</v>
      </c>
      <c r="S232" s="5" t="s">
        <v>392</v>
      </c>
      <c r="T232" s="6" t="s">
        <v>37</v>
      </c>
      <c r="U232" s="6">
        <v>0</v>
      </c>
      <c r="V232" s="25">
        <v>23</v>
      </c>
      <c r="W232" s="5">
        <v>0</v>
      </c>
      <c r="X232" s="7">
        <f t="shared" si="91"/>
        <v>1</v>
      </c>
      <c r="Y232" s="22">
        <f t="shared" si="92"/>
        <v>1</v>
      </c>
      <c r="Z232" s="15">
        <f t="shared" si="88"/>
        <v>0</v>
      </c>
      <c r="AA232" s="47">
        <v>0</v>
      </c>
      <c r="AB232" s="47">
        <v>0</v>
      </c>
      <c r="AC232" s="47">
        <v>0</v>
      </c>
      <c r="AD232" s="47">
        <v>0</v>
      </c>
      <c r="AE232" s="47">
        <v>0</v>
      </c>
      <c r="AF232" s="47">
        <v>0</v>
      </c>
      <c r="AG232" s="36">
        <f t="shared" si="108"/>
        <v>0</v>
      </c>
      <c r="AH232" s="36">
        <f t="shared" si="107"/>
        <v>0</v>
      </c>
      <c r="AI232" s="36">
        <f t="shared" si="107"/>
        <v>0</v>
      </c>
      <c r="AJ232" s="36">
        <f t="shared" si="107"/>
        <v>1</v>
      </c>
      <c r="AK232" s="36">
        <f t="shared" si="107"/>
        <v>0</v>
      </c>
      <c r="AL232" s="36">
        <f t="shared" si="107"/>
        <v>0</v>
      </c>
      <c r="AM232" s="45">
        <v>0</v>
      </c>
      <c r="AN232" s="45">
        <v>0</v>
      </c>
      <c r="AO232" s="45">
        <v>0</v>
      </c>
      <c r="AP232" s="45">
        <v>1</v>
      </c>
      <c r="AQ232" s="45">
        <v>0</v>
      </c>
      <c r="AR232" s="45">
        <v>0</v>
      </c>
      <c r="AS232" s="22">
        <f t="shared" si="95"/>
        <v>1</v>
      </c>
      <c r="AT232" s="22">
        <f t="shared" si="94"/>
        <v>0.16666666666666666</v>
      </c>
      <c r="AU232" s="5">
        <f t="shared" si="96"/>
        <v>1</v>
      </c>
      <c r="AV232" s="5">
        <f t="shared" si="97"/>
        <v>0.16666666666666666</v>
      </c>
      <c r="AW232" s="5">
        <f t="shared" si="98"/>
        <v>0</v>
      </c>
      <c r="AX232" s="5">
        <f t="shared" si="99"/>
        <v>0</v>
      </c>
      <c r="AY232" s="5">
        <f t="shared" si="100"/>
        <v>0</v>
      </c>
      <c r="AZ232" s="5">
        <f t="shared" si="101"/>
        <v>0</v>
      </c>
      <c r="BA232" s="5">
        <f t="shared" si="102"/>
        <v>0.16666666666666666</v>
      </c>
      <c r="BB232" s="5">
        <f t="shared" si="103"/>
        <v>0</v>
      </c>
      <c r="BC232" s="5">
        <f t="shared" si="104"/>
        <v>0</v>
      </c>
      <c r="BD232" s="6"/>
      <c r="BE232" s="6"/>
      <c r="BF232" s="59">
        <v>1</v>
      </c>
      <c r="BG232" s="32" t="s">
        <v>727</v>
      </c>
      <c r="BH232" s="5"/>
      <c r="BI232" s="5"/>
      <c r="BJ232" s="5" t="s">
        <v>610</v>
      </c>
    </row>
    <row r="233" spans="1:62">
      <c r="A233" s="2" t="s">
        <v>395</v>
      </c>
      <c r="B233" s="3" t="s">
        <v>85</v>
      </c>
      <c r="C233" s="3" t="s">
        <v>85</v>
      </c>
      <c r="D233" s="4">
        <v>38</v>
      </c>
      <c r="E233" s="4">
        <v>85</v>
      </c>
      <c r="F233" s="4">
        <v>2009</v>
      </c>
      <c r="G233" s="39">
        <v>15</v>
      </c>
      <c r="H233" s="28">
        <v>0</v>
      </c>
      <c r="I233" s="28">
        <v>0</v>
      </c>
      <c r="J233" s="5">
        <v>2015</v>
      </c>
      <c r="K233" s="5">
        <v>2021</v>
      </c>
      <c r="L233" s="5">
        <f>(K233-J233)</f>
        <v>6</v>
      </c>
      <c r="M233" s="5">
        <v>1</v>
      </c>
      <c r="N233" s="5" t="s">
        <v>611</v>
      </c>
      <c r="O233" s="5" t="s">
        <v>35</v>
      </c>
      <c r="P233" s="5">
        <v>0</v>
      </c>
      <c r="Q233" s="6"/>
      <c r="R233" s="5" t="s">
        <v>30</v>
      </c>
      <c r="S233" s="5" t="s">
        <v>612</v>
      </c>
      <c r="T233" s="6" t="s">
        <v>101</v>
      </c>
      <c r="U233" s="6">
        <v>0</v>
      </c>
      <c r="V233" s="25">
        <v>26</v>
      </c>
      <c r="W233" s="5">
        <v>2</v>
      </c>
      <c r="X233" s="7">
        <f t="shared" si="91"/>
        <v>8</v>
      </c>
      <c r="Y233" s="22">
        <f t="shared" si="92"/>
        <v>8</v>
      </c>
      <c r="Z233" s="15">
        <f t="shared" si="88"/>
        <v>0</v>
      </c>
      <c r="AA233" s="47">
        <v>0</v>
      </c>
      <c r="AB233" s="47">
        <v>0</v>
      </c>
      <c r="AC233" s="47">
        <v>0</v>
      </c>
      <c r="AD233" s="47">
        <v>0</v>
      </c>
      <c r="AE233" s="47">
        <v>0</v>
      </c>
      <c r="AF233" s="47">
        <v>0</v>
      </c>
      <c r="AG233" s="36">
        <f t="shared" si="108"/>
        <v>4</v>
      </c>
      <c r="AH233" s="36">
        <f t="shared" si="107"/>
        <v>0</v>
      </c>
      <c r="AI233" s="36">
        <f t="shared" si="107"/>
        <v>1</v>
      </c>
      <c r="AJ233" s="36">
        <f t="shared" si="107"/>
        <v>2</v>
      </c>
      <c r="AK233" s="36">
        <f t="shared" si="107"/>
        <v>0</v>
      </c>
      <c r="AL233" s="36">
        <f t="shared" si="107"/>
        <v>5</v>
      </c>
      <c r="AM233" s="45">
        <v>4</v>
      </c>
      <c r="AN233" s="45">
        <v>0</v>
      </c>
      <c r="AO233" s="45">
        <v>1</v>
      </c>
      <c r="AP233" s="45">
        <v>2</v>
      </c>
      <c r="AQ233" s="45">
        <v>0</v>
      </c>
      <c r="AR233" s="45">
        <v>5</v>
      </c>
      <c r="AS233" s="22">
        <f t="shared" si="95"/>
        <v>8</v>
      </c>
      <c r="AT233" s="22">
        <f t="shared" si="94"/>
        <v>1.3333333333333333</v>
      </c>
      <c r="AU233" s="5">
        <f t="shared" si="96"/>
        <v>3</v>
      </c>
      <c r="AV233" s="5">
        <f t="shared" si="97"/>
        <v>0.5</v>
      </c>
      <c r="AW233" s="5">
        <f t="shared" si="98"/>
        <v>0</v>
      </c>
      <c r="AX233" s="5">
        <f t="shared" si="99"/>
        <v>0.66666666666666663</v>
      </c>
      <c r="AY233" s="5">
        <f t="shared" si="100"/>
        <v>0</v>
      </c>
      <c r="AZ233" s="5">
        <f t="shared" si="101"/>
        <v>0.16666666666666666</v>
      </c>
      <c r="BA233" s="5">
        <f t="shared" si="102"/>
        <v>0.33333333333333331</v>
      </c>
      <c r="BB233" s="5">
        <f t="shared" si="103"/>
        <v>0</v>
      </c>
      <c r="BC233" s="5">
        <f t="shared" si="104"/>
        <v>0.83333333333333337</v>
      </c>
      <c r="BD233" s="6"/>
      <c r="BE233" s="6"/>
      <c r="BF233" s="59">
        <v>0</v>
      </c>
      <c r="BG233" s="28" t="s">
        <v>729</v>
      </c>
      <c r="BH233" s="5"/>
      <c r="BI233" s="5"/>
      <c r="BJ233" s="5" t="s">
        <v>611</v>
      </c>
    </row>
    <row r="234" spans="1:62">
      <c r="A234" s="2" t="s">
        <v>403</v>
      </c>
      <c r="B234" s="14" t="s">
        <v>32</v>
      </c>
      <c r="C234" s="14" t="s">
        <v>32</v>
      </c>
      <c r="D234" s="4">
        <v>44</v>
      </c>
      <c r="E234" s="4">
        <v>74</v>
      </c>
      <c r="F234" s="4">
        <v>2011</v>
      </c>
      <c r="G234" s="39">
        <v>8</v>
      </c>
      <c r="H234" s="28">
        <v>1</v>
      </c>
      <c r="I234" s="28">
        <v>1</v>
      </c>
      <c r="J234" s="5">
        <v>2022</v>
      </c>
      <c r="K234" s="5">
        <v>2024</v>
      </c>
      <c r="L234" s="5">
        <f t="shared" ref="L234:L246" si="109">(K234-J234)-0.42</f>
        <v>1.58</v>
      </c>
      <c r="M234" s="5">
        <v>0</v>
      </c>
      <c r="N234" s="5" t="s">
        <v>404</v>
      </c>
      <c r="O234" s="5" t="s">
        <v>35</v>
      </c>
      <c r="P234" s="5">
        <v>1</v>
      </c>
      <c r="Q234" s="5" t="s">
        <v>405</v>
      </c>
      <c r="R234" s="5" t="s">
        <v>54</v>
      </c>
      <c r="S234" s="5" t="s">
        <v>406</v>
      </c>
      <c r="T234" s="6"/>
      <c r="U234" s="6">
        <v>0</v>
      </c>
      <c r="V234" s="25"/>
      <c r="W234" s="5">
        <v>3</v>
      </c>
      <c r="X234" s="7">
        <f t="shared" si="91"/>
        <v>16</v>
      </c>
      <c r="Y234" s="22">
        <f t="shared" si="92"/>
        <v>7</v>
      </c>
      <c r="Z234" s="15">
        <f t="shared" si="88"/>
        <v>9</v>
      </c>
      <c r="AA234" s="19">
        <v>4</v>
      </c>
      <c r="AB234" s="19">
        <v>0</v>
      </c>
      <c r="AC234" s="19">
        <v>3</v>
      </c>
      <c r="AD234" s="19">
        <v>4</v>
      </c>
      <c r="AE234" s="19">
        <v>2</v>
      </c>
      <c r="AF234" s="19">
        <v>0</v>
      </c>
      <c r="AG234" s="36">
        <f t="shared" si="108"/>
        <v>4</v>
      </c>
      <c r="AH234" s="36">
        <f t="shared" si="107"/>
        <v>5</v>
      </c>
      <c r="AI234" s="36">
        <f t="shared" si="107"/>
        <v>2</v>
      </c>
      <c r="AJ234" s="36">
        <f t="shared" si="107"/>
        <v>0</v>
      </c>
      <c r="AK234" s="36">
        <f t="shared" si="107"/>
        <v>0</v>
      </c>
      <c r="AL234" s="36">
        <f t="shared" si="107"/>
        <v>0</v>
      </c>
      <c r="AM234" s="7">
        <v>8</v>
      </c>
      <c r="AN234" s="7">
        <v>5</v>
      </c>
      <c r="AO234" s="7">
        <v>5</v>
      </c>
      <c r="AP234" s="7">
        <v>4</v>
      </c>
      <c r="AQ234" s="7">
        <v>2</v>
      </c>
      <c r="AR234" s="7">
        <v>0</v>
      </c>
      <c r="AS234" s="22">
        <f t="shared" si="95"/>
        <v>16</v>
      </c>
      <c r="AT234" s="22">
        <f t="shared" si="94"/>
        <v>4.4303797468354427</v>
      </c>
      <c r="AU234" s="5">
        <f t="shared" si="96"/>
        <v>7</v>
      </c>
      <c r="AV234" s="5">
        <f t="shared" si="97"/>
        <v>4.4303797468354427</v>
      </c>
      <c r="AW234" s="5">
        <f t="shared" si="98"/>
        <v>9</v>
      </c>
      <c r="AX234" s="5">
        <f t="shared" si="99"/>
        <v>2.5316455696202529</v>
      </c>
      <c r="AY234" s="5">
        <f t="shared" si="100"/>
        <v>3.1645569620253164</v>
      </c>
      <c r="AZ234" s="5">
        <f t="shared" si="101"/>
        <v>1.2658227848101264</v>
      </c>
      <c r="BA234" s="5">
        <f t="shared" si="102"/>
        <v>0</v>
      </c>
      <c r="BB234" s="5">
        <f t="shared" si="103"/>
        <v>0</v>
      </c>
      <c r="BC234" s="5">
        <f t="shared" si="104"/>
        <v>0</v>
      </c>
      <c r="BD234" s="6"/>
      <c r="BE234" s="6"/>
      <c r="BF234" s="59"/>
      <c r="BG234" s="6"/>
      <c r="BH234" s="5"/>
      <c r="BI234" s="5"/>
      <c r="BJ234" s="5" t="s">
        <v>404</v>
      </c>
    </row>
    <row r="235" spans="1:62">
      <c r="A235" s="2" t="s">
        <v>403</v>
      </c>
      <c r="B235" s="14" t="s">
        <v>32</v>
      </c>
      <c r="C235" s="14" t="s">
        <v>32</v>
      </c>
      <c r="D235" s="4">
        <v>44</v>
      </c>
      <c r="E235" s="4">
        <v>74</v>
      </c>
      <c r="F235" s="4">
        <v>2011</v>
      </c>
      <c r="G235" s="39">
        <v>8</v>
      </c>
      <c r="H235" s="28">
        <v>1</v>
      </c>
      <c r="I235" s="28">
        <v>1</v>
      </c>
      <c r="J235" s="5">
        <v>2022</v>
      </c>
      <c r="K235" s="5">
        <v>2024</v>
      </c>
      <c r="L235" s="5">
        <f t="shared" si="109"/>
        <v>1.58</v>
      </c>
      <c r="M235" s="5">
        <v>0</v>
      </c>
      <c r="N235" s="5" t="s">
        <v>407</v>
      </c>
      <c r="O235" s="5" t="s">
        <v>35</v>
      </c>
      <c r="P235" s="5">
        <v>0</v>
      </c>
      <c r="Q235" s="6"/>
      <c r="R235" s="5" t="s">
        <v>30</v>
      </c>
      <c r="S235" s="5" t="s">
        <v>147</v>
      </c>
      <c r="T235" s="6" t="s">
        <v>218</v>
      </c>
      <c r="U235" s="6">
        <v>0</v>
      </c>
      <c r="V235" s="25">
        <v>13</v>
      </c>
      <c r="W235" s="5">
        <v>3</v>
      </c>
      <c r="X235" s="7">
        <f t="shared" si="91"/>
        <v>4</v>
      </c>
      <c r="Y235" s="22">
        <f t="shared" si="92"/>
        <v>0</v>
      </c>
      <c r="Z235" s="15">
        <f t="shared" si="88"/>
        <v>4</v>
      </c>
      <c r="AA235" s="19">
        <v>1</v>
      </c>
      <c r="AB235" s="19">
        <v>2</v>
      </c>
      <c r="AC235" s="19">
        <v>1</v>
      </c>
      <c r="AD235" s="19">
        <v>0</v>
      </c>
      <c r="AE235" s="19">
        <v>0</v>
      </c>
      <c r="AF235" s="19">
        <v>1</v>
      </c>
      <c r="AG235" s="36">
        <f t="shared" si="108"/>
        <v>0</v>
      </c>
      <c r="AH235" s="36">
        <f t="shared" si="107"/>
        <v>0</v>
      </c>
      <c r="AI235" s="36">
        <f t="shared" si="107"/>
        <v>0</v>
      </c>
      <c r="AJ235" s="36">
        <f t="shared" si="107"/>
        <v>0</v>
      </c>
      <c r="AK235" s="36">
        <f t="shared" si="107"/>
        <v>0</v>
      </c>
      <c r="AL235" s="36">
        <f t="shared" si="107"/>
        <v>0</v>
      </c>
      <c r="AM235" s="7">
        <v>1</v>
      </c>
      <c r="AN235" s="7">
        <v>2</v>
      </c>
      <c r="AO235" s="7">
        <v>1</v>
      </c>
      <c r="AP235" s="7">
        <v>0</v>
      </c>
      <c r="AQ235" s="7">
        <v>0</v>
      </c>
      <c r="AR235" s="7">
        <v>1</v>
      </c>
      <c r="AS235" s="22">
        <f t="shared" si="95"/>
        <v>4</v>
      </c>
      <c r="AT235" s="22">
        <f t="shared" si="94"/>
        <v>0</v>
      </c>
      <c r="AU235" s="5">
        <f t="shared" si="96"/>
        <v>0</v>
      </c>
      <c r="AV235" s="5">
        <f t="shared" si="97"/>
        <v>0</v>
      </c>
      <c r="AW235" s="5">
        <f t="shared" si="98"/>
        <v>3</v>
      </c>
      <c r="AX235" s="5">
        <f t="shared" si="99"/>
        <v>0</v>
      </c>
      <c r="AY235" s="5">
        <f t="shared" si="100"/>
        <v>0</v>
      </c>
      <c r="AZ235" s="5">
        <f t="shared" si="101"/>
        <v>0</v>
      </c>
      <c r="BA235" s="5">
        <f t="shared" si="102"/>
        <v>0</v>
      </c>
      <c r="BB235" s="5">
        <f t="shared" si="103"/>
        <v>0</v>
      </c>
      <c r="BC235" s="5">
        <f t="shared" si="104"/>
        <v>0</v>
      </c>
      <c r="BD235" s="6"/>
      <c r="BE235" s="6"/>
      <c r="BF235" s="59"/>
      <c r="BG235" s="6"/>
      <c r="BH235" s="5"/>
      <c r="BI235" s="5"/>
      <c r="BJ235" s="5" t="s">
        <v>407</v>
      </c>
    </row>
    <row r="236" spans="1:62">
      <c r="A236" s="2" t="s">
        <v>403</v>
      </c>
      <c r="B236" s="14" t="s">
        <v>32</v>
      </c>
      <c r="C236" s="14" t="s">
        <v>32</v>
      </c>
      <c r="D236" s="4">
        <v>44</v>
      </c>
      <c r="E236" s="4">
        <v>74</v>
      </c>
      <c r="F236" s="4">
        <v>2011</v>
      </c>
      <c r="G236" s="39">
        <v>8</v>
      </c>
      <c r="H236" s="28">
        <v>1</v>
      </c>
      <c r="I236" s="28">
        <v>1</v>
      </c>
      <c r="J236" s="5">
        <v>2021</v>
      </c>
      <c r="K236" s="5">
        <v>2024</v>
      </c>
      <c r="L236" s="5">
        <f t="shared" si="109"/>
        <v>2.58</v>
      </c>
      <c r="M236" s="5">
        <v>0</v>
      </c>
      <c r="N236" s="5" t="s">
        <v>408</v>
      </c>
      <c r="O236" s="5" t="s">
        <v>28</v>
      </c>
      <c r="P236" s="5">
        <v>0</v>
      </c>
      <c r="Q236" s="6"/>
      <c r="R236" s="5" t="s">
        <v>30</v>
      </c>
      <c r="S236" s="5" t="s">
        <v>613</v>
      </c>
      <c r="T236" s="6" t="s">
        <v>101</v>
      </c>
      <c r="U236" s="6">
        <v>0</v>
      </c>
      <c r="V236" s="25">
        <v>35</v>
      </c>
      <c r="W236" s="5">
        <v>0</v>
      </c>
      <c r="X236" s="7">
        <f t="shared" si="91"/>
        <v>1</v>
      </c>
      <c r="Y236" s="22">
        <f t="shared" si="92"/>
        <v>0</v>
      </c>
      <c r="Z236" s="15">
        <f t="shared" si="88"/>
        <v>1</v>
      </c>
      <c r="AA236" s="19">
        <v>0</v>
      </c>
      <c r="AB236" s="19">
        <v>1</v>
      </c>
      <c r="AC236" s="19">
        <v>0</v>
      </c>
      <c r="AD236" s="19">
        <v>0</v>
      </c>
      <c r="AE236" s="19">
        <v>0</v>
      </c>
      <c r="AF236" s="19">
        <v>0</v>
      </c>
      <c r="AG236" s="36">
        <f t="shared" si="108"/>
        <v>0</v>
      </c>
      <c r="AH236" s="36">
        <f t="shared" si="107"/>
        <v>0</v>
      </c>
      <c r="AI236" s="36">
        <f t="shared" si="107"/>
        <v>0</v>
      </c>
      <c r="AJ236" s="36">
        <f t="shared" si="107"/>
        <v>0</v>
      </c>
      <c r="AK236" s="36">
        <f t="shared" si="107"/>
        <v>0</v>
      </c>
      <c r="AL236" s="36">
        <f t="shared" si="107"/>
        <v>0</v>
      </c>
      <c r="AM236" s="7">
        <v>0</v>
      </c>
      <c r="AN236" s="7">
        <v>1</v>
      </c>
      <c r="AO236" s="7">
        <v>0</v>
      </c>
      <c r="AP236" s="7">
        <v>0</v>
      </c>
      <c r="AQ236" s="7">
        <v>0</v>
      </c>
      <c r="AR236" s="7">
        <v>0</v>
      </c>
      <c r="AS236" s="22">
        <f t="shared" si="95"/>
        <v>1</v>
      </c>
      <c r="AT236" s="22">
        <f t="shared" si="94"/>
        <v>0</v>
      </c>
      <c r="AU236" s="5">
        <f t="shared" si="96"/>
        <v>0</v>
      </c>
      <c r="AV236" s="5">
        <f t="shared" si="97"/>
        <v>0</v>
      </c>
      <c r="AW236" s="5">
        <f t="shared" si="98"/>
        <v>1</v>
      </c>
      <c r="AX236" s="5">
        <f t="shared" si="99"/>
        <v>0</v>
      </c>
      <c r="AY236" s="5">
        <f t="shared" si="100"/>
        <v>0</v>
      </c>
      <c r="AZ236" s="5">
        <f t="shared" si="101"/>
        <v>0</v>
      </c>
      <c r="BA236" s="5">
        <f t="shared" si="102"/>
        <v>0</v>
      </c>
      <c r="BB236" s="5">
        <f t="shared" si="103"/>
        <v>0</v>
      </c>
      <c r="BC236" s="5">
        <f t="shared" si="104"/>
        <v>0</v>
      </c>
      <c r="BD236" s="6"/>
      <c r="BE236" s="6"/>
      <c r="BF236" s="59"/>
      <c r="BG236" s="6"/>
      <c r="BH236" s="15"/>
      <c r="BI236" s="15"/>
      <c r="BJ236" s="5" t="s">
        <v>408</v>
      </c>
    </row>
    <row r="237" spans="1:62">
      <c r="A237" s="2" t="s">
        <v>403</v>
      </c>
      <c r="B237" s="14" t="s">
        <v>32</v>
      </c>
      <c r="C237" s="14" t="s">
        <v>32</v>
      </c>
      <c r="D237" s="4">
        <v>44</v>
      </c>
      <c r="E237" s="4">
        <v>74</v>
      </c>
      <c r="F237" s="4">
        <v>2011</v>
      </c>
      <c r="G237" s="39">
        <v>8</v>
      </c>
      <c r="H237" s="28">
        <v>1</v>
      </c>
      <c r="I237" s="28">
        <v>1</v>
      </c>
      <c r="J237" s="5">
        <v>2021</v>
      </c>
      <c r="K237" s="5">
        <v>2024</v>
      </c>
      <c r="L237" s="5">
        <f t="shared" si="109"/>
        <v>2.58</v>
      </c>
      <c r="M237" s="5">
        <v>0</v>
      </c>
      <c r="N237" s="5" t="s">
        <v>409</v>
      </c>
      <c r="O237" s="5" t="s">
        <v>35</v>
      </c>
      <c r="P237" s="5">
        <v>0</v>
      </c>
      <c r="Q237" s="6"/>
      <c r="R237" s="5" t="s">
        <v>39</v>
      </c>
      <c r="S237" s="5" t="s">
        <v>147</v>
      </c>
      <c r="T237" s="6" t="s">
        <v>218</v>
      </c>
      <c r="U237" s="6">
        <v>0</v>
      </c>
      <c r="V237" s="25">
        <v>13</v>
      </c>
      <c r="W237" s="5">
        <v>11</v>
      </c>
      <c r="X237" s="7">
        <f t="shared" si="91"/>
        <v>90</v>
      </c>
      <c r="Y237" s="22">
        <f t="shared" si="92"/>
        <v>61</v>
      </c>
      <c r="Z237" s="15">
        <f t="shared" si="88"/>
        <v>29</v>
      </c>
      <c r="AA237" s="19">
        <v>18</v>
      </c>
      <c r="AB237" s="19">
        <v>0</v>
      </c>
      <c r="AC237" s="19">
        <v>15</v>
      </c>
      <c r="AD237" s="19">
        <v>0</v>
      </c>
      <c r="AE237" s="19">
        <v>2</v>
      </c>
      <c r="AF237" s="19">
        <v>12</v>
      </c>
      <c r="AG237" s="36">
        <f t="shared" si="108"/>
        <v>41</v>
      </c>
      <c r="AH237" s="36">
        <f t="shared" si="107"/>
        <v>0</v>
      </c>
      <c r="AI237" s="36">
        <f t="shared" si="107"/>
        <v>52</v>
      </c>
      <c r="AJ237" s="36">
        <f t="shared" si="107"/>
        <v>0</v>
      </c>
      <c r="AK237" s="36">
        <f t="shared" si="107"/>
        <v>2</v>
      </c>
      <c r="AL237" s="36">
        <f t="shared" si="107"/>
        <v>7</v>
      </c>
      <c r="AM237" s="7">
        <v>59</v>
      </c>
      <c r="AN237" s="7">
        <v>0</v>
      </c>
      <c r="AO237" s="7">
        <v>67</v>
      </c>
      <c r="AP237" s="7">
        <v>0</v>
      </c>
      <c r="AQ237" s="7">
        <v>4</v>
      </c>
      <c r="AR237" s="7">
        <v>19</v>
      </c>
      <c r="AS237" s="22">
        <f t="shared" si="95"/>
        <v>90</v>
      </c>
      <c r="AT237" s="22">
        <f t="shared" si="94"/>
        <v>23.643410852713178</v>
      </c>
      <c r="AU237" s="5">
        <f t="shared" si="96"/>
        <v>54</v>
      </c>
      <c r="AV237" s="5">
        <f t="shared" si="97"/>
        <v>20.930232558139533</v>
      </c>
      <c r="AW237" s="5">
        <f t="shared" si="98"/>
        <v>17</v>
      </c>
      <c r="AX237" s="5">
        <f t="shared" si="99"/>
        <v>15.891472868217054</v>
      </c>
      <c r="AY237" s="5">
        <f t="shared" si="100"/>
        <v>0</v>
      </c>
      <c r="AZ237" s="5">
        <f t="shared" si="101"/>
        <v>20.155038759689923</v>
      </c>
      <c r="BA237" s="5">
        <f t="shared" si="102"/>
        <v>0</v>
      </c>
      <c r="BB237" s="5">
        <f t="shared" si="103"/>
        <v>0.77519379844961234</v>
      </c>
      <c r="BC237" s="5">
        <f t="shared" si="104"/>
        <v>2.7131782945736433</v>
      </c>
      <c r="BD237" s="6"/>
      <c r="BE237" s="6"/>
      <c r="BF237" s="59"/>
      <c r="BG237" s="6"/>
      <c r="BH237" s="5"/>
      <c r="BI237" s="5"/>
      <c r="BJ237" s="5" t="s">
        <v>409</v>
      </c>
    </row>
    <row r="238" spans="1:62">
      <c r="A238" s="2" t="s">
        <v>403</v>
      </c>
      <c r="B238" s="14" t="s">
        <v>32</v>
      </c>
      <c r="C238" s="14" t="s">
        <v>32</v>
      </c>
      <c r="D238" s="4">
        <v>44</v>
      </c>
      <c r="E238" s="4">
        <v>74</v>
      </c>
      <c r="F238" s="4">
        <v>2011</v>
      </c>
      <c r="G238" s="39">
        <v>8</v>
      </c>
      <c r="H238" s="28">
        <v>1</v>
      </c>
      <c r="I238" s="28">
        <v>1</v>
      </c>
      <c r="J238" s="5">
        <v>2020</v>
      </c>
      <c r="K238" s="5">
        <v>2024</v>
      </c>
      <c r="L238" s="5">
        <f t="shared" si="109"/>
        <v>3.58</v>
      </c>
      <c r="M238" s="5">
        <v>0</v>
      </c>
      <c r="N238" s="5" t="s">
        <v>410</v>
      </c>
      <c r="O238" s="5" t="s">
        <v>28</v>
      </c>
      <c r="P238" s="5">
        <v>1</v>
      </c>
      <c r="Q238" s="5" t="s">
        <v>411</v>
      </c>
      <c r="R238" s="5" t="s">
        <v>30</v>
      </c>
      <c r="S238" s="5" t="s">
        <v>412</v>
      </c>
      <c r="T238" s="6"/>
      <c r="U238" s="6">
        <v>0</v>
      </c>
      <c r="V238" s="25"/>
      <c r="W238" s="5">
        <v>3</v>
      </c>
      <c r="X238" s="7">
        <f t="shared" si="91"/>
        <v>13</v>
      </c>
      <c r="Y238" s="22">
        <f t="shared" si="92"/>
        <v>7</v>
      </c>
      <c r="Z238" s="15">
        <f t="shared" si="88"/>
        <v>6</v>
      </c>
      <c r="AA238" s="19">
        <v>1</v>
      </c>
      <c r="AB238" s="19">
        <v>0</v>
      </c>
      <c r="AC238" s="19">
        <v>3</v>
      </c>
      <c r="AD238" s="19">
        <v>1</v>
      </c>
      <c r="AE238" s="19">
        <v>1</v>
      </c>
      <c r="AF238" s="19">
        <v>1</v>
      </c>
      <c r="AG238" s="36">
        <f t="shared" si="108"/>
        <v>3</v>
      </c>
      <c r="AH238" s="36">
        <f t="shared" si="107"/>
        <v>1</v>
      </c>
      <c r="AI238" s="36">
        <f t="shared" si="107"/>
        <v>4</v>
      </c>
      <c r="AJ238" s="36">
        <f t="shared" si="107"/>
        <v>0</v>
      </c>
      <c r="AK238" s="36">
        <f t="shared" si="107"/>
        <v>1</v>
      </c>
      <c r="AL238" s="36">
        <f t="shared" si="107"/>
        <v>1</v>
      </c>
      <c r="AM238" s="7">
        <v>4</v>
      </c>
      <c r="AN238" s="7">
        <v>1</v>
      </c>
      <c r="AO238" s="7">
        <v>7</v>
      </c>
      <c r="AP238" s="7">
        <v>1</v>
      </c>
      <c r="AQ238" s="7">
        <v>2</v>
      </c>
      <c r="AR238" s="7">
        <v>2</v>
      </c>
      <c r="AS238" s="22">
        <f t="shared" si="95"/>
        <v>13</v>
      </c>
      <c r="AT238" s="22">
        <f t="shared" si="94"/>
        <v>1.9553072625698324</v>
      </c>
      <c r="AU238" s="5">
        <f t="shared" si="96"/>
        <v>6</v>
      </c>
      <c r="AV238" s="5">
        <f t="shared" si="97"/>
        <v>1.6759776536312849</v>
      </c>
      <c r="AW238" s="5">
        <f t="shared" si="98"/>
        <v>5</v>
      </c>
      <c r="AX238" s="5">
        <f t="shared" si="99"/>
        <v>0.83798882681564246</v>
      </c>
      <c r="AY238" s="5">
        <f t="shared" si="100"/>
        <v>0.27932960893854747</v>
      </c>
      <c r="AZ238" s="5">
        <f t="shared" si="101"/>
        <v>1.1173184357541899</v>
      </c>
      <c r="BA238" s="5">
        <f t="shared" si="102"/>
        <v>0</v>
      </c>
      <c r="BB238" s="5">
        <f t="shared" si="103"/>
        <v>0.27932960893854747</v>
      </c>
      <c r="BC238" s="5">
        <f t="shared" si="104"/>
        <v>0.27932960893854747</v>
      </c>
      <c r="BD238" s="6"/>
      <c r="BE238" s="6"/>
      <c r="BF238" s="59"/>
      <c r="BG238" s="6"/>
      <c r="BH238" s="5"/>
      <c r="BI238" s="5"/>
      <c r="BJ238" s="5" t="s">
        <v>410</v>
      </c>
    </row>
    <row r="239" spans="1:62">
      <c r="A239" s="2" t="s">
        <v>403</v>
      </c>
      <c r="B239" s="14" t="s">
        <v>32</v>
      </c>
      <c r="C239" s="14" t="s">
        <v>32</v>
      </c>
      <c r="D239" s="4">
        <v>44</v>
      </c>
      <c r="E239" s="4">
        <v>74</v>
      </c>
      <c r="F239" s="4">
        <v>2011</v>
      </c>
      <c r="G239" s="39">
        <v>8</v>
      </c>
      <c r="H239" s="28">
        <v>1</v>
      </c>
      <c r="I239" s="28">
        <v>1</v>
      </c>
      <c r="J239" s="5">
        <v>2019</v>
      </c>
      <c r="K239" s="5">
        <v>2024</v>
      </c>
      <c r="L239" s="5">
        <f t="shared" si="109"/>
        <v>4.58</v>
      </c>
      <c r="M239" s="5">
        <v>0</v>
      </c>
      <c r="N239" s="5" t="s">
        <v>413</v>
      </c>
      <c r="O239" s="5" t="s">
        <v>35</v>
      </c>
      <c r="P239" s="5">
        <v>0</v>
      </c>
      <c r="Q239" s="6"/>
      <c r="R239" s="5" t="s">
        <v>30</v>
      </c>
      <c r="S239" s="5" t="s">
        <v>147</v>
      </c>
      <c r="T239" s="6" t="s">
        <v>218</v>
      </c>
      <c r="U239" s="6">
        <v>0</v>
      </c>
      <c r="V239" s="25">
        <v>13</v>
      </c>
      <c r="W239" s="5">
        <v>1</v>
      </c>
      <c r="X239" s="7">
        <f t="shared" si="91"/>
        <v>6</v>
      </c>
      <c r="Y239" s="22">
        <f t="shared" si="92"/>
        <v>6</v>
      </c>
      <c r="Z239" s="15">
        <f t="shared" si="88"/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36">
        <f t="shared" si="108"/>
        <v>5</v>
      </c>
      <c r="AH239" s="36">
        <f t="shared" si="107"/>
        <v>0</v>
      </c>
      <c r="AI239" s="36">
        <f t="shared" si="107"/>
        <v>1</v>
      </c>
      <c r="AJ239" s="36">
        <f t="shared" si="107"/>
        <v>3</v>
      </c>
      <c r="AK239" s="36">
        <f t="shared" si="107"/>
        <v>1</v>
      </c>
      <c r="AL239" s="36">
        <f t="shared" si="107"/>
        <v>1</v>
      </c>
      <c r="AM239" s="7">
        <v>5</v>
      </c>
      <c r="AN239" s="7">
        <v>0</v>
      </c>
      <c r="AO239" s="7">
        <v>1</v>
      </c>
      <c r="AP239" s="7">
        <v>3</v>
      </c>
      <c r="AQ239" s="7">
        <v>1</v>
      </c>
      <c r="AR239" s="7">
        <v>1</v>
      </c>
      <c r="AS239" s="22">
        <f t="shared" si="95"/>
        <v>6</v>
      </c>
      <c r="AT239" s="22">
        <f t="shared" si="94"/>
        <v>1.3100436681222707</v>
      </c>
      <c r="AU239" s="5">
        <f t="shared" si="96"/>
        <v>5</v>
      </c>
      <c r="AV239" s="5">
        <f t="shared" si="97"/>
        <v>1.0917030567685588</v>
      </c>
      <c r="AW239" s="5">
        <f t="shared" si="98"/>
        <v>0</v>
      </c>
      <c r="AX239" s="5">
        <f t="shared" si="99"/>
        <v>1.0917030567685588</v>
      </c>
      <c r="AY239" s="5">
        <f t="shared" si="100"/>
        <v>0</v>
      </c>
      <c r="AZ239" s="5">
        <f t="shared" si="101"/>
        <v>0.2183406113537118</v>
      </c>
      <c r="BA239" s="5">
        <f t="shared" si="102"/>
        <v>0.65502183406113534</v>
      </c>
      <c r="BB239" s="5">
        <f t="shared" si="103"/>
        <v>0.2183406113537118</v>
      </c>
      <c r="BC239" s="5">
        <f t="shared" si="104"/>
        <v>0.2183406113537118</v>
      </c>
      <c r="BD239" s="6"/>
      <c r="BE239" s="6"/>
      <c r="BF239" s="59"/>
      <c r="BG239" s="6"/>
      <c r="BH239" s="5"/>
      <c r="BI239" s="5"/>
      <c r="BJ239" s="5" t="s">
        <v>413</v>
      </c>
    </row>
    <row r="240" spans="1:62">
      <c r="A240" s="2" t="s">
        <v>403</v>
      </c>
      <c r="B240" s="14" t="s">
        <v>32</v>
      </c>
      <c r="C240" s="14" t="s">
        <v>32</v>
      </c>
      <c r="D240" s="4">
        <v>44</v>
      </c>
      <c r="E240" s="4">
        <v>74</v>
      </c>
      <c r="F240" s="4">
        <v>2011</v>
      </c>
      <c r="G240" s="39">
        <v>8</v>
      </c>
      <c r="H240" s="28">
        <v>1</v>
      </c>
      <c r="I240" s="28">
        <v>1</v>
      </c>
      <c r="J240" s="5">
        <v>2019</v>
      </c>
      <c r="K240" s="5">
        <v>2024</v>
      </c>
      <c r="L240" s="5">
        <f t="shared" si="109"/>
        <v>4.58</v>
      </c>
      <c r="M240" s="5">
        <v>0</v>
      </c>
      <c r="N240" s="5" t="s">
        <v>414</v>
      </c>
      <c r="O240" s="5" t="s">
        <v>28</v>
      </c>
      <c r="P240" s="5">
        <v>0</v>
      </c>
      <c r="Q240" s="6"/>
      <c r="R240" s="5" t="s">
        <v>39</v>
      </c>
      <c r="S240" s="5" t="s">
        <v>415</v>
      </c>
      <c r="T240" s="6" t="s">
        <v>84</v>
      </c>
      <c r="U240" s="6">
        <v>0</v>
      </c>
      <c r="V240" s="25">
        <v>44</v>
      </c>
      <c r="W240" s="5">
        <v>2</v>
      </c>
      <c r="X240" s="7">
        <f t="shared" si="91"/>
        <v>9</v>
      </c>
      <c r="Y240" s="22">
        <f t="shared" si="92"/>
        <v>8</v>
      </c>
      <c r="Z240" s="15">
        <f t="shared" si="88"/>
        <v>1</v>
      </c>
      <c r="AA240" s="19">
        <v>0</v>
      </c>
      <c r="AB240" s="19">
        <v>0</v>
      </c>
      <c r="AC240" s="19">
        <v>0</v>
      </c>
      <c r="AD240" s="19">
        <v>0</v>
      </c>
      <c r="AE240" s="19">
        <v>1</v>
      </c>
      <c r="AF240" s="19">
        <v>0</v>
      </c>
      <c r="AG240" s="36">
        <f t="shared" si="108"/>
        <v>4</v>
      </c>
      <c r="AH240" s="36">
        <f t="shared" si="107"/>
        <v>0</v>
      </c>
      <c r="AI240" s="36">
        <f t="shared" si="107"/>
        <v>4</v>
      </c>
      <c r="AJ240" s="36">
        <f t="shared" si="107"/>
        <v>1</v>
      </c>
      <c r="AK240" s="36">
        <f t="shared" si="107"/>
        <v>1</v>
      </c>
      <c r="AL240" s="36">
        <f t="shared" si="107"/>
        <v>2</v>
      </c>
      <c r="AM240" s="7">
        <v>4</v>
      </c>
      <c r="AN240" s="7">
        <v>0</v>
      </c>
      <c r="AO240" s="7">
        <v>4</v>
      </c>
      <c r="AP240" s="7">
        <v>1</v>
      </c>
      <c r="AQ240" s="7">
        <v>2</v>
      </c>
      <c r="AR240" s="7">
        <v>2</v>
      </c>
      <c r="AS240" s="22">
        <f t="shared" si="95"/>
        <v>9</v>
      </c>
      <c r="AT240" s="22">
        <f t="shared" si="94"/>
        <v>1.7467248908296944</v>
      </c>
      <c r="AU240" s="5">
        <f t="shared" si="96"/>
        <v>6</v>
      </c>
      <c r="AV240" s="5">
        <f t="shared" si="97"/>
        <v>1.3100436681222707</v>
      </c>
      <c r="AW240" s="5">
        <f t="shared" si="98"/>
        <v>1</v>
      </c>
      <c r="AX240" s="5">
        <f t="shared" si="99"/>
        <v>0.8733624454148472</v>
      </c>
      <c r="AY240" s="5">
        <f t="shared" si="100"/>
        <v>0</v>
      </c>
      <c r="AZ240" s="5">
        <f t="shared" si="101"/>
        <v>0.8733624454148472</v>
      </c>
      <c r="BA240" s="5">
        <f t="shared" si="102"/>
        <v>0.2183406113537118</v>
      </c>
      <c r="BB240" s="5">
        <f t="shared" si="103"/>
        <v>0.2183406113537118</v>
      </c>
      <c r="BC240" s="5">
        <f t="shared" si="104"/>
        <v>0.4366812227074236</v>
      </c>
      <c r="BD240" s="6"/>
      <c r="BE240" s="6"/>
      <c r="BF240" s="59"/>
      <c r="BG240" s="6"/>
      <c r="BH240" s="5"/>
      <c r="BI240" s="5"/>
      <c r="BJ240" s="5" t="s">
        <v>414</v>
      </c>
    </row>
    <row r="241" spans="1:62">
      <c r="A241" s="2" t="s">
        <v>403</v>
      </c>
      <c r="B241" s="14" t="s">
        <v>32</v>
      </c>
      <c r="C241" s="14" t="s">
        <v>32</v>
      </c>
      <c r="D241" s="4">
        <v>44</v>
      </c>
      <c r="E241" s="4">
        <v>74</v>
      </c>
      <c r="F241" s="4">
        <v>2011</v>
      </c>
      <c r="G241" s="39">
        <v>8</v>
      </c>
      <c r="H241" s="28">
        <v>1</v>
      </c>
      <c r="I241" s="28">
        <v>1</v>
      </c>
      <c r="J241" s="5">
        <v>2018</v>
      </c>
      <c r="K241" s="5">
        <v>2024</v>
      </c>
      <c r="L241" s="5">
        <f t="shared" si="109"/>
        <v>5.58</v>
      </c>
      <c r="M241" s="5">
        <v>0</v>
      </c>
      <c r="N241" s="5" t="s">
        <v>416</v>
      </c>
      <c r="O241" s="5" t="s">
        <v>28</v>
      </c>
      <c r="P241" s="5">
        <v>0</v>
      </c>
      <c r="Q241" s="6"/>
      <c r="R241" s="5" t="s">
        <v>39</v>
      </c>
      <c r="S241" s="5" t="s">
        <v>147</v>
      </c>
      <c r="T241" s="6" t="s">
        <v>218</v>
      </c>
      <c r="U241" s="6">
        <v>0</v>
      </c>
      <c r="V241" s="25">
        <v>13</v>
      </c>
      <c r="W241" s="5">
        <v>4</v>
      </c>
      <c r="X241" s="7">
        <f t="shared" si="91"/>
        <v>53</v>
      </c>
      <c r="Y241" s="22">
        <f t="shared" si="92"/>
        <v>53</v>
      </c>
      <c r="Z241" s="15">
        <f t="shared" si="88"/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36">
        <f t="shared" si="108"/>
        <v>20</v>
      </c>
      <c r="AH241" s="36">
        <f t="shared" si="107"/>
        <v>0</v>
      </c>
      <c r="AI241" s="36">
        <f t="shared" si="107"/>
        <v>38</v>
      </c>
      <c r="AJ241" s="36">
        <f t="shared" si="107"/>
        <v>1</v>
      </c>
      <c r="AK241" s="36">
        <f t="shared" si="107"/>
        <v>5</v>
      </c>
      <c r="AL241" s="36">
        <f t="shared" si="107"/>
        <v>9</v>
      </c>
      <c r="AM241" s="7">
        <v>20</v>
      </c>
      <c r="AN241" s="7">
        <v>0</v>
      </c>
      <c r="AO241" s="7">
        <v>38</v>
      </c>
      <c r="AP241" s="7">
        <v>1</v>
      </c>
      <c r="AQ241" s="7">
        <v>5</v>
      </c>
      <c r="AR241" s="7">
        <v>9</v>
      </c>
      <c r="AS241" s="22">
        <f t="shared" si="95"/>
        <v>53</v>
      </c>
      <c r="AT241" s="22">
        <f t="shared" si="94"/>
        <v>9.4982078853046588</v>
      </c>
      <c r="AU241" s="5">
        <f t="shared" si="96"/>
        <v>44</v>
      </c>
      <c r="AV241" s="5">
        <f t="shared" si="97"/>
        <v>7.8853046594982077</v>
      </c>
      <c r="AW241" s="5">
        <f t="shared" si="98"/>
        <v>0</v>
      </c>
      <c r="AX241" s="5">
        <f t="shared" si="99"/>
        <v>3.5842293906810037</v>
      </c>
      <c r="AY241" s="5">
        <f t="shared" si="100"/>
        <v>0</v>
      </c>
      <c r="AZ241" s="5">
        <f t="shared" si="101"/>
        <v>6.8100358422939067</v>
      </c>
      <c r="BA241" s="5">
        <f t="shared" si="102"/>
        <v>0.17921146953405018</v>
      </c>
      <c r="BB241" s="5">
        <f t="shared" si="103"/>
        <v>0.89605734767025091</v>
      </c>
      <c r="BC241" s="5">
        <f t="shared" si="104"/>
        <v>1.6129032258064515</v>
      </c>
      <c r="BD241" s="6"/>
      <c r="BE241" s="6"/>
      <c r="BF241" s="59"/>
      <c r="BG241" s="6"/>
      <c r="BH241" s="5"/>
      <c r="BI241" s="5"/>
      <c r="BJ241" s="5" t="s">
        <v>416</v>
      </c>
    </row>
    <row r="242" spans="1:62">
      <c r="A242" s="2" t="s">
        <v>403</v>
      </c>
      <c r="B242" s="14" t="s">
        <v>32</v>
      </c>
      <c r="C242" s="14" t="s">
        <v>32</v>
      </c>
      <c r="D242" s="4">
        <v>44</v>
      </c>
      <c r="E242" s="4">
        <v>74</v>
      </c>
      <c r="F242" s="4">
        <v>2011</v>
      </c>
      <c r="G242" s="39">
        <v>8</v>
      </c>
      <c r="H242" s="28">
        <v>1</v>
      </c>
      <c r="I242" s="28">
        <v>1</v>
      </c>
      <c r="J242" s="5">
        <v>2018</v>
      </c>
      <c r="K242" s="5">
        <v>2024</v>
      </c>
      <c r="L242" s="5">
        <f t="shared" si="109"/>
        <v>5.58</v>
      </c>
      <c r="M242" s="5">
        <v>0</v>
      </c>
      <c r="N242" s="5" t="s">
        <v>417</v>
      </c>
      <c r="O242" s="5" t="s">
        <v>35</v>
      </c>
      <c r="P242" s="5">
        <v>1</v>
      </c>
      <c r="Q242" s="5" t="s">
        <v>418</v>
      </c>
      <c r="R242" s="5" t="s">
        <v>30</v>
      </c>
      <c r="S242" s="5" t="s">
        <v>419</v>
      </c>
      <c r="T242" s="6"/>
      <c r="U242" s="6">
        <v>0</v>
      </c>
      <c r="V242" s="25"/>
      <c r="W242" s="5">
        <v>6</v>
      </c>
      <c r="X242" s="7">
        <f t="shared" si="91"/>
        <v>19</v>
      </c>
      <c r="Y242" s="22">
        <f t="shared" si="92"/>
        <v>16</v>
      </c>
      <c r="Z242" s="15">
        <f t="shared" ref="Z242:Z285" si="110">SUM(AB242:AF242)</f>
        <v>3</v>
      </c>
      <c r="AA242" s="19">
        <v>0</v>
      </c>
      <c r="AB242" s="19">
        <v>0</v>
      </c>
      <c r="AC242" s="19">
        <v>3</v>
      </c>
      <c r="AD242" s="19">
        <v>0</v>
      </c>
      <c r="AE242" s="19">
        <v>0</v>
      </c>
      <c r="AF242" s="19">
        <v>0</v>
      </c>
      <c r="AG242" s="36">
        <f t="shared" si="108"/>
        <v>7</v>
      </c>
      <c r="AH242" s="36">
        <f t="shared" si="107"/>
        <v>3</v>
      </c>
      <c r="AI242" s="36">
        <f t="shared" si="107"/>
        <v>6</v>
      </c>
      <c r="AJ242" s="36">
        <f t="shared" si="107"/>
        <v>0</v>
      </c>
      <c r="AK242" s="36">
        <f t="shared" si="107"/>
        <v>5</v>
      </c>
      <c r="AL242" s="36">
        <f t="shared" si="107"/>
        <v>2</v>
      </c>
      <c r="AM242" s="7">
        <v>7</v>
      </c>
      <c r="AN242" s="7">
        <v>3</v>
      </c>
      <c r="AO242" s="7">
        <v>9</v>
      </c>
      <c r="AP242" s="7">
        <v>0</v>
      </c>
      <c r="AQ242" s="7">
        <v>5</v>
      </c>
      <c r="AR242" s="7">
        <v>2</v>
      </c>
      <c r="AS242" s="22">
        <f t="shared" si="95"/>
        <v>19</v>
      </c>
      <c r="AT242" s="22">
        <f t="shared" si="94"/>
        <v>2.8673835125448028</v>
      </c>
      <c r="AU242" s="5">
        <f t="shared" si="96"/>
        <v>14</v>
      </c>
      <c r="AV242" s="5">
        <f t="shared" si="97"/>
        <v>2.5089605734767026</v>
      </c>
      <c r="AW242" s="5">
        <f t="shared" si="98"/>
        <v>3</v>
      </c>
      <c r="AX242" s="5">
        <f t="shared" si="99"/>
        <v>1.2544802867383513</v>
      </c>
      <c r="AY242" s="5">
        <f t="shared" si="100"/>
        <v>0.5376344086021505</v>
      </c>
      <c r="AZ242" s="5">
        <f t="shared" si="101"/>
        <v>1.075268817204301</v>
      </c>
      <c r="BA242" s="5">
        <f t="shared" si="102"/>
        <v>0</v>
      </c>
      <c r="BB242" s="5">
        <f t="shared" si="103"/>
        <v>0.89605734767025091</v>
      </c>
      <c r="BC242" s="5">
        <f t="shared" si="104"/>
        <v>0.35842293906810035</v>
      </c>
      <c r="BD242" s="6"/>
      <c r="BE242" s="6"/>
      <c r="BF242" s="59"/>
      <c r="BG242" s="6"/>
      <c r="BH242" s="5"/>
      <c r="BI242" s="5"/>
      <c r="BJ242" s="5" t="s">
        <v>417</v>
      </c>
    </row>
    <row r="243" spans="1:62">
      <c r="A243" s="2" t="s">
        <v>403</v>
      </c>
      <c r="B243" s="14" t="s">
        <v>32</v>
      </c>
      <c r="C243" s="14" t="s">
        <v>32</v>
      </c>
      <c r="D243" s="4">
        <v>44</v>
      </c>
      <c r="E243" s="4">
        <v>74</v>
      </c>
      <c r="F243" s="4">
        <v>2011</v>
      </c>
      <c r="G243" s="39">
        <v>8</v>
      </c>
      <c r="H243" s="28">
        <v>1</v>
      </c>
      <c r="I243" s="28">
        <v>1</v>
      </c>
      <c r="J243" s="5">
        <v>2017</v>
      </c>
      <c r="K243" s="5">
        <v>2024</v>
      </c>
      <c r="L243" s="5">
        <f t="shared" si="109"/>
        <v>6.58</v>
      </c>
      <c r="M243" s="5">
        <v>0</v>
      </c>
      <c r="N243" s="5" t="s">
        <v>420</v>
      </c>
      <c r="O243" s="5" t="s">
        <v>35</v>
      </c>
      <c r="P243" s="5">
        <v>0</v>
      </c>
      <c r="Q243" s="6"/>
      <c r="R243" s="5" t="s">
        <v>30</v>
      </c>
      <c r="S243" s="5" t="s">
        <v>147</v>
      </c>
      <c r="T243" s="6" t="s">
        <v>218</v>
      </c>
      <c r="U243" s="6">
        <v>0</v>
      </c>
      <c r="V243" s="25">
        <v>13</v>
      </c>
      <c r="W243" s="5">
        <v>7</v>
      </c>
      <c r="X243" s="7">
        <f t="shared" si="91"/>
        <v>60</v>
      </c>
      <c r="Y243" s="22">
        <f t="shared" si="92"/>
        <v>57</v>
      </c>
      <c r="Z243" s="15">
        <f t="shared" si="110"/>
        <v>3</v>
      </c>
      <c r="AA243" s="19">
        <v>2</v>
      </c>
      <c r="AB243" s="19">
        <v>0</v>
      </c>
      <c r="AC243" s="19">
        <v>1</v>
      </c>
      <c r="AD243" s="19">
        <v>1</v>
      </c>
      <c r="AE243" s="19">
        <v>1</v>
      </c>
      <c r="AF243" s="19">
        <v>0</v>
      </c>
      <c r="AG243" s="36">
        <f t="shared" si="108"/>
        <v>40</v>
      </c>
      <c r="AH243" s="36">
        <f t="shared" si="107"/>
        <v>0</v>
      </c>
      <c r="AI243" s="36">
        <f t="shared" si="107"/>
        <v>34</v>
      </c>
      <c r="AJ243" s="36">
        <f t="shared" si="107"/>
        <v>1</v>
      </c>
      <c r="AK243" s="36">
        <f t="shared" si="107"/>
        <v>11</v>
      </c>
      <c r="AL243" s="36">
        <f t="shared" si="107"/>
        <v>11</v>
      </c>
      <c r="AM243" s="7">
        <v>42</v>
      </c>
      <c r="AN243" s="7">
        <v>0</v>
      </c>
      <c r="AO243" s="7">
        <v>35</v>
      </c>
      <c r="AP243" s="7">
        <v>2</v>
      </c>
      <c r="AQ243" s="7">
        <v>12</v>
      </c>
      <c r="AR243" s="7">
        <v>11</v>
      </c>
      <c r="AS243" s="22">
        <f t="shared" si="95"/>
        <v>60</v>
      </c>
      <c r="AT243" s="22">
        <f t="shared" si="94"/>
        <v>8.6626139817629184</v>
      </c>
      <c r="AU243" s="5">
        <f t="shared" si="96"/>
        <v>46</v>
      </c>
      <c r="AV243" s="5">
        <f t="shared" si="97"/>
        <v>6.9908814589665651</v>
      </c>
      <c r="AW243" s="5">
        <f t="shared" si="98"/>
        <v>3</v>
      </c>
      <c r="AX243" s="5">
        <f t="shared" si="99"/>
        <v>6.0790273556230998</v>
      </c>
      <c r="AY243" s="5">
        <f t="shared" si="100"/>
        <v>0</v>
      </c>
      <c r="AZ243" s="5">
        <f t="shared" si="101"/>
        <v>5.1671732522796354</v>
      </c>
      <c r="BA243" s="5">
        <f t="shared" si="102"/>
        <v>0.1519756838905775</v>
      </c>
      <c r="BB243" s="5">
        <f t="shared" si="103"/>
        <v>1.6717325227963526</v>
      </c>
      <c r="BC243" s="5">
        <f t="shared" si="104"/>
        <v>1.6717325227963526</v>
      </c>
      <c r="BD243" s="6"/>
      <c r="BE243" s="6"/>
      <c r="BF243" s="59"/>
      <c r="BG243" s="6"/>
      <c r="BH243" s="5"/>
      <c r="BI243" s="5"/>
      <c r="BJ243" s="5" t="s">
        <v>420</v>
      </c>
    </row>
    <row r="244" spans="1:62">
      <c r="A244" s="2" t="s">
        <v>403</v>
      </c>
      <c r="B244" s="14" t="s">
        <v>32</v>
      </c>
      <c r="C244" s="14" t="s">
        <v>32</v>
      </c>
      <c r="D244" s="4">
        <v>44</v>
      </c>
      <c r="E244" s="4">
        <v>74</v>
      </c>
      <c r="F244" s="4">
        <v>2011</v>
      </c>
      <c r="G244" s="39">
        <v>8</v>
      </c>
      <c r="H244" s="28">
        <v>1</v>
      </c>
      <c r="I244" s="28">
        <v>1</v>
      </c>
      <c r="J244" s="5">
        <v>2017</v>
      </c>
      <c r="K244" s="5">
        <v>2024</v>
      </c>
      <c r="L244" s="5">
        <f t="shared" si="109"/>
        <v>6.58</v>
      </c>
      <c r="M244" s="5">
        <v>0</v>
      </c>
      <c r="N244" s="5" t="s">
        <v>421</v>
      </c>
      <c r="O244" s="5" t="s">
        <v>35</v>
      </c>
      <c r="P244" s="5">
        <v>0</v>
      </c>
      <c r="Q244" s="6"/>
      <c r="R244" s="5" t="s">
        <v>30</v>
      </c>
      <c r="S244" s="5" t="s">
        <v>422</v>
      </c>
      <c r="T244" s="6" t="s">
        <v>218</v>
      </c>
      <c r="U244" s="6" t="s">
        <v>559</v>
      </c>
      <c r="V244" s="25">
        <v>3</v>
      </c>
      <c r="W244" s="5">
        <v>8</v>
      </c>
      <c r="X244" s="7">
        <f t="shared" si="91"/>
        <v>26</v>
      </c>
      <c r="Y244" s="22">
        <f t="shared" si="92"/>
        <v>25</v>
      </c>
      <c r="Z244" s="15">
        <f t="shared" si="110"/>
        <v>1</v>
      </c>
      <c r="AA244" s="19">
        <v>0</v>
      </c>
      <c r="AB244" s="19">
        <v>0</v>
      </c>
      <c r="AC244" s="19">
        <v>1</v>
      </c>
      <c r="AD244" s="19">
        <v>0</v>
      </c>
      <c r="AE244" s="19">
        <v>0</v>
      </c>
      <c r="AF244" s="19">
        <v>0</v>
      </c>
      <c r="AG244" s="36">
        <f t="shared" si="108"/>
        <v>8</v>
      </c>
      <c r="AH244" s="36">
        <f t="shared" si="107"/>
        <v>1</v>
      </c>
      <c r="AI244" s="36">
        <f t="shared" si="107"/>
        <v>18</v>
      </c>
      <c r="AJ244" s="36">
        <f t="shared" si="107"/>
        <v>1</v>
      </c>
      <c r="AK244" s="36">
        <f t="shared" si="107"/>
        <v>1</v>
      </c>
      <c r="AL244" s="36">
        <f t="shared" si="107"/>
        <v>4</v>
      </c>
      <c r="AM244" s="7">
        <v>8</v>
      </c>
      <c r="AN244" s="7">
        <v>1</v>
      </c>
      <c r="AO244" s="7">
        <v>19</v>
      </c>
      <c r="AP244" s="7">
        <v>1</v>
      </c>
      <c r="AQ244" s="7">
        <v>1</v>
      </c>
      <c r="AR244" s="7">
        <v>4</v>
      </c>
      <c r="AS244" s="22">
        <f t="shared" si="95"/>
        <v>26</v>
      </c>
      <c r="AT244" s="22">
        <f t="shared" si="94"/>
        <v>3.7993920972644375</v>
      </c>
      <c r="AU244" s="5">
        <f t="shared" si="96"/>
        <v>21</v>
      </c>
      <c r="AV244" s="5">
        <f t="shared" si="97"/>
        <v>3.1914893617021276</v>
      </c>
      <c r="AW244" s="5">
        <f t="shared" si="98"/>
        <v>1</v>
      </c>
      <c r="AX244" s="5">
        <f t="shared" si="99"/>
        <v>1.21580547112462</v>
      </c>
      <c r="AY244" s="5">
        <f t="shared" si="100"/>
        <v>0.1519756838905775</v>
      </c>
      <c r="AZ244" s="5">
        <f t="shared" si="101"/>
        <v>2.735562310030395</v>
      </c>
      <c r="BA244" s="5">
        <f t="shared" si="102"/>
        <v>0.1519756838905775</v>
      </c>
      <c r="BB244" s="5">
        <f t="shared" si="103"/>
        <v>0.1519756838905775</v>
      </c>
      <c r="BC244" s="5">
        <f t="shared" si="104"/>
        <v>0.60790273556231</v>
      </c>
      <c r="BD244" s="6"/>
      <c r="BE244" s="6"/>
      <c r="BF244" s="59"/>
      <c r="BG244" s="6"/>
      <c r="BH244" s="5"/>
      <c r="BI244" s="5"/>
      <c r="BJ244" s="5" t="s">
        <v>421</v>
      </c>
    </row>
    <row r="245" spans="1:62">
      <c r="A245" s="2" t="s">
        <v>403</v>
      </c>
      <c r="B245" s="14" t="s">
        <v>32</v>
      </c>
      <c r="C245" s="14" t="s">
        <v>32</v>
      </c>
      <c r="D245" s="4">
        <v>44</v>
      </c>
      <c r="E245" s="4">
        <v>74</v>
      </c>
      <c r="F245" s="4">
        <v>2011</v>
      </c>
      <c r="G245" s="39">
        <v>8</v>
      </c>
      <c r="H245" s="28">
        <v>1</v>
      </c>
      <c r="I245" s="28">
        <v>1</v>
      </c>
      <c r="J245" s="12">
        <v>2016</v>
      </c>
      <c r="K245" s="5">
        <v>2024</v>
      </c>
      <c r="L245" s="5">
        <f t="shared" si="109"/>
        <v>7.58</v>
      </c>
      <c r="M245" s="5">
        <v>0</v>
      </c>
      <c r="N245" s="5" t="s">
        <v>423</v>
      </c>
      <c r="O245" s="5" t="s">
        <v>35</v>
      </c>
      <c r="P245" s="5">
        <v>0</v>
      </c>
      <c r="Q245" s="6"/>
      <c r="R245" s="5" t="s">
        <v>39</v>
      </c>
      <c r="S245" s="5" t="s">
        <v>164</v>
      </c>
      <c r="T245" s="6" t="s">
        <v>84</v>
      </c>
      <c r="U245" s="6">
        <v>0</v>
      </c>
      <c r="V245" s="25">
        <v>57</v>
      </c>
      <c r="W245" s="5">
        <v>10</v>
      </c>
      <c r="X245" s="7">
        <f t="shared" si="91"/>
        <v>71</v>
      </c>
      <c r="Y245" s="22">
        <f t="shared" si="92"/>
        <v>63</v>
      </c>
      <c r="Z245" s="15">
        <f t="shared" si="110"/>
        <v>8</v>
      </c>
      <c r="AA245" s="19">
        <v>6</v>
      </c>
      <c r="AB245" s="19">
        <v>0</v>
      </c>
      <c r="AC245" s="19">
        <v>4</v>
      </c>
      <c r="AD245" s="19">
        <v>0</v>
      </c>
      <c r="AE245" s="19">
        <v>0</v>
      </c>
      <c r="AF245" s="19">
        <v>4</v>
      </c>
      <c r="AG245" s="36">
        <f t="shared" si="108"/>
        <v>16</v>
      </c>
      <c r="AH245" s="36">
        <f t="shared" si="107"/>
        <v>0</v>
      </c>
      <c r="AI245" s="36">
        <f t="shared" si="107"/>
        <v>33</v>
      </c>
      <c r="AJ245" s="36">
        <f t="shared" si="107"/>
        <v>12</v>
      </c>
      <c r="AK245" s="36">
        <f t="shared" si="107"/>
        <v>7</v>
      </c>
      <c r="AL245" s="36">
        <f t="shared" si="107"/>
        <v>11</v>
      </c>
      <c r="AM245" s="7">
        <v>22</v>
      </c>
      <c r="AN245" s="7">
        <v>0</v>
      </c>
      <c r="AO245" s="7">
        <v>37</v>
      </c>
      <c r="AP245" s="7">
        <v>12</v>
      </c>
      <c r="AQ245" s="7">
        <v>7</v>
      </c>
      <c r="AR245" s="7">
        <v>15</v>
      </c>
      <c r="AS245" s="22">
        <f t="shared" si="95"/>
        <v>71</v>
      </c>
      <c r="AT245" s="22">
        <f t="shared" si="94"/>
        <v>8.311345646437994</v>
      </c>
      <c r="AU245" s="5">
        <f t="shared" si="96"/>
        <v>52</v>
      </c>
      <c r="AV245" s="5">
        <f t="shared" si="97"/>
        <v>6.8601583113456464</v>
      </c>
      <c r="AW245" s="5">
        <f t="shared" si="98"/>
        <v>4</v>
      </c>
      <c r="AX245" s="5">
        <f t="shared" si="99"/>
        <v>2.1108179419525066</v>
      </c>
      <c r="AY245" s="5">
        <f t="shared" si="100"/>
        <v>0</v>
      </c>
      <c r="AZ245" s="5">
        <f t="shared" si="101"/>
        <v>4.3535620052770447</v>
      </c>
      <c r="BA245" s="5">
        <f t="shared" si="102"/>
        <v>1.5831134564643798</v>
      </c>
      <c r="BB245" s="5">
        <f t="shared" si="103"/>
        <v>0.92348284960422167</v>
      </c>
      <c r="BC245" s="5">
        <f t="shared" si="104"/>
        <v>1.4511873350923483</v>
      </c>
      <c r="BD245" s="6"/>
      <c r="BE245" s="6"/>
      <c r="BF245" s="59"/>
      <c r="BG245" s="6"/>
      <c r="BH245" s="5"/>
      <c r="BI245" s="5"/>
      <c r="BJ245" s="5" t="s">
        <v>423</v>
      </c>
    </row>
    <row r="246" spans="1:62">
      <c r="A246" s="2" t="s">
        <v>403</v>
      </c>
      <c r="B246" s="14" t="s">
        <v>32</v>
      </c>
      <c r="C246" s="14" t="s">
        <v>32</v>
      </c>
      <c r="D246" s="4">
        <v>44</v>
      </c>
      <c r="E246" s="4">
        <v>74</v>
      </c>
      <c r="F246" s="4">
        <v>2011</v>
      </c>
      <c r="G246" s="39">
        <v>8</v>
      </c>
      <c r="H246" s="28">
        <v>1</v>
      </c>
      <c r="I246" s="28">
        <v>1</v>
      </c>
      <c r="J246" s="12">
        <v>2017</v>
      </c>
      <c r="K246" s="5">
        <v>2024</v>
      </c>
      <c r="L246" s="5">
        <f t="shared" si="109"/>
        <v>6.58</v>
      </c>
      <c r="M246" s="5">
        <v>0</v>
      </c>
      <c r="N246" s="5" t="s">
        <v>424</v>
      </c>
      <c r="O246" s="5" t="s">
        <v>28</v>
      </c>
      <c r="P246" s="5">
        <v>0</v>
      </c>
      <c r="Q246" s="6"/>
      <c r="R246" s="5" t="s">
        <v>30</v>
      </c>
      <c r="S246" s="5" t="s">
        <v>147</v>
      </c>
      <c r="T246" s="6" t="s">
        <v>218</v>
      </c>
      <c r="U246" s="6">
        <v>0</v>
      </c>
      <c r="V246" s="25">
        <v>13</v>
      </c>
      <c r="W246" s="5">
        <v>1</v>
      </c>
      <c r="X246" s="7">
        <f t="shared" si="91"/>
        <v>5</v>
      </c>
      <c r="Y246" s="22">
        <f t="shared" si="92"/>
        <v>3</v>
      </c>
      <c r="Z246" s="15">
        <f t="shared" si="110"/>
        <v>2</v>
      </c>
      <c r="AA246" s="19">
        <v>1</v>
      </c>
      <c r="AB246" s="19">
        <v>2</v>
      </c>
      <c r="AC246" s="19">
        <v>0</v>
      </c>
      <c r="AD246" s="19">
        <v>0</v>
      </c>
      <c r="AE246" s="19">
        <v>0</v>
      </c>
      <c r="AF246" s="19">
        <v>0</v>
      </c>
      <c r="AG246" s="36">
        <f t="shared" si="108"/>
        <v>0</v>
      </c>
      <c r="AH246" s="36">
        <f t="shared" si="107"/>
        <v>0</v>
      </c>
      <c r="AI246" s="36">
        <f t="shared" si="107"/>
        <v>2</v>
      </c>
      <c r="AJ246" s="36">
        <f t="shared" si="107"/>
        <v>0</v>
      </c>
      <c r="AK246" s="36">
        <f t="shared" si="107"/>
        <v>0</v>
      </c>
      <c r="AL246" s="36">
        <f t="shared" si="107"/>
        <v>1</v>
      </c>
      <c r="AM246" s="7">
        <v>1</v>
      </c>
      <c r="AN246" s="7">
        <v>2</v>
      </c>
      <c r="AO246" s="7">
        <v>2</v>
      </c>
      <c r="AP246" s="7">
        <v>0</v>
      </c>
      <c r="AQ246" s="7">
        <v>0</v>
      </c>
      <c r="AR246" s="7">
        <v>1</v>
      </c>
      <c r="AS246" s="22">
        <f t="shared" si="95"/>
        <v>5</v>
      </c>
      <c r="AT246" s="22">
        <f t="shared" si="94"/>
        <v>0.45592705167173253</v>
      </c>
      <c r="AU246" s="5">
        <f t="shared" si="96"/>
        <v>2</v>
      </c>
      <c r="AV246" s="5">
        <f t="shared" si="97"/>
        <v>0.303951367781155</v>
      </c>
      <c r="AW246" s="5">
        <f t="shared" si="98"/>
        <v>2</v>
      </c>
      <c r="AX246" s="5">
        <f t="shared" si="99"/>
        <v>0</v>
      </c>
      <c r="AY246" s="5">
        <f t="shared" si="100"/>
        <v>0</v>
      </c>
      <c r="AZ246" s="5">
        <f t="shared" si="101"/>
        <v>0.303951367781155</v>
      </c>
      <c r="BA246" s="5">
        <f t="shared" si="102"/>
        <v>0</v>
      </c>
      <c r="BB246" s="5">
        <f t="shared" si="103"/>
        <v>0</v>
      </c>
      <c r="BC246" s="5">
        <f t="shared" si="104"/>
        <v>0.1519756838905775</v>
      </c>
      <c r="BD246" s="6"/>
      <c r="BE246" s="6"/>
      <c r="BF246" s="59"/>
      <c r="BG246" s="6"/>
      <c r="BH246" s="5"/>
      <c r="BI246" s="5"/>
      <c r="BJ246" s="5" t="s">
        <v>424</v>
      </c>
    </row>
    <row r="247" spans="1:62">
      <c r="A247" s="2" t="s">
        <v>403</v>
      </c>
      <c r="B247" s="14" t="s">
        <v>32</v>
      </c>
      <c r="C247" s="14" t="s">
        <v>32</v>
      </c>
      <c r="D247" s="4">
        <v>44</v>
      </c>
      <c r="E247" s="4">
        <v>74</v>
      </c>
      <c r="F247" s="4">
        <v>2011</v>
      </c>
      <c r="G247" s="39">
        <v>8</v>
      </c>
      <c r="H247" s="28">
        <v>1</v>
      </c>
      <c r="I247" s="28">
        <v>1</v>
      </c>
      <c r="J247" s="6">
        <v>2015</v>
      </c>
      <c r="K247" s="5">
        <v>2023</v>
      </c>
      <c r="L247" s="5">
        <f>(K247-J247)</f>
        <v>8</v>
      </c>
      <c r="M247" s="5">
        <v>1</v>
      </c>
      <c r="N247" s="6" t="s">
        <v>425</v>
      </c>
      <c r="O247" s="6" t="s">
        <v>35</v>
      </c>
      <c r="P247" s="6">
        <v>0</v>
      </c>
      <c r="Q247" s="6"/>
      <c r="R247" s="6" t="s">
        <v>30</v>
      </c>
      <c r="S247" s="6" t="s">
        <v>427</v>
      </c>
      <c r="T247" s="6" t="s">
        <v>101</v>
      </c>
      <c r="U247" s="6">
        <v>0</v>
      </c>
      <c r="V247" s="25">
        <v>28</v>
      </c>
      <c r="W247" s="6">
        <v>6</v>
      </c>
      <c r="X247" s="7">
        <f t="shared" si="91"/>
        <v>19</v>
      </c>
      <c r="Y247" s="22">
        <f t="shared" si="92"/>
        <v>17</v>
      </c>
      <c r="Z247" s="15">
        <f t="shared" si="110"/>
        <v>2</v>
      </c>
      <c r="AA247" s="19">
        <v>2</v>
      </c>
      <c r="AB247" s="19">
        <v>0</v>
      </c>
      <c r="AC247" s="19">
        <v>0</v>
      </c>
      <c r="AD247" s="19">
        <v>2</v>
      </c>
      <c r="AE247" s="19">
        <v>0</v>
      </c>
      <c r="AF247" s="19">
        <v>0</v>
      </c>
      <c r="AG247" s="36">
        <f t="shared" si="108"/>
        <v>10</v>
      </c>
      <c r="AH247" s="36">
        <f t="shared" si="107"/>
        <v>1</v>
      </c>
      <c r="AI247" s="36">
        <f t="shared" si="107"/>
        <v>7</v>
      </c>
      <c r="AJ247" s="36">
        <f t="shared" si="107"/>
        <v>2</v>
      </c>
      <c r="AK247" s="36">
        <f t="shared" si="107"/>
        <v>4</v>
      </c>
      <c r="AL247" s="36">
        <f t="shared" si="107"/>
        <v>3</v>
      </c>
      <c r="AM247" s="7">
        <v>12</v>
      </c>
      <c r="AN247" s="7">
        <v>1</v>
      </c>
      <c r="AO247" s="7">
        <v>7</v>
      </c>
      <c r="AP247" s="7">
        <v>4</v>
      </c>
      <c r="AQ247" s="7">
        <v>4</v>
      </c>
      <c r="AR247" s="7">
        <v>3</v>
      </c>
      <c r="AS247" s="22">
        <f t="shared" si="95"/>
        <v>19</v>
      </c>
      <c r="AT247" s="22">
        <f t="shared" si="94"/>
        <v>2.125</v>
      </c>
      <c r="AU247" s="5">
        <f t="shared" si="96"/>
        <v>14</v>
      </c>
      <c r="AV247" s="5">
        <f t="shared" si="97"/>
        <v>1.75</v>
      </c>
      <c r="AW247" s="5">
        <f t="shared" si="98"/>
        <v>2</v>
      </c>
      <c r="AX247" s="5">
        <f t="shared" si="99"/>
        <v>1.25</v>
      </c>
      <c r="AY247" s="5">
        <f t="shared" si="100"/>
        <v>0.125</v>
      </c>
      <c r="AZ247" s="5">
        <f t="shared" si="101"/>
        <v>0.875</v>
      </c>
      <c r="BA247" s="5">
        <f t="shared" si="102"/>
        <v>0.25</v>
      </c>
      <c r="BB247" s="5">
        <f t="shared" si="103"/>
        <v>0.5</v>
      </c>
      <c r="BC247" s="5">
        <f t="shared" si="104"/>
        <v>0.375</v>
      </c>
      <c r="BD247" s="6">
        <v>1</v>
      </c>
      <c r="BE247" s="6"/>
      <c r="BF247" s="59">
        <v>1</v>
      </c>
      <c r="BG247" s="6" t="s">
        <v>426</v>
      </c>
      <c r="BH247" s="6"/>
      <c r="BI247" s="6"/>
      <c r="BJ247" s="6" t="s">
        <v>425</v>
      </c>
    </row>
    <row r="248" spans="1:62">
      <c r="A248" s="2" t="s">
        <v>403</v>
      </c>
      <c r="B248" s="14" t="s">
        <v>32</v>
      </c>
      <c r="C248" s="14" t="s">
        <v>32</v>
      </c>
      <c r="D248" s="4">
        <v>44</v>
      </c>
      <c r="E248" s="4">
        <v>74</v>
      </c>
      <c r="F248" s="4">
        <v>2011</v>
      </c>
      <c r="G248" s="39">
        <v>8</v>
      </c>
      <c r="H248" s="28">
        <v>1</v>
      </c>
      <c r="I248" s="28">
        <v>1</v>
      </c>
      <c r="J248" s="6">
        <v>2015</v>
      </c>
      <c r="K248" s="5">
        <v>2023</v>
      </c>
      <c r="L248" s="5">
        <f>(K248-J248)</f>
        <v>8</v>
      </c>
      <c r="M248" s="5">
        <v>1</v>
      </c>
      <c r="N248" s="6" t="s">
        <v>428</v>
      </c>
      <c r="O248" s="6" t="s">
        <v>28</v>
      </c>
      <c r="P248" s="6">
        <v>0</v>
      </c>
      <c r="Q248" s="6"/>
      <c r="R248" s="5" t="s">
        <v>39</v>
      </c>
      <c r="S248" s="6" t="s">
        <v>614</v>
      </c>
      <c r="T248" s="6" t="s">
        <v>84</v>
      </c>
      <c r="U248" s="6">
        <v>0</v>
      </c>
      <c r="V248" s="25">
        <v>114</v>
      </c>
      <c r="W248" s="6">
        <v>5</v>
      </c>
      <c r="X248" s="7">
        <f t="shared" si="91"/>
        <v>12</v>
      </c>
      <c r="Y248" s="22">
        <f t="shared" si="92"/>
        <v>12</v>
      </c>
      <c r="Z248" s="15">
        <f t="shared" si="110"/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36">
        <f t="shared" si="108"/>
        <v>6</v>
      </c>
      <c r="AH248" s="36">
        <f t="shared" si="108"/>
        <v>1</v>
      </c>
      <c r="AI248" s="36">
        <f t="shared" si="108"/>
        <v>3</v>
      </c>
      <c r="AJ248" s="36">
        <f t="shared" si="108"/>
        <v>3</v>
      </c>
      <c r="AK248" s="36">
        <f t="shared" si="108"/>
        <v>3</v>
      </c>
      <c r="AL248" s="36">
        <f t="shared" si="108"/>
        <v>2</v>
      </c>
      <c r="AM248" s="7">
        <v>6</v>
      </c>
      <c r="AN248" s="7">
        <v>1</v>
      </c>
      <c r="AO248" s="7">
        <v>3</v>
      </c>
      <c r="AP248" s="7">
        <v>3</v>
      </c>
      <c r="AQ248" s="7">
        <v>3</v>
      </c>
      <c r="AR248" s="7">
        <v>2</v>
      </c>
      <c r="AS248" s="22">
        <f t="shared" si="95"/>
        <v>12</v>
      </c>
      <c r="AT248" s="22">
        <f t="shared" si="94"/>
        <v>1.5</v>
      </c>
      <c r="AU248" s="5">
        <f t="shared" si="96"/>
        <v>10</v>
      </c>
      <c r="AV248" s="5">
        <f t="shared" si="97"/>
        <v>1.25</v>
      </c>
      <c r="AW248" s="5">
        <f t="shared" si="98"/>
        <v>0</v>
      </c>
      <c r="AX248" s="5">
        <f t="shared" si="99"/>
        <v>0.75</v>
      </c>
      <c r="AY248" s="5">
        <f t="shared" si="100"/>
        <v>0.125</v>
      </c>
      <c r="AZ248" s="5">
        <f t="shared" si="101"/>
        <v>0.375</v>
      </c>
      <c r="BA248" s="5">
        <f t="shared" si="102"/>
        <v>0.375</v>
      </c>
      <c r="BB248" s="5">
        <f t="shared" si="103"/>
        <v>0.375</v>
      </c>
      <c r="BC248" s="5">
        <f t="shared" si="104"/>
        <v>0.25</v>
      </c>
      <c r="BD248" s="6">
        <v>0</v>
      </c>
      <c r="BE248" s="6"/>
      <c r="BF248" s="59">
        <v>1</v>
      </c>
      <c r="BG248" s="6" t="s">
        <v>429</v>
      </c>
      <c r="BH248" s="6"/>
      <c r="BI248" s="6"/>
      <c r="BJ248" s="6" t="s">
        <v>428</v>
      </c>
    </row>
    <row r="249" spans="1:62">
      <c r="A249" s="2" t="s">
        <v>403</v>
      </c>
      <c r="B249" s="14" t="s">
        <v>32</v>
      </c>
      <c r="C249" s="14" t="s">
        <v>32</v>
      </c>
      <c r="D249" s="4">
        <v>44</v>
      </c>
      <c r="E249" s="4">
        <v>74</v>
      </c>
      <c r="F249" s="4">
        <v>2011</v>
      </c>
      <c r="G249" s="39">
        <v>8</v>
      </c>
      <c r="H249" s="28">
        <v>1</v>
      </c>
      <c r="I249" s="28">
        <v>1</v>
      </c>
      <c r="J249" s="6">
        <v>2015</v>
      </c>
      <c r="K249" s="5">
        <v>2023</v>
      </c>
      <c r="L249" s="5">
        <f>(K249-J249)</f>
        <v>8</v>
      </c>
      <c r="M249" s="5">
        <v>1</v>
      </c>
      <c r="N249" s="6" t="s">
        <v>430</v>
      </c>
      <c r="O249" s="6" t="s">
        <v>28</v>
      </c>
      <c r="P249" s="6">
        <v>0</v>
      </c>
      <c r="Q249" s="6"/>
      <c r="R249" s="6" t="s">
        <v>30</v>
      </c>
      <c r="S249" s="6" t="s">
        <v>432</v>
      </c>
      <c r="T249" s="6" t="s">
        <v>84</v>
      </c>
      <c r="U249" s="6">
        <v>0</v>
      </c>
      <c r="V249" s="25">
        <v>44</v>
      </c>
      <c r="W249" s="6">
        <v>9</v>
      </c>
      <c r="X249" s="7">
        <f t="shared" si="91"/>
        <v>76</v>
      </c>
      <c r="Y249" s="22">
        <f t="shared" si="92"/>
        <v>76</v>
      </c>
      <c r="Z249" s="15">
        <f t="shared" si="110"/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36">
        <f t="shared" si="108"/>
        <v>32</v>
      </c>
      <c r="AH249" s="36">
        <f t="shared" si="108"/>
        <v>0</v>
      </c>
      <c r="AI249" s="36">
        <f t="shared" si="108"/>
        <v>54</v>
      </c>
      <c r="AJ249" s="36">
        <f t="shared" si="108"/>
        <v>7</v>
      </c>
      <c r="AK249" s="36">
        <f t="shared" si="108"/>
        <v>4</v>
      </c>
      <c r="AL249" s="36">
        <f t="shared" si="108"/>
        <v>11</v>
      </c>
      <c r="AM249" s="7">
        <v>32</v>
      </c>
      <c r="AN249" s="7">
        <v>0</v>
      </c>
      <c r="AO249" s="7">
        <v>54</v>
      </c>
      <c r="AP249" s="7">
        <v>7</v>
      </c>
      <c r="AQ249" s="7">
        <v>4</v>
      </c>
      <c r="AR249" s="7">
        <v>11</v>
      </c>
      <c r="AS249" s="22">
        <f t="shared" si="95"/>
        <v>76</v>
      </c>
      <c r="AT249" s="22">
        <f t="shared" si="94"/>
        <v>9.5</v>
      </c>
      <c r="AU249" s="5">
        <f t="shared" si="96"/>
        <v>65</v>
      </c>
      <c r="AV249" s="5">
        <f t="shared" si="97"/>
        <v>8.125</v>
      </c>
      <c r="AW249" s="5">
        <f t="shared" si="98"/>
        <v>0</v>
      </c>
      <c r="AX249" s="5">
        <f t="shared" si="99"/>
        <v>4</v>
      </c>
      <c r="AY249" s="5">
        <f t="shared" si="100"/>
        <v>0</v>
      </c>
      <c r="AZ249" s="5">
        <f t="shared" si="101"/>
        <v>6.75</v>
      </c>
      <c r="BA249" s="5">
        <f t="shared" si="102"/>
        <v>0.875</v>
      </c>
      <c r="BB249" s="5">
        <f t="shared" si="103"/>
        <v>0.5</v>
      </c>
      <c r="BC249" s="5">
        <f t="shared" si="104"/>
        <v>1.375</v>
      </c>
      <c r="BD249" s="6">
        <v>8</v>
      </c>
      <c r="BE249" s="6"/>
      <c r="BF249" s="59">
        <v>2</v>
      </c>
      <c r="BG249" s="6" t="s">
        <v>431</v>
      </c>
      <c r="BH249" s="6"/>
      <c r="BI249" s="6"/>
      <c r="BJ249" s="6" t="s">
        <v>430</v>
      </c>
    </row>
    <row r="250" spans="1:62">
      <c r="A250" s="2" t="s">
        <v>433</v>
      </c>
      <c r="B250" s="14" t="s">
        <v>32</v>
      </c>
      <c r="C250" s="14" t="s">
        <v>32</v>
      </c>
      <c r="D250" s="4">
        <v>41</v>
      </c>
      <c r="E250" s="4">
        <v>94</v>
      </c>
      <c r="F250" s="4">
        <v>2011</v>
      </c>
      <c r="G250" s="39">
        <v>27</v>
      </c>
      <c r="H250" s="28">
        <v>0</v>
      </c>
      <c r="I250" s="28">
        <v>2</v>
      </c>
      <c r="J250" s="5">
        <v>2022</v>
      </c>
      <c r="K250" s="5">
        <v>2024</v>
      </c>
      <c r="L250" s="5">
        <f t="shared" ref="L250:L258" si="111">(K250-J250)-0.42</f>
        <v>1.58</v>
      </c>
      <c r="M250" s="5">
        <v>0</v>
      </c>
      <c r="N250" s="5" t="s">
        <v>434</v>
      </c>
      <c r="O250" s="5" t="s">
        <v>28</v>
      </c>
      <c r="P250" s="5">
        <v>0</v>
      </c>
      <c r="Q250" s="6"/>
      <c r="R250" s="5" t="s">
        <v>30</v>
      </c>
      <c r="S250" s="5" t="s">
        <v>435</v>
      </c>
      <c r="T250" s="6" t="s">
        <v>101</v>
      </c>
      <c r="U250" s="6">
        <v>0</v>
      </c>
      <c r="V250" s="25">
        <v>28</v>
      </c>
      <c r="W250" s="5">
        <v>1</v>
      </c>
      <c r="X250" s="7">
        <f t="shared" si="91"/>
        <v>5</v>
      </c>
      <c r="Y250" s="22">
        <f t="shared" si="92"/>
        <v>3</v>
      </c>
      <c r="Z250" s="15">
        <f t="shared" si="110"/>
        <v>2</v>
      </c>
      <c r="AA250" s="19">
        <v>1</v>
      </c>
      <c r="AB250" s="19">
        <v>0</v>
      </c>
      <c r="AC250" s="19">
        <v>2</v>
      </c>
      <c r="AD250" s="19">
        <v>0</v>
      </c>
      <c r="AE250" s="19">
        <v>0</v>
      </c>
      <c r="AF250" s="19">
        <v>0</v>
      </c>
      <c r="AG250" s="36">
        <f t="shared" si="108"/>
        <v>0</v>
      </c>
      <c r="AH250" s="36">
        <f t="shared" si="108"/>
        <v>0</v>
      </c>
      <c r="AI250" s="36">
        <f t="shared" si="108"/>
        <v>3</v>
      </c>
      <c r="AJ250" s="36">
        <f t="shared" si="108"/>
        <v>0</v>
      </c>
      <c r="AK250" s="36">
        <f t="shared" si="108"/>
        <v>0</v>
      </c>
      <c r="AL250" s="36">
        <f t="shared" si="108"/>
        <v>0</v>
      </c>
      <c r="AM250" s="7">
        <v>1</v>
      </c>
      <c r="AN250" s="7">
        <v>0</v>
      </c>
      <c r="AO250" s="7">
        <v>5</v>
      </c>
      <c r="AP250" s="7">
        <v>0</v>
      </c>
      <c r="AQ250" s="7">
        <v>0</v>
      </c>
      <c r="AR250" s="7">
        <v>0</v>
      </c>
      <c r="AS250" s="22">
        <f t="shared" si="95"/>
        <v>5</v>
      </c>
      <c r="AT250" s="22">
        <f t="shared" si="94"/>
        <v>1.8987341772151898</v>
      </c>
      <c r="AU250" s="5">
        <f t="shared" si="96"/>
        <v>3</v>
      </c>
      <c r="AV250" s="5">
        <f t="shared" si="97"/>
        <v>1.8987341772151898</v>
      </c>
      <c r="AW250" s="5">
        <f t="shared" si="98"/>
        <v>2</v>
      </c>
      <c r="AX250" s="5">
        <f t="shared" si="99"/>
        <v>0</v>
      </c>
      <c r="AY250" s="5">
        <f t="shared" si="100"/>
        <v>0</v>
      </c>
      <c r="AZ250" s="5">
        <f t="shared" si="101"/>
        <v>1.8987341772151898</v>
      </c>
      <c r="BA250" s="5">
        <f t="shared" si="102"/>
        <v>0</v>
      </c>
      <c r="BB250" s="5">
        <f t="shared" si="103"/>
        <v>0</v>
      </c>
      <c r="BC250" s="5">
        <f t="shared" si="104"/>
        <v>0</v>
      </c>
      <c r="BD250" s="6"/>
      <c r="BE250" s="6"/>
      <c r="BF250" s="59"/>
      <c r="BG250" s="6"/>
      <c r="BH250" s="5"/>
      <c r="BI250" s="5"/>
      <c r="BJ250" s="5" t="s">
        <v>434</v>
      </c>
    </row>
    <row r="251" spans="1:62">
      <c r="A251" s="2" t="s">
        <v>433</v>
      </c>
      <c r="B251" s="14" t="s">
        <v>32</v>
      </c>
      <c r="C251" s="14" t="s">
        <v>32</v>
      </c>
      <c r="D251" s="4">
        <v>41</v>
      </c>
      <c r="E251" s="4">
        <v>94</v>
      </c>
      <c r="F251" s="4">
        <v>2011</v>
      </c>
      <c r="G251" s="39">
        <v>27</v>
      </c>
      <c r="H251" s="28">
        <v>0</v>
      </c>
      <c r="I251" s="28">
        <v>2</v>
      </c>
      <c r="J251" s="5">
        <v>2022</v>
      </c>
      <c r="K251" s="5">
        <v>2024</v>
      </c>
      <c r="L251" s="5">
        <f t="shared" si="111"/>
        <v>1.58</v>
      </c>
      <c r="M251" s="5">
        <v>0</v>
      </c>
      <c r="N251" s="5" t="s">
        <v>436</v>
      </c>
      <c r="O251" s="5" t="s">
        <v>35</v>
      </c>
      <c r="P251" s="5">
        <v>0</v>
      </c>
      <c r="Q251" s="6"/>
      <c r="R251" s="5" t="s">
        <v>30</v>
      </c>
      <c r="S251" s="5" t="s">
        <v>437</v>
      </c>
      <c r="T251" s="6" t="s">
        <v>84</v>
      </c>
      <c r="U251" s="6">
        <v>0</v>
      </c>
      <c r="V251" s="25" t="s">
        <v>107</v>
      </c>
      <c r="W251" s="5">
        <v>0</v>
      </c>
      <c r="X251" s="7">
        <f t="shared" si="91"/>
        <v>2</v>
      </c>
      <c r="Y251" s="22">
        <f t="shared" si="92"/>
        <v>0</v>
      </c>
      <c r="Z251" s="15">
        <f t="shared" si="110"/>
        <v>2</v>
      </c>
      <c r="AA251" s="19">
        <v>0</v>
      </c>
      <c r="AB251" s="19">
        <v>2</v>
      </c>
      <c r="AC251" s="19">
        <v>0</v>
      </c>
      <c r="AD251" s="19">
        <v>0</v>
      </c>
      <c r="AE251" s="19">
        <v>0</v>
      </c>
      <c r="AF251" s="19">
        <v>0</v>
      </c>
      <c r="AG251" s="36">
        <f t="shared" si="108"/>
        <v>0</v>
      </c>
      <c r="AH251" s="36">
        <f t="shared" si="108"/>
        <v>0</v>
      </c>
      <c r="AI251" s="36">
        <f t="shared" si="108"/>
        <v>0</v>
      </c>
      <c r="AJ251" s="36">
        <f t="shared" si="108"/>
        <v>0</v>
      </c>
      <c r="AK251" s="36">
        <f t="shared" si="108"/>
        <v>0</v>
      </c>
      <c r="AL251" s="36">
        <f t="shared" si="108"/>
        <v>0</v>
      </c>
      <c r="AM251" s="7">
        <v>0</v>
      </c>
      <c r="AN251" s="7">
        <v>2</v>
      </c>
      <c r="AO251" s="7">
        <v>0</v>
      </c>
      <c r="AP251" s="7">
        <v>0</v>
      </c>
      <c r="AQ251" s="7">
        <v>0</v>
      </c>
      <c r="AR251" s="7">
        <v>0</v>
      </c>
      <c r="AS251" s="22">
        <f t="shared" si="95"/>
        <v>2</v>
      </c>
      <c r="AT251" s="22">
        <f t="shared" si="94"/>
        <v>0</v>
      </c>
      <c r="AU251" s="5">
        <f t="shared" si="96"/>
        <v>0</v>
      </c>
      <c r="AV251" s="5">
        <f t="shared" si="97"/>
        <v>0</v>
      </c>
      <c r="AW251" s="5">
        <f t="shared" si="98"/>
        <v>2</v>
      </c>
      <c r="AX251" s="5">
        <f t="shared" si="99"/>
        <v>0</v>
      </c>
      <c r="AY251" s="5">
        <f t="shared" si="100"/>
        <v>0</v>
      </c>
      <c r="AZ251" s="5">
        <f t="shared" si="101"/>
        <v>0</v>
      </c>
      <c r="BA251" s="5">
        <f t="shared" si="102"/>
        <v>0</v>
      </c>
      <c r="BB251" s="5">
        <f t="shared" si="103"/>
        <v>0</v>
      </c>
      <c r="BC251" s="5">
        <f t="shared" si="104"/>
        <v>0</v>
      </c>
      <c r="BD251" s="6"/>
      <c r="BE251" s="6"/>
      <c r="BF251" s="59"/>
      <c r="BG251" s="6"/>
      <c r="BH251" s="5"/>
      <c r="BI251" s="5"/>
      <c r="BJ251" s="5" t="s">
        <v>436</v>
      </c>
    </row>
    <row r="252" spans="1:62">
      <c r="A252" s="2" t="s">
        <v>433</v>
      </c>
      <c r="B252" s="14" t="s">
        <v>32</v>
      </c>
      <c r="C252" s="14" t="s">
        <v>32</v>
      </c>
      <c r="D252" s="4">
        <v>41</v>
      </c>
      <c r="E252" s="4">
        <v>94</v>
      </c>
      <c r="F252" s="4">
        <v>2011</v>
      </c>
      <c r="G252" s="39">
        <v>27</v>
      </c>
      <c r="H252" s="28">
        <v>0</v>
      </c>
      <c r="I252" s="28">
        <v>2</v>
      </c>
      <c r="J252" s="5">
        <v>2021</v>
      </c>
      <c r="K252" s="5">
        <v>2024</v>
      </c>
      <c r="L252" s="5">
        <f t="shared" si="111"/>
        <v>2.58</v>
      </c>
      <c r="M252" s="5">
        <v>0</v>
      </c>
      <c r="N252" s="5" t="s">
        <v>438</v>
      </c>
      <c r="O252" s="5" t="s">
        <v>35</v>
      </c>
      <c r="P252" s="5">
        <v>0</v>
      </c>
      <c r="Q252" s="6"/>
      <c r="R252" s="5" t="s">
        <v>30</v>
      </c>
      <c r="S252" s="5" t="s">
        <v>439</v>
      </c>
      <c r="T252" s="6" t="s">
        <v>101</v>
      </c>
      <c r="U252" s="6">
        <v>0</v>
      </c>
      <c r="V252" s="25">
        <v>35</v>
      </c>
      <c r="W252" s="5">
        <v>2</v>
      </c>
      <c r="X252" s="7">
        <f t="shared" si="91"/>
        <v>4</v>
      </c>
      <c r="Y252" s="22">
        <f t="shared" si="92"/>
        <v>3</v>
      </c>
      <c r="Z252" s="15">
        <f t="shared" si="110"/>
        <v>1</v>
      </c>
      <c r="AA252" s="19">
        <v>0</v>
      </c>
      <c r="AB252" s="19">
        <v>0</v>
      </c>
      <c r="AC252" s="19">
        <v>1</v>
      </c>
      <c r="AD252" s="19">
        <v>0</v>
      </c>
      <c r="AE252" s="19">
        <v>0</v>
      </c>
      <c r="AF252" s="19">
        <v>0</v>
      </c>
      <c r="AG252" s="36">
        <f t="shared" si="108"/>
        <v>1</v>
      </c>
      <c r="AH252" s="36">
        <f t="shared" si="108"/>
        <v>0</v>
      </c>
      <c r="AI252" s="36">
        <f t="shared" si="108"/>
        <v>1</v>
      </c>
      <c r="AJ252" s="36">
        <f t="shared" si="108"/>
        <v>0</v>
      </c>
      <c r="AK252" s="36">
        <f t="shared" si="108"/>
        <v>0</v>
      </c>
      <c r="AL252" s="36">
        <f t="shared" si="108"/>
        <v>2</v>
      </c>
      <c r="AM252" s="7">
        <v>1</v>
      </c>
      <c r="AN252" s="7">
        <v>0</v>
      </c>
      <c r="AO252" s="7">
        <v>2</v>
      </c>
      <c r="AP252" s="7">
        <v>0</v>
      </c>
      <c r="AQ252" s="7">
        <v>0</v>
      </c>
      <c r="AR252" s="7">
        <v>2</v>
      </c>
      <c r="AS252" s="22">
        <f t="shared" si="95"/>
        <v>4</v>
      </c>
      <c r="AT252" s="22">
        <f t="shared" si="94"/>
        <v>1.1627906976744187</v>
      </c>
      <c r="AU252" s="5">
        <f t="shared" si="96"/>
        <v>1</v>
      </c>
      <c r="AV252" s="5">
        <f t="shared" si="97"/>
        <v>0.38759689922480617</v>
      </c>
      <c r="AW252" s="5">
        <f t="shared" si="98"/>
        <v>1</v>
      </c>
      <c r="AX252" s="5">
        <f t="shared" si="99"/>
        <v>0.38759689922480617</v>
      </c>
      <c r="AY252" s="5">
        <f t="shared" si="100"/>
        <v>0</v>
      </c>
      <c r="AZ252" s="5">
        <f t="shared" si="101"/>
        <v>0.38759689922480617</v>
      </c>
      <c r="BA252" s="5">
        <f t="shared" si="102"/>
        <v>0</v>
      </c>
      <c r="BB252" s="5">
        <f t="shared" si="103"/>
        <v>0</v>
      </c>
      <c r="BC252" s="5">
        <f t="shared" si="104"/>
        <v>0.77519379844961234</v>
      </c>
      <c r="BD252" s="6"/>
      <c r="BE252" s="6"/>
      <c r="BF252" s="59"/>
      <c r="BG252" s="6"/>
      <c r="BH252" s="5"/>
      <c r="BI252" s="5"/>
      <c r="BJ252" s="5" t="s">
        <v>438</v>
      </c>
    </row>
    <row r="253" spans="1:62">
      <c r="A253" s="2" t="s">
        <v>433</v>
      </c>
      <c r="B253" s="14" t="s">
        <v>32</v>
      </c>
      <c r="C253" s="14" t="s">
        <v>32</v>
      </c>
      <c r="D253" s="4">
        <v>41</v>
      </c>
      <c r="E253" s="4">
        <v>94</v>
      </c>
      <c r="F253" s="4">
        <v>2011</v>
      </c>
      <c r="G253" s="39">
        <v>27</v>
      </c>
      <c r="H253" s="28">
        <v>0</v>
      </c>
      <c r="I253" s="28">
        <v>2</v>
      </c>
      <c r="J253" s="5">
        <v>2021</v>
      </c>
      <c r="K253" s="5">
        <v>2024</v>
      </c>
      <c r="L253" s="5">
        <f t="shared" si="111"/>
        <v>2.58</v>
      </c>
      <c r="M253" s="5">
        <v>0</v>
      </c>
      <c r="N253" s="5" t="s">
        <v>440</v>
      </c>
      <c r="O253" s="5" t="s">
        <v>28</v>
      </c>
      <c r="P253" s="5">
        <v>0</v>
      </c>
      <c r="Q253" s="6"/>
      <c r="R253" s="5" t="s">
        <v>30</v>
      </c>
      <c r="S253" s="5" t="s">
        <v>441</v>
      </c>
      <c r="T253" s="6" t="s">
        <v>218</v>
      </c>
      <c r="U253" s="6">
        <v>0</v>
      </c>
      <c r="V253" s="25">
        <v>10</v>
      </c>
      <c r="W253" s="5">
        <v>3</v>
      </c>
      <c r="X253" s="7">
        <f t="shared" si="91"/>
        <v>4</v>
      </c>
      <c r="Y253" s="22">
        <f t="shared" si="92"/>
        <v>1</v>
      </c>
      <c r="Z253" s="15">
        <f t="shared" si="110"/>
        <v>3</v>
      </c>
      <c r="AA253" s="19">
        <v>0</v>
      </c>
      <c r="AB253" s="19">
        <v>0</v>
      </c>
      <c r="AC253" s="19">
        <v>1</v>
      </c>
      <c r="AD253" s="19">
        <v>1</v>
      </c>
      <c r="AE253" s="19">
        <v>1</v>
      </c>
      <c r="AF253" s="19">
        <v>0</v>
      </c>
      <c r="AG253" s="36">
        <f t="shared" si="108"/>
        <v>0</v>
      </c>
      <c r="AH253" s="36">
        <f t="shared" si="108"/>
        <v>0</v>
      </c>
      <c r="AI253" s="36">
        <f t="shared" si="108"/>
        <v>1</v>
      </c>
      <c r="AJ253" s="36">
        <f t="shared" si="108"/>
        <v>0</v>
      </c>
      <c r="AK253" s="36">
        <f t="shared" si="108"/>
        <v>0</v>
      </c>
      <c r="AL253" s="36">
        <f t="shared" si="108"/>
        <v>0</v>
      </c>
      <c r="AM253" s="7">
        <v>0</v>
      </c>
      <c r="AN253" s="7">
        <v>0</v>
      </c>
      <c r="AO253" s="7">
        <v>2</v>
      </c>
      <c r="AP253" s="7">
        <v>1</v>
      </c>
      <c r="AQ253" s="7">
        <v>1</v>
      </c>
      <c r="AR253" s="7">
        <v>0</v>
      </c>
      <c r="AS253" s="22">
        <f t="shared" si="95"/>
        <v>4</v>
      </c>
      <c r="AT253" s="22">
        <f t="shared" si="94"/>
        <v>0.38759689922480617</v>
      </c>
      <c r="AU253" s="5">
        <f t="shared" si="96"/>
        <v>1</v>
      </c>
      <c r="AV253" s="5">
        <f t="shared" si="97"/>
        <v>0.38759689922480617</v>
      </c>
      <c r="AW253" s="5">
        <f t="shared" si="98"/>
        <v>3</v>
      </c>
      <c r="AX253" s="5">
        <f t="shared" si="99"/>
        <v>0</v>
      </c>
      <c r="AY253" s="5">
        <f t="shared" si="100"/>
        <v>0</v>
      </c>
      <c r="AZ253" s="5">
        <f t="shared" si="101"/>
        <v>0.38759689922480617</v>
      </c>
      <c r="BA253" s="5">
        <f t="shared" si="102"/>
        <v>0</v>
      </c>
      <c r="BB253" s="5">
        <f t="shared" si="103"/>
        <v>0</v>
      </c>
      <c r="BC253" s="5">
        <f t="shared" si="104"/>
        <v>0</v>
      </c>
      <c r="BD253" s="6"/>
      <c r="BE253" s="6"/>
      <c r="BF253" s="59"/>
      <c r="BG253" s="6"/>
      <c r="BH253" s="5"/>
      <c r="BI253" s="5"/>
      <c r="BJ253" s="5" t="s">
        <v>440</v>
      </c>
    </row>
    <row r="254" spans="1:62">
      <c r="A254" s="2" t="s">
        <v>433</v>
      </c>
      <c r="B254" s="14" t="s">
        <v>32</v>
      </c>
      <c r="C254" s="14" t="s">
        <v>32</v>
      </c>
      <c r="D254" s="4">
        <v>41</v>
      </c>
      <c r="E254" s="4">
        <v>94</v>
      </c>
      <c r="F254" s="4">
        <v>2011</v>
      </c>
      <c r="G254" s="39">
        <v>27</v>
      </c>
      <c r="H254" s="28">
        <v>0</v>
      </c>
      <c r="I254" s="28">
        <v>2</v>
      </c>
      <c r="J254" s="5">
        <v>2020</v>
      </c>
      <c r="K254" s="5">
        <v>2024</v>
      </c>
      <c r="L254" s="5">
        <f t="shared" si="111"/>
        <v>3.58</v>
      </c>
      <c r="M254" s="5">
        <v>0</v>
      </c>
      <c r="N254" s="5" t="s">
        <v>442</v>
      </c>
      <c r="O254" s="5" t="s">
        <v>35</v>
      </c>
      <c r="P254" s="5">
        <v>0</v>
      </c>
      <c r="Q254" s="6"/>
      <c r="R254" s="5" t="s">
        <v>39</v>
      </c>
      <c r="S254" s="5" t="s">
        <v>316</v>
      </c>
      <c r="T254" s="6" t="s">
        <v>84</v>
      </c>
      <c r="U254" s="6">
        <v>0</v>
      </c>
      <c r="V254" s="25">
        <v>88</v>
      </c>
      <c r="W254" s="5">
        <v>6</v>
      </c>
      <c r="X254" s="7">
        <f t="shared" si="91"/>
        <v>16</v>
      </c>
      <c r="Y254" s="22">
        <f t="shared" si="92"/>
        <v>12</v>
      </c>
      <c r="Z254" s="15">
        <f t="shared" si="110"/>
        <v>4</v>
      </c>
      <c r="AA254" s="19">
        <v>4</v>
      </c>
      <c r="AB254" s="19">
        <v>0</v>
      </c>
      <c r="AC254" s="19">
        <v>1</v>
      </c>
      <c r="AD254" s="19">
        <v>2</v>
      </c>
      <c r="AE254" s="19">
        <v>0</v>
      </c>
      <c r="AF254" s="19">
        <v>1</v>
      </c>
      <c r="AG254" s="36">
        <f t="shared" si="108"/>
        <v>6</v>
      </c>
      <c r="AH254" s="36">
        <f t="shared" si="108"/>
        <v>0</v>
      </c>
      <c r="AI254" s="36">
        <f t="shared" si="108"/>
        <v>11</v>
      </c>
      <c r="AJ254" s="36">
        <f t="shared" si="108"/>
        <v>1</v>
      </c>
      <c r="AK254" s="36">
        <f t="shared" si="108"/>
        <v>0</v>
      </c>
      <c r="AL254" s="36">
        <f t="shared" si="108"/>
        <v>0</v>
      </c>
      <c r="AM254" s="7">
        <v>10</v>
      </c>
      <c r="AN254" s="7">
        <v>0</v>
      </c>
      <c r="AO254" s="7">
        <v>12</v>
      </c>
      <c r="AP254" s="7">
        <v>3</v>
      </c>
      <c r="AQ254" s="7">
        <v>0</v>
      </c>
      <c r="AR254" s="7">
        <v>1</v>
      </c>
      <c r="AS254" s="22">
        <f t="shared" si="95"/>
        <v>16</v>
      </c>
      <c r="AT254" s="22">
        <f t="shared" si="94"/>
        <v>3.3519553072625698</v>
      </c>
      <c r="AU254" s="5">
        <f t="shared" si="96"/>
        <v>12</v>
      </c>
      <c r="AV254" s="5">
        <f t="shared" si="97"/>
        <v>3.3519553072625698</v>
      </c>
      <c r="AW254" s="5">
        <f t="shared" si="98"/>
        <v>3</v>
      </c>
      <c r="AX254" s="5">
        <f t="shared" si="99"/>
        <v>1.6759776536312849</v>
      </c>
      <c r="AY254" s="5">
        <f t="shared" si="100"/>
        <v>0</v>
      </c>
      <c r="AZ254" s="5">
        <f t="shared" si="101"/>
        <v>3.0726256983240221</v>
      </c>
      <c r="BA254" s="5">
        <f t="shared" si="102"/>
        <v>0.27932960893854747</v>
      </c>
      <c r="BB254" s="5">
        <f t="shared" si="103"/>
        <v>0</v>
      </c>
      <c r="BC254" s="5">
        <f t="shared" si="104"/>
        <v>0</v>
      </c>
      <c r="BD254" s="6"/>
      <c r="BE254" s="6"/>
      <c r="BF254" s="59"/>
      <c r="BG254" s="6"/>
      <c r="BH254" s="5"/>
      <c r="BI254" s="5"/>
      <c r="BJ254" s="5" t="s">
        <v>442</v>
      </c>
    </row>
    <row r="255" spans="1:62">
      <c r="A255" s="2" t="s">
        <v>433</v>
      </c>
      <c r="B255" s="14" t="s">
        <v>32</v>
      </c>
      <c r="C255" s="14" t="s">
        <v>32</v>
      </c>
      <c r="D255" s="4">
        <v>41</v>
      </c>
      <c r="E255" s="4">
        <v>94</v>
      </c>
      <c r="F255" s="4">
        <v>2011</v>
      </c>
      <c r="G255" s="39">
        <v>27</v>
      </c>
      <c r="H255" s="28">
        <v>0</v>
      </c>
      <c r="I255" s="28">
        <v>2</v>
      </c>
      <c r="J255" s="5">
        <v>2020</v>
      </c>
      <c r="K255" s="5">
        <v>2024</v>
      </c>
      <c r="L255" s="5">
        <f t="shared" si="111"/>
        <v>3.58</v>
      </c>
      <c r="M255" s="5">
        <v>0</v>
      </c>
      <c r="N255" s="5" t="s">
        <v>443</v>
      </c>
      <c r="O255" s="5" t="s">
        <v>35</v>
      </c>
      <c r="P255" s="5">
        <v>0</v>
      </c>
      <c r="Q255" s="6"/>
      <c r="R255" s="5" t="s">
        <v>30</v>
      </c>
      <c r="S255" s="5" t="s">
        <v>439</v>
      </c>
      <c r="T255" s="6" t="s">
        <v>101</v>
      </c>
      <c r="U255" s="6">
        <v>0</v>
      </c>
      <c r="V255" s="25">
        <v>35</v>
      </c>
      <c r="W255" s="5">
        <v>3</v>
      </c>
      <c r="X255" s="7">
        <f t="shared" si="91"/>
        <v>6</v>
      </c>
      <c r="Y255" s="22">
        <f t="shared" si="92"/>
        <v>1</v>
      </c>
      <c r="Z255" s="15">
        <f t="shared" si="110"/>
        <v>5</v>
      </c>
      <c r="AA255" s="19">
        <v>2</v>
      </c>
      <c r="AB255" s="19">
        <v>0</v>
      </c>
      <c r="AC255" s="19">
        <v>2</v>
      </c>
      <c r="AD255" s="19">
        <v>1</v>
      </c>
      <c r="AE255" s="19">
        <v>1</v>
      </c>
      <c r="AF255" s="19">
        <v>1</v>
      </c>
      <c r="AG255" s="36">
        <f t="shared" si="108"/>
        <v>0</v>
      </c>
      <c r="AH255" s="36">
        <f t="shared" si="108"/>
        <v>0</v>
      </c>
      <c r="AI255" s="36">
        <f t="shared" si="108"/>
        <v>0</v>
      </c>
      <c r="AJ255" s="36">
        <f t="shared" si="108"/>
        <v>0</v>
      </c>
      <c r="AK255" s="36">
        <f t="shared" si="108"/>
        <v>1</v>
      </c>
      <c r="AL255" s="36">
        <f t="shared" si="108"/>
        <v>0</v>
      </c>
      <c r="AM255" s="7">
        <v>2</v>
      </c>
      <c r="AN255" s="7">
        <v>0</v>
      </c>
      <c r="AO255" s="7">
        <v>2</v>
      </c>
      <c r="AP255" s="7">
        <v>1</v>
      </c>
      <c r="AQ255" s="7">
        <v>2</v>
      </c>
      <c r="AR255" s="7">
        <v>1</v>
      </c>
      <c r="AS255" s="22">
        <f t="shared" si="95"/>
        <v>6</v>
      </c>
      <c r="AT255" s="22">
        <f t="shared" si="94"/>
        <v>0.27932960893854747</v>
      </c>
      <c r="AU255" s="5">
        <f t="shared" si="96"/>
        <v>1</v>
      </c>
      <c r="AV255" s="5">
        <f t="shared" si="97"/>
        <v>0.27932960893854747</v>
      </c>
      <c r="AW255" s="5">
        <f t="shared" si="98"/>
        <v>4</v>
      </c>
      <c r="AX255" s="5">
        <f t="shared" si="99"/>
        <v>0</v>
      </c>
      <c r="AY255" s="5">
        <f t="shared" si="100"/>
        <v>0</v>
      </c>
      <c r="AZ255" s="5">
        <f t="shared" si="101"/>
        <v>0</v>
      </c>
      <c r="BA255" s="5">
        <f t="shared" si="102"/>
        <v>0</v>
      </c>
      <c r="BB255" s="5">
        <f t="shared" si="103"/>
        <v>0.27932960893854747</v>
      </c>
      <c r="BC255" s="5">
        <f t="shared" si="104"/>
        <v>0</v>
      </c>
      <c r="BD255" s="6"/>
      <c r="BE255" s="6"/>
      <c r="BF255" s="59"/>
      <c r="BG255" s="6"/>
      <c r="BH255" s="5"/>
      <c r="BI255" s="5"/>
      <c r="BJ255" s="5" t="s">
        <v>443</v>
      </c>
    </row>
    <row r="256" spans="1:62">
      <c r="A256" s="2" t="s">
        <v>433</v>
      </c>
      <c r="B256" s="14" t="s">
        <v>32</v>
      </c>
      <c r="C256" s="14" t="s">
        <v>32</v>
      </c>
      <c r="D256" s="4">
        <v>41</v>
      </c>
      <c r="E256" s="4">
        <v>94</v>
      </c>
      <c r="F256" s="4">
        <v>2011</v>
      </c>
      <c r="G256" s="39">
        <v>27</v>
      </c>
      <c r="H256" s="28">
        <v>0</v>
      </c>
      <c r="I256" s="28">
        <v>2</v>
      </c>
      <c r="J256" s="5">
        <v>2019</v>
      </c>
      <c r="K256" s="5">
        <v>2024</v>
      </c>
      <c r="L256" s="5">
        <f t="shared" si="111"/>
        <v>4.58</v>
      </c>
      <c r="M256" s="5">
        <v>0</v>
      </c>
      <c r="N256" s="5" t="s">
        <v>444</v>
      </c>
      <c r="O256" s="5" t="s">
        <v>35</v>
      </c>
      <c r="P256" s="5">
        <v>0</v>
      </c>
      <c r="Q256" s="6"/>
      <c r="R256" s="5" t="s">
        <v>30</v>
      </c>
      <c r="S256" s="5" t="s">
        <v>435</v>
      </c>
      <c r="T256" s="6" t="s">
        <v>101</v>
      </c>
      <c r="U256" s="6">
        <v>0</v>
      </c>
      <c r="V256" s="25">
        <v>28</v>
      </c>
      <c r="W256" s="5">
        <v>3</v>
      </c>
      <c r="X256" s="7">
        <f t="shared" si="91"/>
        <v>5</v>
      </c>
      <c r="Y256" s="22">
        <f t="shared" si="92"/>
        <v>1</v>
      </c>
      <c r="Z256" s="15">
        <f t="shared" si="110"/>
        <v>4</v>
      </c>
      <c r="AA256" s="19">
        <v>0</v>
      </c>
      <c r="AB256" s="19">
        <v>0</v>
      </c>
      <c r="AC256" s="19">
        <v>2</v>
      </c>
      <c r="AD256" s="19">
        <v>0</v>
      </c>
      <c r="AE256" s="19">
        <v>1</v>
      </c>
      <c r="AF256" s="19">
        <v>1</v>
      </c>
      <c r="AG256" s="36">
        <f t="shared" si="108"/>
        <v>1</v>
      </c>
      <c r="AH256" s="36">
        <f t="shared" si="108"/>
        <v>0</v>
      </c>
      <c r="AI256" s="36">
        <f t="shared" si="108"/>
        <v>1</v>
      </c>
      <c r="AJ256" s="36">
        <f t="shared" si="108"/>
        <v>0</v>
      </c>
      <c r="AK256" s="36">
        <f t="shared" si="108"/>
        <v>0</v>
      </c>
      <c r="AL256" s="36">
        <f t="shared" si="108"/>
        <v>0</v>
      </c>
      <c r="AM256" s="7">
        <v>1</v>
      </c>
      <c r="AN256" s="7">
        <v>0</v>
      </c>
      <c r="AO256" s="7">
        <v>3</v>
      </c>
      <c r="AP256" s="7">
        <v>0</v>
      </c>
      <c r="AQ256" s="7">
        <v>1</v>
      </c>
      <c r="AR256" s="7">
        <v>1</v>
      </c>
      <c r="AS256" s="22">
        <f t="shared" si="95"/>
        <v>5</v>
      </c>
      <c r="AT256" s="22">
        <f t="shared" si="94"/>
        <v>0.2183406113537118</v>
      </c>
      <c r="AU256" s="5">
        <f t="shared" si="96"/>
        <v>1</v>
      </c>
      <c r="AV256" s="5">
        <f t="shared" si="97"/>
        <v>0.2183406113537118</v>
      </c>
      <c r="AW256" s="5">
        <f t="shared" si="98"/>
        <v>3</v>
      </c>
      <c r="AX256" s="5">
        <f t="shared" si="99"/>
        <v>0.2183406113537118</v>
      </c>
      <c r="AY256" s="5">
        <f t="shared" si="100"/>
        <v>0</v>
      </c>
      <c r="AZ256" s="5">
        <f t="shared" si="101"/>
        <v>0.2183406113537118</v>
      </c>
      <c r="BA256" s="5">
        <f t="shared" si="102"/>
        <v>0</v>
      </c>
      <c r="BB256" s="5">
        <f t="shared" si="103"/>
        <v>0</v>
      </c>
      <c r="BC256" s="5">
        <f t="shared" si="104"/>
        <v>0</v>
      </c>
      <c r="BD256" s="6"/>
      <c r="BE256" s="6"/>
      <c r="BF256" s="59"/>
      <c r="BG256" s="6"/>
      <c r="BH256" s="5"/>
      <c r="BI256" s="5"/>
      <c r="BJ256" s="5" t="s">
        <v>444</v>
      </c>
    </row>
    <row r="257" spans="1:62">
      <c r="A257" s="2" t="s">
        <v>433</v>
      </c>
      <c r="B257" s="14" t="s">
        <v>32</v>
      </c>
      <c r="C257" s="14" t="s">
        <v>32</v>
      </c>
      <c r="D257" s="4">
        <v>41</v>
      </c>
      <c r="E257" s="4">
        <v>94</v>
      </c>
      <c r="F257" s="4">
        <v>2011</v>
      </c>
      <c r="G257" s="39">
        <v>27</v>
      </c>
      <c r="H257" s="28">
        <v>0</v>
      </c>
      <c r="I257" s="28">
        <v>2</v>
      </c>
      <c r="J257" s="5">
        <v>2019</v>
      </c>
      <c r="K257" s="5">
        <v>2024</v>
      </c>
      <c r="L257" s="5">
        <f t="shared" si="111"/>
        <v>4.58</v>
      </c>
      <c r="M257" s="5">
        <v>0</v>
      </c>
      <c r="N257" s="5" t="s">
        <v>615</v>
      </c>
      <c r="O257" s="5" t="s">
        <v>28</v>
      </c>
      <c r="P257" s="5">
        <v>0</v>
      </c>
      <c r="Q257" s="6"/>
      <c r="R257" s="5" t="s">
        <v>30</v>
      </c>
      <c r="S257" s="5" t="s">
        <v>445</v>
      </c>
      <c r="T257" s="6" t="s">
        <v>84</v>
      </c>
      <c r="U257" s="6">
        <v>0</v>
      </c>
      <c r="V257" s="25">
        <v>68</v>
      </c>
      <c r="W257" s="5">
        <v>7</v>
      </c>
      <c r="X257" s="7">
        <f t="shared" si="91"/>
        <v>16</v>
      </c>
      <c r="Y257" s="22">
        <f t="shared" si="92"/>
        <v>11</v>
      </c>
      <c r="Z257" s="15">
        <f t="shared" si="110"/>
        <v>5</v>
      </c>
      <c r="AA257" s="19">
        <v>4</v>
      </c>
      <c r="AB257" s="19">
        <v>0</v>
      </c>
      <c r="AC257" s="19">
        <v>4</v>
      </c>
      <c r="AD257" s="19">
        <v>0</v>
      </c>
      <c r="AE257" s="19">
        <v>0</v>
      </c>
      <c r="AF257" s="19">
        <v>1</v>
      </c>
      <c r="AG257" s="36">
        <f t="shared" si="108"/>
        <v>0</v>
      </c>
      <c r="AH257" s="36">
        <f t="shared" si="108"/>
        <v>0</v>
      </c>
      <c r="AI257" s="36">
        <f t="shared" si="108"/>
        <v>9</v>
      </c>
      <c r="AJ257" s="36">
        <f t="shared" si="108"/>
        <v>1</v>
      </c>
      <c r="AK257" s="36">
        <f t="shared" si="108"/>
        <v>1</v>
      </c>
      <c r="AL257" s="36">
        <f t="shared" si="108"/>
        <v>0</v>
      </c>
      <c r="AM257" s="7">
        <v>4</v>
      </c>
      <c r="AN257" s="7">
        <v>0</v>
      </c>
      <c r="AO257" s="7">
        <v>13</v>
      </c>
      <c r="AP257" s="7">
        <v>1</v>
      </c>
      <c r="AQ257" s="7">
        <v>1</v>
      </c>
      <c r="AR257" s="7">
        <v>1</v>
      </c>
      <c r="AS257" s="22">
        <f t="shared" si="95"/>
        <v>16</v>
      </c>
      <c r="AT257" s="22">
        <f t="shared" si="94"/>
        <v>2.4017467248908297</v>
      </c>
      <c r="AU257" s="5">
        <f t="shared" si="96"/>
        <v>11</v>
      </c>
      <c r="AV257" s="5">
        <f t="shared" si="97"/>
        <v>2.4017467248908297</v>
      </c>
      <c r="AW257" s="5">
        <f t="shared" si="98"/>
        <v>4</v>
      </c>
      <c r="AX257" s="5">
        <f t="shared" si="99"/>
        <v>0</v>
      </c>
      <c r="AY257" s="5">
        <f t="shared" si="100"/>
        <v>0</v>
      </c>
      <c r="AZ257" s="5">
        <f t="shared" si="101"/>
        <v>1.965065502183406</v>
      </c>
      <c r="BA257" s="5">
        <f t="shared" si="102"/>
        <v>0.2183406113537118</v>
      </c>
      <c r="BB257" s="5">
        <f t="shared" si="103"/>
        <v>0.2183406113537118</v>
      </c>
      <c r="BC257" s="5">
        <f t="shared" si="104"/>
        <v>0</v>
      </c>
      <c r="BD257" s="6"/>
      <c r="BE257" s="6"/>
      <c r="BF257" s="59"/>
      <c r="BG257" s="6"/>
      <c r="BH257" s="5"/>
      <c r="BI257" s="5"/>
      <c r="BJ257" s="5" t="s">
        <v>615</v>
      </c>
    </row>
    <row r="258" spans="1:62">
      <c r="A258" s="2" t="s">
        <v>433</v>
      </c>
      <c r="B258" s="14" t="s">
        <v>32</v>
      </c>
      <c r="C258" s="14" t="s">
        <v>32</v>
      </c>
      <c r="D258" s="4">
        <v>41</v>
      </c>
      <c r="E258" s="4">
        <v>94</v>
      </c>
      <c r="F258" s="4">
        <v>2011</v>
      </c>
      <c r="G258" s="39">
        <v>27</v>
      </c>
      <c r="H258" s="28">
        <v>0</v>
      </c>
      <c r="I258" s="28">
        <v>2</v>
      </c>
      <c r="J258" s="5">
        <v>2017</v>
      </c>
      <c r="K258" s="5">
        <v>2024</v>
      </c>
      <c r="L258" s="5">
        <f t="shared" si="111"/>
        <v>6.58</v>
      </c>
      <c r="M258" s="5">
        <v>0</v>
      </c>
      <c r="N258" s="5" t="s">
        <v>446</v>
      </c>
      <c r="O258" s="5" t="s">
        <v>35</v>
      </c>
      <c r="P258" s="5">
        <v>0</v>
      </c>
      <c r="Q258" s="6"/>
      <c r="R258" s="5" t="s">
        <v>30</v>
      </c>
      <c r="S258" s="5" t="s">
        <v>612</v>
      </c>
      <c r="T258" s="6" t="s">
        <v>101</v>
      </c>
      <c r="U258" s="6">
        <v>0</v>
      </c>
      <c r="V258" s="25">
        <v>26</v>
      </c>
      <c r="W258" s="5">
        <v>2</v>
      </c>
      <c r="X258" s="7">
        <f t="shared" si="91"/>
        <v>5</v>
      </c>
      <c r="Y258" s="22">
        <f t="shared" si="92"/>
        <v>1</v>
      </c>
      <c r="Z258" s="15">
        <f t="shared" si="110"/>
        <v>4</v>
      </c>
      <c r="AA258" s="19">
        <v>0</v>
      </c>
      <c r="AB258" s="19">
        <v>1</v>
      </c>
      <c r="AC258" s="19">
        <v>2</v>
      </c>
      <c r="AD258" s="19">
        <v>0</v>
      </c>
      <c r="AE258" s="19">
        <v>0</v>
      </c>
      <c r="AF258" s="19">
        <v>1</v>
      </c>
      <c r="AG258" s="36">
        <f t="shared" si="108"/>
        <v>0</v>
      </c>
      <c r="AH258" s="36">
        <f t="shared" si="108"/>
        <v>0</v>
      </c>
      <c r="AI258" s="36">
        <f t="shared" si="108"/>
        <v>0</v>
      </c>
      <c r="AJ258" s="36">
        <f t="shared" si="108"/>
        <v>0</v>
      </c>
      <c r="AK258" s="36">
        <f t="shared" si="108"/>
        <v>0</v>
      </c>
      <c r="AL258" s="36">
        <f t="shared" si="108"/>
        <v>1</v>
      </c>
      <c r="AM258" s="7">
        <v>0</v>
      </c>
      <c r="AN258" s="7">
        <v>1</v>
      </c>
      <c r="AO258" s="7">
        <v>2</v>
      </c>
      <c r="AP258" s="7">
        <v>0</v>
      </c>
      <c r="AQ258" s="7">
        <v>0</v>
      </c>
      <c r="AR258" s="7">
        <v>2</v>
      </c>
      <c r="AS258" s="22">
        <f t="shared" si="95"/>
        <v>5</v>
      </c>
      <c r="AT258" s="22">
        <f t="shared" si="94"/>
        <v>0.1519756838905775</v>
      </c>
      <c r="AU258" s="5">
        <f t="shared" si="96"/>
        <v>0</v>
      </c>
      <c r="AV258" s="5">
        <f t="shared" si="97"/>
        <v>0</v>
      </c>
      <c r="AW258" s="5">
        <f t="shared" si="98"/>
        <v>3</v>
      </c>
      <c r="AX258" s="5">
        <f t="shared" si="99"/>
        <v>0</v>
      </c>
      <c r="AY258" s="5">
        <f t="shared" si="100"/>
        <v>0</v>
      </c>
      <c r="AZ258" s="5">
        <f t="shared" si="101"/>
        <v>0</v>
      </c>
      <c r="BA258" s="5">
        <f t="shared" si="102"/>
        <v>0</v>
      </c>
      <c r="BB258" s="5">
        <f t="shared" si="103"/>
        <v>0</v>
      </c>
      <c r="BC258" s="5">
        <f t="shared" si="104"/>
        <v>0.1519756838905775</v>
      </c>
      <c r="BD258" s="6"/>
      <c r="BE258" s="6"/>
      <c r="BF258" s="59"/>
      <c r="BG258" s="6"/>
      <c r="BH258" s="5"/>
      <c r="BI258" s="5"/>
      <c r="BJ258" s="5" t="s">
        <v>446</v>
      </c>
    </row>
    <row r="259" spans="1:62">
      <c r="A259" s="2" t="s">
        <v>433</v>
      </c>
      <c r="B259" s="14" t="s">
        <v>32</v>
      </c>
      <c r="C259" s="14" t="s">
        <v>32</v>
      </c>
      <c r="D259" s="4">
        <v>41</v>
      </c>
      <c r="E259" s="4">
        <v>94</v>
      </c>
      <c r="F259" s="4">
        <v>2011</v>
      </c>
      <c r="G259" s="39">
        <v>27</v>
      </c>
      <c r="H259" s="28">
        <v>0</v>
      </c>
      <c r="I259" s="28">
        <v>2</v>
      </c>
      <c r="J259" s="6">
        <v>2016</v>
      </c>
      <c r="K259" s="5">
        <v>2023</v>
      </c>
      <c r="L259" s="5">
        <f>(K259-J259)</f>
        <v>7</v>
      </c>
      <c r="M259" s="5">
        <v>1</v>
      </c>
      <c r="N259" s="6" t="s">
        <v>616</v>
      </c>
      <c r="O259" s="6" t="s">
        <v>35</v>
      </c>
      <c r="P259" s="6">
        <v>0</v>
      </c>
      <c r="Q259" s="6"/>
      <c r="R259" s="6" t="s">
        <v>30</v>
      </c>
      <c r="S259" s="6" t="s">
        <v>448</v>
      </c>
      <c r="T259" s="6" t="s">
        <v>84</v>
      </c>
      <c r="U259" s="6">
        <v>0</v>
      </c>
      <c r="V259" s="25">
        <v>58</v>
      </c>
      <c r="W259" s="6">
        <v>1</v>
      </c>
      <c r="X259" s="7">
        <f t="shared" si="91"/>
        <v>6</v>
      </c>
      <c r="Y259" s="22">
        <f t="shared" si="92"/>
        <v>5</v>
      </c>
      <c r="Z259" s="15">
        <f t="shared" si="110"/>
        <v>1</v>
      </c>
      <c r="AA259" s="19">
        <v>0</v>
      </c>
      <c r="AB259" s="19">
        <v>0</v>
      </c>
      <c r="AC259" s="19">
        <v>0</v>
      </c>
      <c r="AD259" s="19">
        <v>1</v>
      </c>
      <c r="AE259" s="19">
        <v>0</v>
      </c>
      <c r="AF259" s="19">
        <v>0</v>
      </c>
      <c r="AG259" s="36">
        <f t="shared" si="108"/>
        <v>2</v>
      </c>
      <c r="AH259" s="36">
        <f t="shared" si="108"/>
        <v>0</v>
      </c>
      <c r="AI259" s="36">
        <f t="shared" si="108"/>
        <v>1</v>
      </c>
      <c r="AJ259" s="36">
        <f t="shared" si="108"/>
        <v>0</v>
      </c>
      <c r="AK259" s="36">
        <f t="shared" si="108"/>
        <v>1</v>
      </c>
      <c r="AL259" s="36">
        <f t="shared" si="108"/>
        <v>3</v>
      </c>
      <c r="AM259" s="7">
        <v>2</v>
      </c>
      <c r="AN259" s="7">
        <v>0</v>
      </c>
      <c r="AO259" s="7">
        <v>1</v>
      </c>
      <c r="AP259" s="7">
        <v>1</v>
      </c>
      <c r="AQ259" s="7">
        <v>1</v>
      </c>
      <c r="AR259" s="7">
        <v>3</v>
      </c>
      <c r="AS259" s="22">
        <f t="shared" si="95"/>
        <v>6</v>
      </c>
      <c r="AT259" s="22">
        <f t="shared" si="94"/>
        <v>0.7142857142857143</v>
      </c>
      <c r="AU259" s="5">
        <f t="shared" si="96"/>
        <v>2</v>
      </c>
      <c r="AV259" s="5">
        <f t="shared" si="97"/>
        <v>0.2857142857142857</v>
      </c>
      <c r="AW259" s="5">
        <f t="shared" si="98"/>
        <v>1</v>
      </c>
      <c r="AX259" s="5">
        <f t="shared" si="99"/>
        <v>0.2857142857142857</v>
      </c>
      <c r="AY259" s="5">
        <f t="shared" si="100"/>
        <v>0</v>
      </c>
      <c r="AZ259" s="5">
        <f t="shared" si="101"/>
        <v>0.14285714285714285</v>
      </c>
      <c r="BA259" s="5">
        <f t="shared" si="102"/>
        <v>0</v>
      </c>
      <c r="BB259" s="5">
        <f t="shared" si="103"/>
        <v>0.14285714285714285</v>
      </c>
      <c r="BC259" s="5">
        <f t="shared" si="104"/>
        <v>0.42857142857142855</v>
      </c>
      <c r="BD259" s="6">
        <v>0</v>
      </c>
      <c r="BE259" s="6"/>
      <c r="BF259" s="59">
        <v>1</v>
      </c>
      <c r="BG259" s="6" t="s">
        <v>447</v>
      </c>
      <c r="BH259" s="6"/>
      <c r="BI259" s="6"/>
      <c r="BJ259" s="6" t="s">
        <v>616</v>
      </c>
    </row>
    <row r="260" spans="1:62">
      <c r="A260" s="2" t="s">
        <v>433</v>
      </c>
      <c r="B260" s="14" t="s">
        <v>32</v>
      </c>
      <c r="C260" s="14" t="s">
        <v>32</v>
      </c>
      <c r="D260" s="4">
        <v>41</v>
      </c>
      <c r="E260" s="4">
        <v>94</v>
      </c>
      <c r="F260" s="4">
        <v>2011</v>
      </c>
      <c r="G260" s="39">
        <v>27</v>
      </c>
      <c r="H260" s="28">
        <v>0</v>
      </c>
      <c r="I260" s="28">
        <v>2</v>
      </c>
      <c r="J260" s="6">
        <v>2018</v>
      </c>
      <c r="K260" s="5">
        <v>2024</v>
      </c>
      <c r="L260" s="5">
        <f>(K260-J260)-0.42</f>
        <v>5.58</v>
      </c>
      <c r="M260" s="5">
        <v>0</v>
      </c>
      <c r="N260" s="6" t="s">
        <v>449</v>
      </c>
      <c r="O260" s="6" t="s">
        <v>35</v>
      </c>
      <c r="P260" s="6">
        <v>0</v>
      </c>
      <c r="Q260" s="6"/>
      <c r="R260" s="6" t="s">
        <v>30</v>
      </c>
      <c r="S260" s="6" t="s">
        <v>450</v>
      </c>
      <c r="T260" s="6" t="s">
        <v>84</v>
      </c>
      <c r="U260" s="6">
        <v>0</v>
      </c>
      <c r="V260" s="25">
        <v>47</v>
      </c>
      <c r="W260" s="6">
        <v>4</v>
      </c>
      <c r="X260" s="7">
        <f t="shared" ref="X260:X285" si="112">SUM(Y260:Z260)</f>
        <v>5</v>
      </c>
      <c r="Y260" s="22">
        <f t="shared" ref="Y260:Y288" si="113">AS260-Z260</f>
        <v>1</v>
      </c>
      <c r="Z260" s="15">
        <f t="shared" si="110"/>
        <v>4</v>
      </c>
      <c r="AA260" s="19">
        <v>0</v>
      </c>
      <c r="AB260" s="19">
        <v>4</v>
      </c>
      <c r="AC260" s="19">
        <v>0</v>
      </c>
      <c r="AD260" s="19">
        <v>0</v>
      </c>
      <c r="AE260" s="19">
        <v>0</v>
      </c>
      <c r="AF260" s="19">
        <v>0</v>
      </c>
      <c r="AG260" s="36">
        <f t="shared" si="108"/>
        <v>2</v>
      </c>
      <c r="AH260" s="36">
        <f t="shared" si="108"/>
        <v>0</v>
      </c>
      <c r="AI260" s="36">
        <f t="shared" si="108"/>
        <v>0</v>
      </c>
      <c r="AJ260" s="36">
        <f t="shared" si="108"/>
        <v>1</v>
      </c>
      <c r="AK260" s="36">
        <f t="shared" si="108"/>
        <v>0</v>
      </c>
      <c r="AL260" s="36">
        <f t="shared" si="108"/>
        <v>0</v>
      </c>
      <c r="AM260" s="7">
        <v>2</v>
      </c>
      <c r="AN260" s="7">
        <v>4</v>
      </c>
      <c r="AO260" s="7">
        <v>0</v>
      </c>
      <c r="AP260" s="7">
        <v>1</v>
      </c>
      <c r="AQ260" s="7">
        <v>0</v>
      </c>
      <c r="AR260" s="7">
        <v>0</v>
      </c>
      <c r="AS260" s="22">
        <f t="shared" ref="AS260:AS301" si="114">AN260+AO260+AP260+AQ260+AR260</f>
        <v>5</v>
      </c>
      <c r="AT260" s="22">
        <f t="shared" ref="AT260:AT301" si="115">Y260/L260</f>
        <v>0.17921146953405018</v>
      </c>
      <c r="AU260" s="5">
        <f t="shared" si="96"/>
        <v>1</v>
      </c>
      <c r="AV260" s="5">
        <f t="shared" si="97"/>
        <v>0.17921146953405018</v>
      </c>
      <c r="AW260" s="5">
        <f t="shared" si="98"/>
        <v>4</v>
      </c>
      <c r="AX260" s="5">
        <f t="shared" si="99"/>
        <v>0.35842293906810035</v>
      </c>
      <c r="AY260" s="5">
        <f t="shared" si="100"/>
        <v>0</v>
      </c>
      <c r="AZ260" s="5">
        <f t="shared" si="101"/>
        <v>0</v>
      </c>
      <c r="BA260" s="5">
        <f t="shared" si="102"/>
        <v>0.17921146953405018</v>
      </c>
      <c r="BB260" s="5">
        <f t="shared" si="103"/>
        <v>0</v>
      </c>
      <c r="BC260" s="5">
        <f t="shared" si="104"/>
        <v>0</v>
      </c>
      <c r="BD260" s="6"/>
      <c r="BE260" s="6"/>
      <c r="BF260" s="59"/>
      <c r="BG260" s="6"/>
      <c r="BH260" s="6"/>
      <c r="BI260" s="6"/>
      <c r="BJ260" s="6" t="s">
        <v>449</v>
      </c>
    </row>
    <row r="261" spans="1:62">
      <c r="A261" s="2" t="s">
        <v>433</v>
      </c>
      <c r="B261" s="14" t="s">
        <v>32</v>
      </c>
      <c r="C261" s="14" t="s">
        <v>32</v>
      </c>
      <c r="D261" s="4">
        <v>41</v>
      </c>
      <c r="E261" s="4">
        <v>94</v>
      </c>
      <c r="F261" s="4">
        <v>2011</v>
      </c>
      <c r="G261" s="39">
        <v>27</v>
      </c>
      <c r="H261" s="28">
        <v>0</v>
      </c>
      <c r="I261" s="28">
        <v>2</v>
      </c>
      <c r="J261" s="5">
        <v>2018</v>
      </c>
      <c r="K261" s="5">
        <v>2024</v>
      </c>
      <c r="L261" s="5">
        <f>(K261-J261)-0.42</f>
        <v>5.58</v>
      </c>
      <c r="M261" s="5">
        <v>0</v>
      </c>
      <c r="N261" s="5" t="s">
        <v>451</v>
      </c>
      <c r="O261" s="5" t="s">
        <v>28</v>
      </c>
      <c r="P261" s="5">
        <v>0</v>
      </c>
      <c r="Q261" s="6"/>
      <c r="R261" s="5" t="s">
        <v>30</v>
      </c>
      <c r="S261" s="5" t="s">
        <v>435</v>
      </c>
      <c r="T261" s="6" t="s">
        <v>101</v>
      </c>
      <c r="U261" s="6">
        <v>0</v>
      </c>
      <c r="V261" s="25">
        <v>28</v>
      </c>
      <c r="W261" s="5">
        <v>2</v>
      </c>
      <c r="X261" s="7">
        <f t="shared" si="112"/>
        <v>8</v>
      </c>
      <c r="Y261" s="22">
        <f t="shared" si="113"/>
        <v>8</v>
      </c>
      <c r="Z261" s="15">
        <f t="shared" si="110"/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36">
        <f t="shared" si="108"/>
        <v>3</v>
      </c>
      <c r="AH261" s="36">
        <f t="shared" si="108"/>
        <v>0</v>
      </c>
      <c r="AI261" s="36">
        <f t="shared" si="108"/>
        <v>5</v>
      </c>
      <c r="AJ261" s="36">
        <f t="shared" si="108"/>
        <v>0</v>
      </c>
      <c r="AK261" s="36">
        <f t="shared" si="108"/>
        <v>1</v>
      </c>
      <c r="AL261" s="36">
        <f t="shared" si="108"/>
        <v>2</v>
      </c>
      <c r="AM261" s="7">
        <v>3</v>
      </c>
      <c r="AN261" s="7">
        <v>0</v>
      </c>
      <c r="AO261" s="7">
        <v>5</v>
      </c>
      <c r="AP261" s="7">
        <v>0</v>
      </c>
      <c r="AQ261" s="7">
        <v>1</v>
      </c>
      <c r="AR261" s="7">
        <v>2</v>
      </c>
      <c r="AS261" s="22">
        <f t="shared" si="114"/>
        <v>8</v>
      </c>
      <c r="AT261" s="22">
        <f t="shared" si="115"/>
        <v>1.4336917562724014</v>
      </c>
      <c r="AU261" s="5">
        <f t="shared" si="96"/>
        <v>6</v>
      </c>
      <c r="AV261" s="5">
        <f t="shared" si="97"/>
        <v>1.075268817204301</v>
      </c>
      <c r="AW261" s="5">
        <f t="shared" si="98"/>
        <v>0</v>
      </c>
      <c r="AX261" s="5">
        <f t="shared" si="99"/>
        <v>0.5376344086021505</v>
      </c>
      <c r="AY261" s="5">
        <f t="shared" si="100"/>
        <v>0</v>
      </c>
      <c r="AZ261" s="5">
        <f t="shared" si="101"/>
        <v>0.89605734767025091</v>
      </c>
      <c r="BA261" s="5">
        <f t="shared" si="102"/>
        <v>0</v>
      </c>
      <c r="BB261" s="5">
        <f t="shared" si="103"/>
        <v>0.17921146953405018</v>
      </c>
      <c r="BC261" s="5">
        <f t="shared" si="104"/>
        <v>0.35842293906810035</v>
      </c>
      <c r="BD261" s="6"/>
      <c r="BE261" s="6"/>
      <c r="BF261" s="59"/>
      <c r="BG261" s="6"/>
      <c r="BH261" s="5"/>
      <c r="BI261" s="5"/>
      <c r="BJ261" s="5" t="s">
        <v>451</v>
      </c>
    </row>
    <row r="262" spans="1:62">
      <c r="A262" s="2" t="s">
        <v>433</v>
      </c>
      <c r="B262" s="14" t="s">
        <v>32</v>
      </c>
      <c r="C262" s="14" t="s">
        <v>32</v>
      </c>
      <c r="D262" s="4">
        <v>41</v>
      </c>
      <c r="E262" s="4">
        <v>94</v>
      </c>
      <c r="F262" s="4">
        <v>2011</v>
      </c>
      <c r="G262" s="39">
        <v>27</v>
      </c>
      <c r="H262" s="28">
        <v>0</v>
      </c>
      <c r="I262" s="28">
        <v>2</v>
      </c>
      <c r="J262" s="5">
        <v>2015</v>
      </c>
      <c r="K262" s="5">
        <v>2022</v>
      </c>
      <c r="L262" s="5">
        <f>(K262-J262)</f>
        <v>7</v>
      </c>
      <c r="M262" s="5">
        <v>1</v>
      </c>
      <c r="N262" s="5" t="s">
        <v>617</v>
      </c>
      <c r="O262" s="5" t="s">
        <v>28</v>
      </c>
      <c r="P262" s="5">
        <v>0</v>
      </c>
      <c r="Q262" s="6"/>
      <c r="R262" s="5" t="s">
        <v>39</v>
      </c>
      <c r="S262" s="5" t="s">
        <v>435</v>
      </c>
      <c r="T262" s="6" t="s">
        <v>101</v>
      </c>
      <c r="U262" s="6">
        <v>0</v>
      </c>
      <c r="V262" s="25">
        <v>28</v>
      </c>
      <c r="W262" s="5">
        <v>0</v>
      </c>
      <c r="X262" s="7">
        <f t="shared" si="112"/>
        <v>2</v>
      </c>
      <c r="Y262" s="22">
        <f t="shared" si="113"/>
        <v>2</v>
      </c>
      <c r="Z262" s="15">
        <f t="shared" si="110"/>
        <v>0</v>
      </c>
      <c r="AA262" s="47">
        <v>0</v>
      </c>
      <c r="AB262" s="47">
        <v>0</v>
      </c>
      <c r="AC262" s="47">
        <v>0</v>
      </c>
      <c r="AD262" s="47">
        <v>0</v>
      </c>
      <c r="AE262" s="47">
        <v>0</v>
      </c>
      <c r="AF262" s="47">
        <v>0</v>
      </c>
      <c r="AG262" s="36">
        <f t="shared" si="108"/>
        <v>0</v>
      </c>
      <c r="AH262" s="36">
        <f t="shared" si="108"/>
        <v>0</v>
      </c>
      <c r="AI262" s="36">
        <f t="shared" si="108"/>
        <v>0</v>
      </c>
      <c r="AJ262" s="36">
        <f t="shared" si="108"/>
        <v>0</v>
      </c>
      <c r="AK262" s="36">
        <f t="shared" si="108"/>
        <v>0</v>
      </c>
      <c r="AL262" s="36">
        <f t="shared" si="108"/>
        <v>2</v>
      </c>
      <c r="AM262" s="45">
        <v>0</v>
      </c>
      <c r="AN262" s="45">
        <v>0</v>
      </c>
      <c r="AO262" s="45">
        <v>0</v>
      </c>
      <c r="AP262" s="45">
        <v>0</v>
      </c>
      <c r="AQ262" s="45">
        <v>0</v>
      </c>
      <c r="AR262" s="45">
        <v>2</v>
      </c>
      <c r="AS262" s="22">
        <f t="shared" si="114"/>
        <v>2</v>
      </c>
      <c r="AT262" s="22">
        <f t="shared" si="115"/>
        <v>0.2857142857142857</v>
      </c>
      <c r="AU262" s="5">
        <f t="shared" ref="AU262:AU301" si="116">Y262-AL262</f>
        <v>0</v>
      </c>
      <c r="AV262" s="5">
        <f t="shared" ref="AV262:AV301" si="117">AU262/L262</f>
        <v>0</v>
      </c>
      <c r="AW262" s="5">
        <f t="shared" ref="AW262:AW301" si="118">Z262-AF262</f>
        <v>0</v>
      </c>
      <c r="AX262" s="5">
        <f t="shared" ref="AX262:AX301" si="119">AG262/L262</f>
        <v>0</v>
      </c>
      <c r="AY262" s="5">
        <f t="shared" ref="AY262:AY301" si="120">AH262/L262</f>
        <v>0</v>
      </c>
      <c r="AZ262" s="5">
        <f t="shared" ref="AZ262:AZ301" si="121">AI262/L262</f>
        <v>0</v>
      </c>
      <c r="BA262" s="5">
        <f t="shared" ref="BA262:BA301" si="122">AJ262/L262</f>
        <v>0</v>
      </c>
      <c r="BB262" s="5">
        <f t="shared" ref="BB262:BB301" si="123">AK262/L262</f>
        <v>0</v>
      </c>
      <c r="BC262" s="5">
        <f t="shared" ref="BC262:BC301" si="124">AL262/L262</f>
        <v>0.2857142857142857</v>
      </c>
      <c r="BD262" s="6"/>
      <c r="BE262" s="6"/>
      <c r="BF262" s="59">
        <v>0</v>
      </c>
      <c r="BG262" s="28" t="s">
        <v>728</v>
      </c>
      <c r="BH262" s="5"/>
      <c r="BI262" s="5"/>
      <c r="BJ262" s="5" t="s">
        <v>617</v>
      </c>
    </row>
    <row r="263" spans="1:62" ht="31">
      <c r="A263" s="2" t="s">
        <v>452</v>
      </c>
      <c r="B263" s="3" t="s">
        <v>85</v>
      </c>
      <c r="C263" s="3" t="s">
        <v>85</v>
      </c>
      <c r="D263" s="4">
        <v>29</v>
      </c>
      <c r="E263" s="4">
        <v>74</v>
      </c>
      <c r="F263" s="4">
        <v>2008</v>
      </c>
      <c r="G263" s="39">
        <v>73</v>
      </c>
      <c r="H263" s="28">
        <v>0</v>
      </c>
      <c r="I263" s="28">
        <v>0</v>
      </c>
      <c r="J263" s="5">
        <v>2017</v>
      </c>
      <c r="K263" s="5">
        <v>2023</v>
      </c>
      <c r="L263" s="5">
        <f>(K263-J263)</f>
        <v>6</v>
      </c>
      <c r="M263" s="5">
        <v>1</v>
      </c>
      <c r="N263" s="16" t="s">
        <v>453</v>
      </c>
      <c r="O263" s="5" t="s">
        <v>28</v>
      </c>
      <c r="P263" s="5">
        <v>0</v>
      </c>
      <c r="Q263" s="6"/>
      <c r="R263" s="5" t="s">
        <v>252</v>
      </c>
      <c r="S263" s="5" t="s">
        <v>454</v>
      </c>
      <c r="T263" s="6" t="s">
        <v>84</v>
      </c>
      <c r="U263" s="6">
        <v>0</v>
      </c>
      <c r="V263" s="25">
        <v>116</v>
      </c>
      <c r="W263" s="5">
        <v>0</v>
      </c>
      <c r="X263" s="7">
        <f t="shared" si="112"/>
        <v>1</v>
      </c>
      <c r="Y263" s="22">
        <f t="shared" si="113"/>
        <v>1</v>
      </c>
      <c r="Z263" s="15">
        <f t="shared" si="110"/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36">
        <f t="shared" si="108"/>
        <v>1</v>
      </c>
      <c r="AH263" s="36">
        <f t="shared" si="108"/>
        <v>0</v>
      </c>
      <c r="AI263" s="36">
        <f t="shared" si="108"/>
        <v>0</v>
      </c>
      <c r="AJ263" s="36">
        <f t="shared" si="108"/>
        <v>0</v>
      </c>
      <c r="AK263" s="36">
        <f t="shared" si="108"/>
        <v>0</v>
      </c>
      <c r="AL263" s="36">
        <f t="shared" si="108"/>
        <v>1</v>
      </c>
      <c r="AM263" s="7">
        <v>1</v>
      </c>
      <c r="AN263" s="7">
        <v>0</v>
      </c>
      <c r="AO263" s="7">
        <v>0</v>
      </c>
      <c r="AP263" s="7">
        <v>0</v>
      </c>
      <c r="AQ263" s="7">
        <v>0</v>
      </c>
      <c r="AR263" s="7">
        <v>1</v>
      </c>
      <c r="AS263" s="22">
        <f t="shared" si="114"/>
        <v>1</v>
      </c>
      <c r="AT263" s="22">
        <f t="shared" si="115"/>
        <v>0.16666666666666666</v>
      </c>
      <c r="AU263" s="5">
        <f t="shared" si="116"/>
        <v>0</v>
      </c>
      <c r="AV263" s="5">
        <f t="shared" si="117"/>
        <v>0</v>
      </c>
      <c r="AW263" s="5">
        <f t="shared" si="118"/>
        <v>0</v>
      </c>
      <c r="AX263" s="5">
        <f t="shared" si="119"/>
        <v>0.16666666666666666</v>
      </c>
      <c r="AY263" s="5">
        <f t="shared" si="120"/>
        <v>0</v>
      </c>
      <c r="AZ263" s="5">
        <f t="shared" si="121"/>
        <v>0</v>
      </c>
      <c r="BA263" s="5">
        <f t="shared" si="122"/>
        <v>0</v>
      </c>
      <c r="BB263" s="5">
        <f t="shared" si="123"/>
        <v>0</v>
      </c>
      <c r="BC263" s="5">
        <f t="shared" si="124"/>
        <v>0.16666666666666666</v>
      </c>
      <c r="BD263" s="6"/>
      <c r="BE263" s="6"/>
      <c r="BF263" s="59">
        <v>0</v>
      </c>
      <c r="BG263" s="7" t="s">
        <v>730</v>
      </c>
      <c r="BH263" s="5"/>
      <c r="BI263" s="5"/>
      <c r="BJ263" s="16" t="s">
        <v>453</v>
      </c>
    </row>
    <row r="264" spans="1:62">
      <c r="A264" s="2" t="s">
        <v>452</v>
      </c>
      <c r="B264" s="3" t="s">
        <v>85</v>
      </c>
      <c r="C264" s="3" t="s">
        <v>85</v>
      </c>
      <c r="D264" s="4">
        <v>29</v>
      </c>
      <c r="E264" s="4">
        <v>74</v>
      </c>
      <c r="F264" s="4">
        <v>2008</v>
      </c>
      <c r="G264" s="39">
        <v>73</v>
      </c>
      <c r="H264" s="28">
        <v>0</v>
      </c>
      <c r="I264" s="28">
        <v>0</v>
      </c>
      <c r="J264" s="5">
        <v>2018</v>
      </c>
      <c r="K264" s="5">
        <v>2024</v>
      </c>
      <c r="L264" s="5">
        <f>(K264-J264)-0.42</f>
        <v>5.58</v>
      </c>
      <c r="M264" s="5">
        <v>0</v>
      </c>
      <c r="N264" s="16" t="s">
        <v>455</v>
      </c>
      <c r="O264" s="5" t="s">
        <v>28</v>
      </c>
      <c r="P264" s="5">
        <v>0</v>
      </c>
      <c r="Q264" s="6"/>
      <c r="R264" s="5" t="s">
        <v>30</v>
      </c>
      <c r="S264" s="5" t="s">
        <v>456</v>
      </c>
      <c r="T264" s="6" t="s">
        <v>84</v>
      </c>
      <c r="U264" s="6">
        <v>0</v>
      </c>
      <c r="V264" s="25">
        <v>118</v>
      </c>
      <c r="W264" s="5">
        <v>1</v>
      </c>
      <c r="X264" s="7">
        <f t="shared" si="112"/>
        <v>6</v>
      </c>
      <c r="Y264" s="22">
        <f t="shared" si="113"/>
        <v>6</v>
      </c>
      <c r="Z264" s="15">
        <f t="shared" si="110"/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36">
        <f t="shared" si="108"/>
        <v>4</v>
      </c>
      <c r="AH264" s="36">
        <f t="shared" si="108"/>
        <v>0</v>
      </c>
      <c r="AI264" s="36">
        <f t="shared" si="108"/>
        <v>1</v>
      </c>
      <c r="AJ264" s="36">
        <f t="shared" si="108"/>
        <v>0</v>
      </c>
      <c r="AK264" s="36">
        <f t="shared" si="108"/>
        <v>0</v>
      </c>
      <c r="AL264" s="36">
        <f t="shared" si="108"/>
        <v>5</v>
      </c>
      <c r="AM264" s="7">
        <v>4</v>
      </c>
      <c r="AN264" s="7">
        <v>0</v>
      </c>
      <c r="AO264" s="7">
        <v>1</v>
      </c>
      <c r="AP264" s="7">
        <v>0</v>
      </c>
      <c r="AQ264" s="7">
        <v>0</v>
      </c>
      <c r="AR264" s="7">
        <v>5</v>
      </c>
      <c r="AS264" s="22">
        <f t="shared" si="114"/>
        <v>6</v>
      </c>
      <c r="AT264" s="22">
        <f t="shared" si="115"/>
        <v>1.075268817204301</v>
      </c>
      <c r="AU264" s="5">
        <f t="shared" si="116"/>
        <v>1</v>
      </c>
      <c r="AV264" s="5">
        <f t="shared" si="117"/>
        <v>0.17921146953405018</v>
      </c>
      <c r="AW264" s="5">
        <f t="shared" si="118"/>
        <v>0</v>
      </c>
      <c r="AX264" s="5">
        <f t="shared" si="119"/>
        <v>0.71684587813620071</v>
      </c>
      <c r="AY264" s="5">
        <f t="shared" si="120"/>
        <v>0</v>
      </c>
      <c r="AZ264" s="5">
        <f t="shared" si="121"/>
        <v>0.17921146953405018</v>
      </c>
      <c r="BA264" s="5">
        <f t="shared" si="122"/>
        <v>0</v>
      </c>
      <c r="BB264" s="5">
        <f t="shared" si="123"/>
        <v>0</v>
      </c>
      <c r="BC264" s="5">
        <f t="shared" si="124"/>
        <v>0.89605734767025091</v>
      </c>
      <c r="BD264" s="6"/>
      <c r="BE264" s="6"/>
      <c r="BF264" s="59"/>
      <c r="BG264" s="6"/>
      <c r="BH264" s="5"/>
      <c r="BI264" s="5"/>
      <c r="BJ264" s="16" t="s">
        <v>455</v>
      </c>
    </row>
    <row r="265" spans="1:62">
      <c r="A265" s="2" t="s">
        <v>452</v>
      </c>
      <c r="B265" s="3" t="s">
        <v>85</v>
      </c>
      <c r="C265" s="3" t="s">
        <v>85</v>
      </c>
      <c r="D265" s="4">
        <v>29</v>
      </c>
      <c r="E265" s="4">
        <v>74</v>
      </c>
      <c r="F265" s="4">
        <v>2008</v>
      </c>
      <c r="G265" s="39">
        <v>73</v>
      </c>
      <c r="H265" s="28">
        <v>0</v>
      </c>
      <c r="I265" s="28">
        <v>0</v>
      </c>
      <c r="J265" s="5">
        <v>2019</v>
      </c>
      <c r="K265" s="5">
        <v>2024</v>
      </c>
      <c r="L265" s="5">
        <f>(K265-J265)-0.42</f>
        <v>4.58</v>
      </c>
      <c r="M265" s="5">
        <v>0</v>
      </c>
      <c r="N265" s="16" t="s">
        <v>618</v>
      </c>
      <c r="O265" s="5" t="s">
        <v>35</v>
      </c>
      <c r="P265" s="5">
        <v>0</v>
      </c>
      <c r="Q265" s="6"/>
      <c r="R265" s="5" t="s">
        <v>30</v>
      </c>
      <c r="S265" s="5" t="s">
        <v>457</v>
      </c>
      <c r="T265" s="6" t="s">
        <v>84</v>
      </c>
      <c r="U265" s="6">
        <v>0</v>
      </c>
      <c r="V265" s="25">
        <v>93</v>
      </c>
      <c r="W265" s="5">
        <v>1</v>
      </c>
      <c r="X265" s="7">
        <f t="shared" si="112"/>
        <v>5</v>
      </c>
      <c r="Y265" s="22">
        <f t="shared" si="113"/>
        <v>5</v>
      </c>
      <c r="Z265" s="15">
        <f t="shared" si="110"/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36">
        <f t="shared" si="108"/>
        <v>2</v>
      </c>
      <c r="AH265" s="36">
        <f t="shared" si="108"/>
        <v>0</v>
      </c>
      <c r="AI265" s="36">
        <f t="shared" si="108"/>
        <v>1</v>
      </c>
      <c r="AJ265" s="36">
        <f t="shared" si="108"/>
        <v>0</v>
      </c>
      <c r="AK265" s="36">
        <f t="shared" si="108"/>
        <v>1</v>
      </c>
      <c r="AL265" s="36">
        <f t="shared" si="108"/>
        <v>3</v>
      </c>
      <c r="AM265" s="7">
        <v>2</v>
      </c>
      <c r="AN265" s="7">
        <v>0</v>
      </c>
      <c r="AO265" s="7">
        <v>1</v>
      </c>
      <c r="AP265" s="7">
        <v>0</v>
      </c>
      <c r="AQ265" s="7">
        <v>1</v>
      </c>
      <c r="AR265" s="7">
        <v>3</v>
      </c>
      <c r="AS265" s="22">
        <f t="shared" si="114"/>
        <v>5</v>
      </c>
      <c r="AT265" s="22">
        <f t="shared" si="115"/>
        <v>1.0917030567685588</v>
      </c>
      <c r="AU265" s="5">
        <f t="shared" si="116"/>
        <v>2</v>
      </c>
      <c r="AV265" s="5">
        <f t="shared" si="117"/>
        <v>0.4366812227074236</v>
      </c>
      <c r="AW265" s="5">
        <f t="shared" si="118"/>
        <v>0</v>
      </c>
      <c r="AX265" s="5">
        <f t="shared" si="119"/>
        <v>0.4366812227074236</v>
      </c>
      <c r="AY265" s="5">
        <f t="shared" si="120"/>
        <v>0</v>
      </c>
      <c r="AZ265" s="5">
        <f t="shared" si="121"/>
        <v>0.2183406113537118</v>
      </c>
      <c r="BA265" s="5">
        <f t="shared" si="122"/>
        <v>0</v>
      </c>
      <c r="BB265" s="5">
        <f t="shared" si="123"/>
        <v>0.2183406113537118</v>
      </c>
      <c r="BC265" s="5">
        <f t="shared" si="124"/>
        <v>0.65502183406113534</v>
      </c>
      <c r="BD265" s="6"/>
      <c r="BE265" s="6"/>
      <c r="BF265" s="59"/>
      <c r="BG265" s="6"/>
      <c r="BH265" s="5"/>
      <c r="BI265" s="5"/>
      <c r="BJ265" s="16" t="s">
        <v>618</v>
      </c>
    </row>
    <row r="266" spans="1:62">
      <c r="A266" s="2" t="s">
        <v>452</v>
      </c>
      <c r="B266" s="3" t="s">
        <v>85</v>
      </c>
      <c r="C266" s="3" t="s">
        <v>85</v>
      </c>
      <c r="D266" s="4">
        <v>29</v>
      </c>
      <c r="E266" s="4">
        <v>74</v>
      </c>
      <c r="F266" s="4">
        <v>2008</v>
      </c>
      <c r="G266" s="39">
        <v>73</v>
      </c>
      <c r="H266" s="28">
        <v>0</v>
      </c>
      <c r="I266" s="28">
        <v>0</v>
      </c>
      <c r="J266" s="5">
        <v>2020</v>
      </c>
      <c r="K266" s="5">
        <v>2024</v>
      </c>
      <c r="L266" s="5">
        <f>(K266-J266)-0.42</f>
        <v>3.58</v>
      </c>
      <c r="M266" s="5">
        <v>0</v>
      </c>
      <c r="N266" s="16" t="s">
        <v>458</v>
      </c>
      <c r="O266" s="5" t="s">
        <v>28</v>
      </c>
      <c r="P266" s="5">
        <v>0</v>
      </c>
      <c r="Q266" s="6"/>
      <c r="R266" s="5" t="s">
        <v>30</v>
      </c>
      <c r="S266" s="5" t="s">
        <v>459</v>
      </c>
      <c r="T266" s="6" t="s">
        <v>84</v>
      </c>
      <c r="U266" s="6">
        <v>0</v>
      </c>
      <c r="V266" s="25">
        <v>118</v>
      </c>
      <c r="W266" s="5">
        <v>1</v>
      </c>
      <c r="X266" s="7">
        <f t="shared" si="112"/>
        <v>2</v>
      </c>
      <c r="Y266" s="22">
        <f t="shared" si="113"/>
        <v>2</v>
      </c>
      <c r="Z266" s="15">
        <f t="shared" si="110"/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36">
        <f t="shared" si="108"/>
        <v>2</v>
      </c>
      <c r="AH266" s="36">
        <f t="shared" si="108"/>
        <v>0</v>
      </c>
      <c r="AI266" s="36">
        <f t="shared" si="108"/>
        <v>1</v>
      </c>
      <c r="AJ266" s="36">
        <f t="shared" si="108"/>
        <v>0</v>
      </c>
      <c r="AK266" s="36">
        <f t="shared" si="108"/>
        <v>0</v>
      </c>
      <c r="AL266" s="36">
        <f t="shared" si="108"/>
        <v>1</v>
      </c>
      <c r="AM266" s="7">
        <v>2</v>
      </c>
      <c r="AN266" s="7">
        <v>0</v>
      </c>
      <c r="AO266" s="7">
        <v>1</v>
      </c>
      <c r="AP266" s="7">
        <v>0</v>
      </c>
      <c r="AQ266" s="7">
        <v>0</v>
      </c>
      <c r="AR266" s="7">
        <v>1</v>
      </c>
      <c r="AS266" s="22">
        <f t="shared" si="114"/>
        <v>2</v>
      </c>
      <c r="AT266" s="22">
        <f t="shared" si="115"/>
        <v>0.55865921787709494</v>
      </c>
      <c r="AU266" s="5">
        <f t="shared" si="116"/>
        <v>1</v>
      </c>
      <c r="AV266" s="5">
        <f t="shared" si="117"/>
        <v>0.27932960893854747</v>
      </c>
      <c r="AW266" s="5">
        <f t="shared" si="118"/>
        <v>0</v>
      </c>
      <c r="AX266" s="5">
        <f t="shared" si="119"/>
        <v>0.55865921787709494</v>
      </c>
      <c r="AY266" s="5">
        <f t="shared" si="120"/>
        <v>0</v>
      </c>
      <c r="AZ266" s="5">
        <f t="shared" si="121"/>
        <v>0.27932960893854747</v>
      </c>
      <c r="BA266" s="5">
        <f t="shared" si="122"/>
        <v>0</v>
      </c>
      <c r="BB266" s="5">
        <f t="shared" si="123"/>
        <v>0</v>
      </c>
      <c r="BC266" s="5">
        <f t="shared" si="124"/>
        <v>0.27932960893854747</v>
      </c>
      <c r="BD266" s="6"/>
      <c r="BE266" s="6"/>
      <c r="BF266" s="59"/>
      <c r="BG266" s="6"/>
      <c r="BH266" s="5"/>
      <c r="BI266" s="5"/>
      <c r="BJ266" s="16" t="s">
        <v>458</v>
      </c>
    </row>
    <row r="267" spans="1:62">
      <c r="A267" s="2" t="s">
        <v>452</v>
      </c>
      <c r="B267" s="3" t="s">
        <v>85</v>
      </c>
      <c r="C267" s="3" t="s">
        <v>85</v>
      </c>
      <c r="D267" s="4">
        <v>29</v>
      </c>
      <c r="E267" s="4">
        <v>74</v>
      </c>
      <c r="F267" s="4">
        <v>2008</v>
      </c>
      <c r="G267" s="39">
        <v>73</v>
      </c>
      <c r="H267" s="28">
        <v>0</v>
      </c>
      <c r="I267" s="28">
        <v>0</v>
      </c>
      <c r="J267" s="5">
        <v>2021</v>
      </c>
      <c r="K267" s="5">
        <v>2024</v>
      </c>
      <c r="L267" s="5">
        <f>(K267-J267)-0.42</f>
        <v>2.58</v>
      </c>
      <c r="M267" s="5">
        <v>0</v>
      </c>
      <c r="N267" s="16" t="s">
        <v>460</v>
      </c>
      <c r="O267" s="5" t="s">
        <v>35</v>
      </c>
      <c r="P267" s="5">
        <v>0</v>
      </c>
      <c r="Q267" s="6"/>
      <c r="R267" s="5" t="s">
        <v>30</v>
      </c>
      <c r="S267" s="5" t="s">
        <v>461</v>
      </c>
      <c r="T267" s="6" t="s">
        <v>84</v>
      </c>
      <c r="U267" s="6">
        <v>0</v>
      </c>
      <c r="V267" s="25">
        <v>68</v>
      </c>
      <c r="W267" s="5">
        <v>10</v>
      </c>
      <c r="X267" s="7">
        <f t="shared" si="112"/>
        <v>34</v>
      </c>
      <c r="Y267" s="22">
        <f t="shared" si="113"/>
        <v>22</v>
      </c>
      <c r="Z267" s="15">
        <f t="shared" si="110"/>
        <v>12</v>
      </c>
      <c r="AA267" s="19">
        <v>3</v>
      </c>
      <c r="AB267" s="19">
        <v>0</v>
      </c>
      <c r="AC267" s="19">
        <v>11</v>
      </c>
      <c r="AD267" s="19">
        <v>0</v>
      </c>
      <c r="AE267" s="19">
        <v>0</v>
      </c>
      <c r="AF267" s="19">
        <v>1</v>
      </c>
      <c r="AG267" s="36">
        <f t="shared" si="108"/>
        <v>15</v>
      </c>
      <c r="AH267" s="36">
        <f t="shared" si="108"/>
        <v>1</v>
      </c>
      <c r="AI267" s="36">
        <f t="shared" si="108"/>
        <v>5</v>
      </c>
      <c r="AJ267" s="36">
        <f t="shared" si="108"/>
        <v>0</v>
      </c>
      <c r="AK267" s="36">
        <f t="shared" si="108"/>
        <v>1</v>
      </c>
      <c r="AL267" s="36">
        <f t="shared" si="108"/>
        <v>15</v>
      </c>
      <c r="AM267" s="7">
        <v>18</v>
      </c>
      <c r="AN267" s="7">
        <v>1</v>
      </c>
      <c r="AO267" s="7">
        <v>16</v>
      </c>
      <c r="AP267" s="7">
        <v>0</v>
      </c>
      <c r="AQ267" s="7">
        <v>1</v>
      </c>
      <c r="AR267" s="7">
        <v>16</v>
      </c>
      <c r="AS267" s="22">
        <f t="shared" si="114"/>
        <v>34</v>
      </c>
      <c r="AT267" s="22">
        <f t="shared" si="115"/>
        <v>8.5271317829457356</v>
      </c>
      <c r="AU267" s="5">
        <f t="shared" si="116"/>
        <v>7</v>
      </c>
      <c r="AV267" s="5">
        <f t="shared" si="117"/>
        <v>2.7131782945736433</v>
      </c>
      <c r="AW267" s="5">
        <f t="shared" si="118"/>
        <v>11</v>
      </c>
      <c r="AX267" s="5">
        <f t="shared" si="119"/>
        <v>5.8139534883720927</v>
      </c>
      <c r="AY267" s="5">
        <f t="shared" si="120"/>
        <v>0.38759689922480617</v>
      </c>
      <c r="AZ267" s="5">
        <f t="shared" si="121"/>
        <v>1.9379844961240309</v>
      </c>
      <c r="BA267" s="5">
        <f t="shared" si="122"/>
        <v>0</v>
      </c>
      <c r="BB267" s="5">
        <f t="shared" si="123"/>
        <v>0.38759689922480617</v>
      </c>
      <c r="BC267" s="5">
        <f t="shared" si="124"/>
        <v>5.8139534883720927</v>
      </c>
      <c r="BD267" s="6"/>
      <c r="BE267" s="6"/>
      <c r="BF267" s="59"/>
      <c r="BG267" s="6"/>
      <c r="BH267" s="5"/>
      <c r="BI267" s="5"/>
      <c r="BJ267" s="16" t="s">
        <v>460</v>
      </c>
    </row>
    <row r="268" spans="1:62">
      <c r="A268" s="2" t="s">
        <v>452</v>
      </c>
      <c r="B268" s="3" t="s">
        <v>85</v>
      </c>
      <c r="C268" s="3" t="s">
        <v>85</v>
      </c>
      <c r="D268" s="4">
        <v>29</v>
      </c>
      <c r="E268" s="4">
        <v>74</v>
      </c>
      <c r="F268" s="4">
        <v>2008</v>
      </c>
      <c r="G268" s="39">
        <v>73</v>
      </c>
      <c r="H268" s="28">
        <v>0</v>
      </c>
      <c r="I268" s="28">
        <v>0</v>
      </c>
      <c r="J268" s="5">
        <v>2022</v>
      </c>
      <c r="K268" s="5">
        <v>2024</v>
      </c>
      <c r="L268" s="5">
        <f>(K268-J268)-0.42</f>
        <v>1.58</v>
      </c>
      <c r="M268" s="5">
        <v>0</v>
      </c>
      <c r="N268" s="16" t="s">
        <v>462</v>
      </c>
      <c r="O268" s="5" t="s">
        <v>28</v>
      </c>
      <c r="P268" s="5">
        <v>0</v>
      </c>
      <c r="Q268" s="6"/>
      <c r="R268" s="5" t="s">
        <v>30</v>
      </c>
      <c r="S268" s="5" t="s">
        <v>463</v>
      </c>
      <c r="T268" s="6" t="s">
        <v>84</v>
      </c>
      <c r="U268" s="6">
        <v>0</v>
      </c>
      <c r="V268" s="25" t="s">
        <v>107</v>
      </c>
      <c r="W268" s="5">
        <v>1</v>
      </c>
      <c r="X268" s="7">
        <f t="shared" si="112"/>
        <v>5</v>
      </c>
      <c r="Y268" s="22">
        <f t="shared" si="113"/>
        <v>2</v>
      </c>
      <c r="Z268" s="15">
        <f t="shared" si="110"/>
        <v>3</v>
      </c>
      <c r="AA268" s="19">
        <v>1</v>
      </c>
      <c r="AB268" s="19">
        <v>0</v>
      </c>
      <c r="AC268" s="19">
        <v>3</v>
      </c>
      <c r="AD268" s="19">
        <v>0</v>
      </c>
      <c r="AE268" s="19">
        <v>0</v>
      </c>
      <c r="AF268" s="19">
        <v>0</v>
      </c>
      <c r="AG268" s="36">
        <f t="shared" si="108"/>
        <v>0</v>
      </c>
      <c r="AH268" s="36">
        <f t="shared" si="108"/>
        <v>0</v>
      </c>
      <c r="AI268" s="36">
        <f t="shared" si="108"/>
        <v>1</v>
      </c>
      <c r="AJ268" s="36">
        <f t="shared" si="108"/>
        <v>0</v>
      </c>
      <c r="AK268" s="36">
        <f t="shared" si="108"/>
        <v>0</v>
      </c>
      <c r="AL268" s="36">
        <f t="shared" si="108"/>
        <v>1</v>
      </c>
      <c r="AM268" s="7">
        <v>1</v>
      </c>
      <c r="AN268" s="7">
        <v>0</v>
      </c>
      <c r="AO268" s="7">
        <v>4</v>
      </c>
      <c r="AP268" s="7">
        <v>0</v>
      </c>
      <c r="AQ268" s="7">
        <v>0</v>
      </c>
      <c r="AR268" s="7">
        <v>1</v>
      </c>
      <c r="AS268" s="22">
        <f t="shared" si="114"/>
        <v>5</v>
      </c>
      <c r="AT268" s="22">
        <f t="shared" si="115"/>
        <v>1.2658227848101264</v>
      </c>
      <c r="AU268" s="5">
        <f t="shared" si="116"/>
        <v>1</v>
      </c>
      <c r="AV268" s="5">
        <f t="shared" si="117"/>
        <v>0.63291139240506322</v>
      </c>
      <c r="AW268" s="5">
        <f t="shared" si="118"/>
        <v>3</v>
      </c>
      <c r="AX268" s="5">
        <f t="shared" si="119"/>
        <v>0</v>
      </c>
      <c r="AY268" s="5">
        <f t="shared" si="120"/>
        <v>0</v>
      </c>
      <c r="AZ268" s="5">
        <f t="shared" si="121"/>
        <v>0.63291139240506322</v>
      </c>
      <c r="BA268" s="5">
        <f t="shared" si="122"/>
        <v>0</v>
      </c>
      <c r="BB268" s="5">
        <f t="shared" si="123"/>
        <v>0</v>
      </c>
      <c r="BC268" s="5">
        <f t="shared" si="124"/>
        <v>0.63291139240506322</v>
      </c>
      <c r="BD268" s="6"/>
      <c r="BE268" s="6"/>
      <c r="BF268" s="59"/>
      <c r="BG268" s="6"/>
      <c r="BH268" s="5"/>
      <c r="BI268" s="5"/>
      <c r="BJ268" s="16" t="s">
        <v>462</v>
      </c>
    </row>
    <row r="269" spans="1:62">
      <c r="A269" s="2" t="s">
        <v>452</v>
      </c>
      <c r="B269" s="3" t="s">
        <v>85</v>
      </c>
      <c r="C269" s="3" t="s">
        <v>85</v>
      </c>
      <c r="D269" s="4">
        <v>29</v>
      </c>
      <c r="E269" s="4">
        <v>74</v>
      </c>
      <c r="F269" s="4">
        <v>2008</v>
      </c>
      <c r="G269" s="39">
        <v>73</v>
      </c>
      <c r="H269" s="28">
        <v>0</v>
      </c>
      <c r="I269" s="28">
        <v>0</v>
      </c>
      <c r="J269" s="5">
        <v>2016</v>
      </c>
      <c r="K269" s="5">
        <v>2022</v>
      </c>
      <c r="L269" s="5">
        <f>(K269-J269)</f>
        <v>6</v>
      </c>
      <c r="M269" s="5">
        <v>1</v>
      </c>
      <c r="N269" s="16" t="s">
        <v>638</v>
      </c>
      <c r="O269" s="5" t="s">
        <v>35</v>
      </c>
      <c r="P269" s="5">
        <v>0</v>
      </c>
      <c r="Q269" s="6"/>
      <c r="R269" s="5" t="s">
        <v>30</v>
      </c>
      <c r="S269" s="5" t="s">
        <v>463</v>
      </c>
      <c r="T269" s="6" t="s">
        <v>84</v>
      </c>
      <c r="U269" s="6">
        <v>0</v>
      </c>
      <c r="V269" s="25" t="s">
        <v>107</v>
      </c>
      <c r="W269" s="5">
        <v>3</v>
      </c>
      <c r="X269" s="7">
        <f t="shared" si="112"/>
        <v>12</v>
      </c>
      <c r="Y269" s="22">
        <f t="shared" si="113"/>
        <v>8</v>
      </c>
      <c r="Z269" s="15">
        <f t="shared" si="110"/>
        <v>4</v>
      </c>
      <c r="AA269" s="47">
        <v>1</v>
      </c>
      <c r="AB269" s="47">
        <v>0</v>
      </c>
      <c r="AC269" s="47">
        <v>1</v>
      </c>
      <c r="AD269" s="47">
        <v>2</v>
      </c>
      <c r="AE269" s="47">
        <v>0</v>
      </c>
      <c r="AF269" s="47">
        <v>1</v>
      </c>
      <c r="AG269" s="36">
        <f t="shared" si="108"/>
        <v>6</v>
      </c>
      <c r="AH269" s="36">
        <f t="shared" si="108"/>
        <v>0</v>
      </c>
      <c r="AI269" s="36">
        <f t="shared" si="108"/>
        <v>3</v>
      </c>
      <c r="AJ269" s="36">
        <f t="shared" si="108"/>
        <v>0</v>
      </c>
      <c r="AK269" s="36">
        <f t="shared" si="108"/>
        <v>0</v>
      </c>
      <c r="AL269" s="36">
        <f t="shared" si="108"/>
        <v>5</v>
      </c>
      <c r="AM269" s="45">
        <v>7</v>
      </c>
      <c r="AN269" s="45">
        <v>0</v>
      </c>
      <c r="AO269" s="45">
        <v>4</v>
      </c>
      <c r="AP269" s="45">
        <v>2</v>
      </c>
      <c r="AQ269" s="45">
        <v>0</v>
      </c>
      <c r="AR269" s="45">
        <v>6</v>
      </c>
      <c r="AS269" s="22">
        <f t="shared" si="114"/>
        <v>12</v>
      </c>
      <c r="AT269" s="22">
        <f t="shared" si="115"/>
        <v>1.3333333333333333</v>
      </c>
      <c r="AU269" s="5">
        <f t="shared" si="116"/>
        <v>3</v>
      </c>
      <c r="AV269" s="5">
        <f t="shared" si="117"/>
        <v>0.5</v>
      </c>
      <c r="AW269" s="5">
        <f t="shared" si="118"/>
        <v>3</v>
      </c>
      <c r="AX269" s="5">
        <f t="shared" si="119"/>
        <v>1</v>
      </c>
      <c r="AY269" s="5">
        <f t="shared" si="120"/>
        <v>0</v>
      </c>
      <c r="AZ269" s="5">
        <f t="shared" si="121"/>
        <v>0.5</v>
      </c>
      <c r="BA269" s="5">
        <f t="shared" si="122"/>
        <v>0</v>
      </c>
      <c r="BB269" s="5">
        <f t="shared" si="123"/>
        <v>0</v>
      </c>
      <c r="BC269" s="5">
        <f t="shared" si="124"/>
        <v>0.83333333333333337</v>
      </c>
      <c r="BD269" s="6">
        <v>1</v>
      </c>
      <c r="BE269" s="6"/>
      <c r="BF269" s="59">
        <v>1</v>
      </c>
      <c r="BG269" s="6" t="s">
        <v>619</v>
      </c>
      <c r="BH269" s="5"/>
      <c r="BI269" s="5"/>
      <c r="BJ269" s="16" t="s">
        <v>638</v>
      </c>
    </row>
    <row r="270" spans="1:62">
      <c r="A270" s="2" t="s">
        <v>464</v>
      </c>
      <c r="B270" s="3" t="s">
        <v>85</v>
      </c>
      <c r="C270" s="3" t="s">
        <v>33</v>
      </c>
      <c r="D270" s="4">
        <v>29</v>
      </c>
      <c r="E270" s="4">
        <v>74</v>
      </c>
      <c r="F270" s="4">
        <v>2019</v>
      </c>
      <c r="G270" s="39">
        <v>38</v>
      </c>
      <c r="H270" s="28">
        <v>0</v>
      </c>
      <c r="I270" s="28">
        <v>1</v>
      </c>
      <c r="J270" s="5">
        <v>2021</v>
      </c>
      <c r="K270" s="5">
        <v>2024</v>
      </c>
      <c r="L270" s="5">
        <f>(K270-J270)-0.42</f>
        <v>2.58</v>
      </c>
      <c r="M270" s="5">
        <v>0</v>
      </c>
      <c r="N270" s="16" t="s">
        <v>465</v>
      </c>
      <c r="O270" s="5" t="s">
        <v>35</v>
      </c>
      <c r="P270" s="5">
        <v>0</v>
      </c>
      <c r="Q270" s="6"/>
      <c r="R270" s="5" t="s">
        <v>225</v>
      </c>
      <c r="S270" s="5" t="s">
        <v>620</v>
      </c>
      <c r="T270" s="6" t="s">
        <v>84</v>
      </c>
      <c r="U270" s="6">
        <v>0</v>
      </c>
      <c r="V270" s="25">
        <v>63</v>
      </c>
      <c r="W270" s="5">
        <v>6</v>
      </c>
      <c r="X270" s="7">
        <f t="shared" si="112"/>
        <v>13</v>
      </c>
      <c r="Y270" s="22">
        <f t="shared" si="113"/>
        <v>10</v>
      </c>
      <c r="Z270" s="15">
        <f t="shared" si="110"/>
        <v>3</v>
      </c>
      <c r="AA270" s="19">
        <v>0</v>
      </c>
      <c r="AB270" s="19">
        <v>0</v>
      </c>
      <c r="AC270" s="19">
        <v>3</v>
      </c>
      <c r="AD270" s="19">
        <v>0</v>
      </c>
      <c r="AE270" s="19">
        <v>0</v>
      </c>
      <c r="AF270" s="19">
        <v>0</v>
      </c>
      <c r="AG270" s="36">
        <f t="shared" si="108"/>
        <v>0</v>
      </c>
      <c r="AH270" s="36">
        <f t="shared" si="108"/>
        <v>1</v>
      </c>
      <c r="AI270" s="36">
        <f t="shared" si="108"/>
        <v>9</v>
      </c>
      <c r="AJ270" s="36">
        <f t="shared" si="108"/>
        <v>0</v>
      </c>
      <c r="AK270" s="36">
        <f t="shared" si="108"/>
        <v>0</v>
      </c>
      <c r="AL270" s="36">
        <f t="shared" si="108"/>
        <v>0</v>
      </c>
      <c r="AM270" s="7">
        <v>0</v>
      </c>
      <c r="AN270" s="7">
        <v>1</v>
      </c>
      <c r="AO270" s="7">
        <v>12</v>
      </c>
      <c r="AP270" s="7">
        <v>0</v>
      </c>
      <c r="AQ270" s="7">
        <v>0</v>
      </c>
      <c r="AR270" s="7">
        <v>0</v>
      </c>
      <c r="AS270" s="22">
        <f t="shared" si="114"/>
        <v>13</v>
      </c>
      <c r="AT270" s="22">
        <f t="shared" si="115"/>
        <v>3.8759689922480618</v>
      </c>
      <c r="AU270" s="5">
        <f t="shared" si="116"/>
        <v>10</v>
      </c>
      <c r="AV270" s="5">
        <f t="shared" si="117"/>
        <v>3.8759689922480618</v>
      </c>
      <c r="AW270" s="5">
        <f t="shared" si="118"/>
        <v>3</v>
      </c>
      <c r="AX270" s="5">
        <f t="shared" si="119"/>
        <v>0</v>
      </c>
      <c r="AY270" s="5">
        <f t="shared" si="120"/>
        <v>0.38759689922480617</v>
      </c>
      <c r="AZ270" s="5">
        <f t="shared" si="121"/>
        <v>3.4883720930232558</v>
      </c>
      <c r="BA270" s="5">
        <f t="shared" si="122"/>
        <v>0</v>
      </c>
      <c r="BB270" s="5">
        <f t="shared" si="123"/>
        <v>0</v>
      </c>
      <c r="BC270" s="5">
        <f t="shared" si="124"/>
        <v>0</v>
      </c>
      <c r="BD270" s="6"/>
      <c r="BE270" s="6"/>
      <c r="BF270" s="59"/>
      <c r="BG270" s="6"/>
      <c r="BH270" s="5"/>
      <c r="BI270" s="5"/>
      <c r="BJ270" s="16" t="s">
        <v>465</v>
      </c>
    </row>
    <row r="271" spans="1:62">
      <c r="A271" s="2" t="s">
        <v>464</v>
      </c>
      <c r="B271" s="3" t="s">
        <v>85</v>
      </c>
      <c r="C271" s="3" t="s">
        <v>33</v>
      </c>
      <c r="D271" s="4">
        <v>29</v>
      </c>
      <c r="E271" s="4">
        <v>74</v>
      </c>
      <c r="F271" s="4">
        <v>2019</v>
      </c>
      <c r="G271" s="39">
        <v>38</v>
      </c>
      <c r="H271" s="28">
        <v>0</v>
      </c>
      <c r="I271" s="28">
        <v>1</v>
      </c>
      <c r="J271" s="5">
        <v>2022</v>
      </c>
      <c r="K271" s="5">
        <v>2024</v>
      </c>
      <c r="L271" s="5">
        <f>(K271-J271)-0.42</f>
        <v>1.58</v>
      </c>
      <c r="M271" s="5">
        <v>0</v>
      </c>
      <c r="N271" s="5" t="s">
        <v>466</v>
      </c>
      <c r="O271" s="5" t="s">
        <v>28</v>
      </c>
      <c r="P271" s="5">
        <v>0</v>
      </c>
      <c r="Q271" s="6"/>
      <c r="R271" s="5" t="s">
        <v>30</v>
      </c>
      <c r="S271" s="5" t="s">
        <v>215</v>
      </c>
      <c r="T271" s="6" t="s">
        <v>37</v>
      </c>
      <c r="U271" s="6">
        <v>0</v>
      </c>
      <c r="V271" s="25">
        <v>32</v>
      </c>
      <c r="W271" s="5">
        <v>5</v>
      </c>
      <c r="X271" s="7">
        <f t="shared" si="112"/>
        <v>11</v>
      </c>
      <c r="Y271" s="22">
        <f t="shared" si="113"/>
        <v>3</v>
      </c>
      <c r="Z271" s="15">
        <f t="shared" si="110"/>
        <v>8</v>
      </c>
      <c r="AA271" s="19">
        <v>1</v>
      </c>
      <c r="AB271" s="19">
        <v>2</v>
      </c>
      <c r="AC271" s="19">
        <v>3</v>
      </c>
      <c r="AD271" s="19">
        <v>0</v>
      </c>
      <c r="AE271" s="19">
        <v>3</v>
      </c>
      <c r="AF271" s="19">
        <v>0</v>
      </c>
      <c r="AG271" s="36">
        <f t="shared" si="108"/>
        <v>1</v>
      </c>
      <c r="AH271" s="36">
        <f t="shared" si="108"/>
        <v>0</v>
      </c>
      <c r="AI271" s="36">
        <f t="shared" si="108"/>
        <v>3</v>
      </c>
      <c r="AJ271" s="36">
        <f t="shared" si="108"/>
        <v>0</v>
      </c>
      <c r="AK271" s="36">
        <f t="shared" si="108"/>
        <v>0</v>
      </c>
      <c r="AL271" s="36">
        <f t="shared" si="108"/>
        <v>0</v>
      </c>
      <c r="AM271" s="7">
        <v>2</v>
      </c>
      <c r="AN271" s="7">
        <v>2</v>
      </c>
      <c r="AO271" s="7">
        <v>6</v>
      </c>
      <c r="AP271" s="7">
        <v>0</v>
      </c>
      <c r="AQ271" s="7">
        <v>3</v>
      </c>
      <c r="AR271" s="7">
        <v>0</v>
      </c>
      <c r="AS271" s="22">
        <f t="shared" si="114"/>
        <v>11</v>
      </c>
      <c r="AT271" s="22">
        <f t="shared" si="115"/>
        <v>1.8987341772151898</v>
      </c>
      <c r="AU271" s="5">
        <f t="shared" si="116"/>
        <v>3</v>
      </c>
      <c r="AV271" s="5">
        <f t="shared" si="117"/>
        <v>1.8987341772151898</v>
      </c>
      <c r="AW271" s="5">
        <f t="shared" si="118"/>
        <v>8</v>
      </c>
      <c r="AX271" s="5">
        <f t="shared" si="119"/>
        <v>0.63291139240506322</v>
      </c>
      <c r="AY271" s="5">
        <f t="shared" si="120"/>
        <v>0</v>
      </c>
      <c r="AZ271" s="5">
        <f t="shared" si="121"/>
        <v>1.8987341772151898</v>
      </c>
      <c r="BA271" s="5">
        <f t="shared" si="122"/>
        <v>0</v>
      </c>
      <c r="BB271" s="5">
        <f t="shared" si="123"/>
        <v>0</v>
      </c>
      <c r="BC271" s="5">
        <f t="shared" si="124"/>
        <v>0</v>
      </c>
      <c r="BD271" s="6"/>
      <c r="BE271" s="6"/>
      <c r="BF271" s="59"/>
      <c r="BG271" s="6"/>
      <c r="BH271" s="5"/>
      <c r="BI271" s="5"/>
      <c r="BJ271" s="5" t="s">
        <v>466</v>
      </c>
    </row>
    <row r="272" spans="1:62">
      <c r="A272" s="23" t="s">
        <v>467</v>
      </c>
      <c r="B272" s="3" t="s">
        <v>33</v>
      </c>
      <c r="C272" s="3" t="s">
        <v>33</v>
      </c>
      <c r="D272" s="4">
        <v>71</v>
      </c>
      <c r="E272" s="4">
        <v>74</v>
      </c>
      <c r="F272" s="4">
        <v>2011</v>
      </c>
      <c r="G272" s="39">
        <v>46</v>
      </c>
      <c r="H272" s="28">
        <v>1</v>
      </c>
      <c r="I272" s="28">
        <v>1</v>
      </c>
      <c r="J272" s="6">
        <v>2015</v>
      </c>
      <c r="K272" s="5">
        <v>2023</v>
      </c>
      <c r="L272" s="5">
        <f>(K272-J272)</f>
        <v>8</v>
      </c>
      <c r="M272" s="5">
        <v>1</v>
      </c>
      <c r="N272" s="6" t="s">
        <v>468</v>
      </c>
      <c r="O272" s="6" t="s">
        <v>35</v>
      </c>
      <c r="P272" s="6">
        <v>0</v>
      </c>
      <c r="Q272" s="6"/>
      <c r="R272" s="6" t="s">
        <v>30</v>
      </c>
      <c r="S272" s="6" t="s">
        <v>271</v>
      </c>
      <c r="T272" s="6" t="s">
        <v>218</v>
      </c>
      <c r="U272" s="6">
        <v>0</v>
      </c>
      <c r="V272" s="25">
        <v>10</v>
      </c>
      <c r="W272" s="6">
        <v>10</v>
      </c>
      <c r="X272" s="7">
        <f t="shared" si="112"/>
        <v>46</v>
      </c>
      <c r="Y272" s="22">
        <f t="shared" si="113"/>
        <v>43</v>
      </c>
      <c r="Z272" s="15">
        <f t="shared" si="110"/>
        <v>3</v>
      </c>
      <c r="AA272" s="19">
        <v>0</v>
      </c>
      <c r="AB272" s="19">
        <v>0</v>
      </c>
      <c r="AC272" s="19">
        <v>0</v>
      </c>
      <c r="AD272" s="19">
        <v>1</v>
      </c>
      <c r="AE272" s="19">
        <v>1</v>
      </c>
      <c r="AF272" s="19">
        <v>1</v>
      </c>
      <c r="AG272" s="36">
        <f t="shared" si="108"/>
        <v>21</v>
      </c>
      <c r="AH272" s="36">
        <f t="shared" si="108"/>
        <v>2</v>
      </c>
      <c r="AI272" s="36">
        <f t="shared" si="108"/>
        <v>26</v>
      </c>
      <c r="AJ272" s="36">
        <f t="shared" si="108"/>
        <v>2</v>
      </c>
      <c r="AK272" s="36">
        <f t="shared" si="108"/>
        <v>2</v>
      </c>
      <c r="AL272" s="36">
        <f t="shared" si="108"/>
        <v>11</v>
      </c>
      <c r="AM272" s="7">
        <v>21</v>
      </c>
      <c r="AN272" s="7">
        <v>2</v>
      </c>
      <c r="AO272" s="7">
        <v>26</v>
      </c>
      <c r="AP272" s="7">
        <v>3</v>
      </c>
      <c r="AQ272" s="7">
        <v>3</v>
      </c>
      <c r="AR272" s="7">
        <v>12</v>
      </c>
      <c r="AS272" s="22">
        <f t="shared" si="114"/>
        <v>46</v>
      </c>
      <c r="AT272" s="22">
        <f t="shared" si="115"/>
        <v>5.375</v>
      </c>
      <c r="AU272" s="5">
        <f t="shared" si="116"/>
        <v>32</v>
      </c>
      <c r="AV272" s="5">
        <f t="shared" si="117"/>
        <v>4</v>
      </c>
      <c r="AW272" s="5">
        <f t="shared" si="118"/>
        <v>2</v>
      </c>
      <c r="AX272" s="5">
        <f t="shared" si="119"/>
        <v>2.625</v>
      </c>
      <c r="AY272" s="5">
        <f t="shared" si="120"/>
        <v>0.25</v>
      </c>
      <c r="AZ272" s="5">
        <f t="shared" si="121"/>
        <v>3.25</v>
      </c>
      <c r="BA272" s="5">
        <f t="shared" si="122"/>
        <v>0.25</v>
      </c>
      <c r="BB272" s="5">
        <f t="shared" si="123"/>
        <v>0.25</v>
      </c>
      <c r="BC272" s="5">
        <f t="shared" si="124"/>
        <v>1.375</v>
      </c>
      <c r="BD272" s="6"/>
      <c r="BE272" s="6"/>
      <c r="BF272" s="59">
        <v>1</v>
      </c>
      <c r="BG272" s="6" t="s">
        <v>469</v>
      </c>
      <c r="BH272" s="6"/>
      <c r="BI272" s="6"/>
      <c r="BJ272" s="6" t="s">
        <v>468</v>
      </c>
    </row>
    <row r="273" spans="1:62">
      <c r="A273" s="2" t="s">
        <v>467</v>
      </c>
      <c r="B273" s="3" t="s">
        <v>33</v>
      </c>
      <c r="C273" s="3" t="s">
        <v>33</v>
      </c>
      <c r="D273" s="4">
        <v>71</v>
      </c>
      <c r="E273" s="4">
        <v>74</v>
      </c>
      <c r="F273" s="4">
        <v>2011</v>
      </c>
      <c r="G273" s="39">
        <v>46</v>
      </c>
      <c r="H273" s="28">
        <v>1</v>
      </c>
      <c r="I273" s="28">
        <v>1</v>
      </c>
      <c r="J273" s="5">
        <v>2016</v>
      </c>
      <c r="K273" s="5">
        <v>2024</v>
      </c>
      <c r="L273" s="5">
        <f t="shared" ref="L273:L279" si="125">(K273-J273)-0.42</f>
        <v>7.58</v>
      </c>
      <c r="M273" s="5">
        <v>0</v>
      </c>
      <c r="N273" s="5" t="s">
        <v>470</v>
      </c>
      <c r="O273" s="5" t="s">
        <v>35</v>
      </c>
      <c r="P273" s="5">
        <v>0</v>
      </c>
      <c r="Q273" s="6"/>
      <c r="R273" s="5" t="s">
        <v>39</v>
      </c>
      <c r="S273" s="5" t="s">
        <v>471</v>
      </c>
      <c r="T273" s="6" t="s">
        <v>37</v>
      </c>
      <c r="U273" s="6">
        <v>0</v>
      </c>
      <c r="V273" s="25">
        <v>23</v>
      </c>
      <c r="W273" s="5">
        <v>3</v>
      </c>
      <c r="X273" s="7">
        <f t="shared" si="112"/>
        <v>8</v>
      </c>
      <c r="Y273" s="22">
        <f t="shared" si="113"/>
        <v>8</v>
      </c>
      <c r="Z273" s="15">
        <f t="shared" si="110"/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36">
        <f t="shared" si="108"/>
        <v>2</v>
      </c>
      <c r="AH273" s="36">
        <f t="shared" si="108"/>
        <v>3</v>
      </c>
      <c r="AI273" s="36">
        <f t="shared" si="108"/>
        <v>4</v>
      </c>
      <c r="AJ273" s="36">
        <f t="shared" si="108"/>
        <v>0</v>
      </c>
      <c r="AK273" s="36">
        <f t="shared" si="108"/>
        <v>0</v>
      </c>
      <c r="AL273" s="36">
        <f t="shared" si="108"/>
        <v>1</v>
      </c>
      <c r="AM273" s="7">
        <v>2</v>
      </c>
      <c r="AN273" s="7">
        <v>3</v>
      </c>
      <c r="AO273" s="7">
        <v>4</v>
      </c>
      <c r="AP273" s="7">
        <v>0</v>
      </c>
      <c r="AQ273" s="7">
        <v>0</v>
      </c>
      <c r="AR273" s="7">
        <v>1</v>
      </c>
      <c r="AS273" s="22">
        <f t="shared" si="114"/>
        <v>8</v>
      </c>
      <c r="AT273" s="22">
        <f t="shared" si="115"/>
        <v>1.0554089709762533</v>
      </c>
      <c r="AU273" s="5">
        <f t="shared" si="116"/>
        <v>7</v>
      </c>
      <c r="AV273" s="5">
        <f t="shared" si="117"/>
        <v>0.92348284960422167</v>
      </c>
      <c r="AW273" s="5">
        <f t="shared" si="118"/>
        <v>0</v>
      </c>
      <c r="AX273" s="5">
        <f t="shared" si="119"/>
        <v>0.26385224274406333</v>
      </c>
      <c r="AY273" s="5">
        <f t="shared" si="120"/>
        <v>0.39577836411609496</v>
      </c>
      <c r="AZ273" s="5">
        <f t="shared" si="121"/>
        <v>0.52770448548812665</v>
      </c>
      <c r="BA273" s="5">
        <f t="shared" si="122"/>
        <v>0</v>
      </c>
      <c r="BB273" s="5">
        <f t="shared" si="123"/>
        <v>0</v>
      </c>
      <c r="BC273" s="5">
        <f t="shared" si="124"/>
        <v>0.13192612137203166</v>
      </c>
      <c r="BD273" s="6"/>
      <c r="BE273" s="6"/>
      <c r="BF273" s="59"/>
      <c r="BG273" s="6"/>
      <c r="BH273" s="5"/>
      <c r="BI273" s="5"/>
      <c r="BJ273" s="5" t="s">
        <v>470</v>
      </c>
    </row>
    <row r="274" spans="1:62">
      <c r="A274" s="2" t="s">
        <v>467</v>
      </c>
      <c r="B274" s="3" t="s">
        <v>33</v>
      </c>
      <c r="C274" s="3" t="s">
        <v>33</v>
      </c>
      <c r="D274" s="4">
        <v>71</v>
      </c>
      <c r="E274" s="4">
        <v>74</v>
      </c>
      <c r="F274" s="4">
        <v>2011</v>
      </c>
      <c r="G274" s="39">
        <v>46</v>
      </c>
      <c r="H274" s="28">
        <v>1</v>
      </c>
      <c r="I274" s="28">
        <v>1</v>
      </c>
      <c r="J274" s="5">
        <v>2017</v>
      </c>
      <c r="K274" s="5">
        <v>2024</v>
      </c>
      <c r="L274" s="5">
        <f t="shared" si="125"/>
        <v>6.58</v>
      </c>
      <c r="M274" s="5">
        <v>0</v>
      </c>
      <c r="N274" s="5" t="s">
        <v>472</v>
      </c>
      <c r="O274" s="5" t="s">
        <v>35</v>
      </c>
      <c r="P274" s="5">
        <v>0</v>
      </c>
      <c r="Q274" s="6"/>
      <c r="R274" s="5" t="s">
        <v>39</v>
      </c>
      <c r="S274" s="5" t="s">
        <v>473</v>
      </c>
      <c r="T274" s="6" t="s">
        <v>84</v>
      </c>
      <c r="U274" s="6">
        <v>0</v>
      </c>
      <c r="V274" s="25">
        <v>104</v>
      </c>
      <c r="W274" s="5">
        <v>2</v>
      </c>
      <c r="X274" s="7">
        <f t="shared" si="112"/>
        <v>10</v>
      </c>
      <c r="Y274" s="22">
        <f t="shared" si="113"/>
        <v>10</v>
      </c>
      <c r="Z274" s="15">
        <f t="shared" si="110"/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36">
        <f t="shared" si="108"/>
        <v>3</v>
      </c>
      <c r="AH274" s="36">
        <f t="shared" si="108"/>
        <v>2</v>
      </c>
      <c r="AI274" s="36">
        <f t="shared" si="108"/>
        <v>6</v>
      </c>
      <c r="AJ274" s="36">
        <f t="shared" si="108"/>
        <v>0</v>
      </c>
      <c r="AK274" s="36">
        <f t="shared" si="108"/>
        <v>0</v>
      </c>
      <c r="AL274" s="36">
        <f t="shared" si="108"/>
        <v>2</v>
      </c>
      <c r="AM274" s="7">
        <v>3</v>
      </c>
      <c r="AN274" s="7">
        <v>2</v>
      </c>
      <c r="AO274" s="7">
        <v>6</v>
      </c>
      <c r="AP274" s="7">
        <v>0</v>
      </c>
      <c r="AQ274" s="7">
        <v>0</v>
      </c>
      <c r="AR274" s="7">
        <v>2</v>
      </c>
      <c r="AS274" s="22">
        <f t="shared" si="114"/>
        <v>10</v>
      </c>
      <c r="AT274" s="22">
        <f t="shared" si="115"/>
        <v>1.519756838905775</v>
      </c>
      <c r="AU274" s="5">
        <f t="shared" si="116"/>
        <v>8</v>
      </c>
      <c r="AV274" s="5">
        <f t="shared" si="117"/>
        <v>1.21580547112462</v>
      </c>
      <c r="AW274" s="5">
        <f t="shared" si="118"/>
        <v>0</v>
      </c>
      <c r="AX274" s="5">
        <f t="shared" si="119"/>
        <v>0.45592705167173253</v>
      </c>
      <c r="AY274" s="5">
        <f t="shared" si="120"/>
        <v>0.303951367781155</v>
      </c>
      <c r="AZ274" s="5">
        <f t="shared" si="121"/>
        <v>0.91185410334346506</v>
      </c>
      <c r="BA274" s="5">
        <f t="shared" si="122"/>
        <v>0</v>
      </c>
      <c r="BB274" s="5">
        <f t="shared" si="123"/>
        <v>0</v>
      </c>
      <c r="BC274" s="5">
        <f t="shared" si="124"/>
        <v>0.303951367781155</v>
      </c>
      <c r="BD274" s="6"/>
      <c r="BE274" s="6"/>
      <c r="BF274" s="59"/>
      <c r="BG274" s="6"/>
      <c r="BH274" s="5"/>
      <c r="BI274" s="5"/>
      <c r="BJ274" s="5" t="s">
        <v>472</v>
      </c>
    </row>
    <row r="275" spans="1:62">
      <c r="A275" s="2" t="s">
        <v>467</v>
      </c>
      <c r="B275" s="3" t="s">
        <v>33</v>
      </c>
      <c r="C275" s="3" t="s">
        <v>33</v>
      </c>
      <c r="D275" s="4">
        <v>71</v>
      </c>
      <c r="E275" s="4">
        <v>74</v>
      </c>
      <c r="F275" s="4">
        <v>2011</v>
      </c>
      <c r="G275" s="39">
        <v>46</v>
      </c>
      <c r="H275" s="28">
        <v>1</v>
      </c>
      <c r="I275" s="28">
        <v>1</v>
      </c>
      <c r="J275" s="5">
        <v>2018</v>
      </c>
      <c r="K275" s="5">
        <v>2024</v>
      </c>
      <c r="L275" s="5">
        <f t="shared" si="125"/>
        <v>5.58</v>
      </c>
      <c r="M275" s="5">
        <v>0</v>
      </c>
      <c r="N275" s="5" t="s">
        <v>474</v>
      </c>
      <c r="O275" s="5" t="s">
        <v>35</v>
      </c>
      <c r="P275" s="5">
        <v>0</v>
      </c>
      <c r="Q275" s="6"/>
      <c r="R275" s="5" t="s">
        <v>39</v>
      </c>
      <c r="S275" s="5" t="s">
        <v>475</v>
      </c>
      <c r="T275" s="6" t="s">
        <v>84</v>
      </c>
      <c r="U275" s="6">
        <v>0</v>
      </c>
      <c r="V275" s="25">
        <v>101</v>
      </c>
      <c r="W275" s="5">
        <v>4</v>
      </c>
      <c r="X275" s="7">
        <f t="shared" si="112"/>
        <v>28</v>
      </c>
      <c r="Y275" s="22">
        <f t="shared" si="113"/>
        <v>28</v>
      </c>
      <c r="Z275" s="15">
        <f t="shared" si="110"/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36">
        <f t="shared" si="108"/>
        <v>13</v>
      </c>
      <c r="AH275" s="36">
        <f t="shared" si="108"/>
        <v>2</v>
      </c>
      <c r="AI275" s="36">
        <f t="shared" si="108"/>
        <v>14</v>
      </c>
      <c r="AJ275" s="36">
        <f t="shared" si="108"/>
        <v>0</v>
      </c>
      <c r="AK275" s="36">
        <f t="shared" si="108"/>
        <v>2</v>
      </c>
      <c r="AL275" s="36">
        <f t="shared" si="108"/>
        <v>10</v>
      </c>
      <c r="AM275" s="7">
        <v>13</v>
      </c>
      <c r="AN275" s="7">
        <v>2</v>
      </c>
      <c r="AO275" s="7">
        <v>14</v>
      </c>
      <c r="AP275" s="7">
        <v>0</v>
      </c>
      <c r="AQ275" s="7">
        <v>2</v>
      </c>
      <c r="AR275" s="7">
        <v>10</v>
      </c>
      <c r="AS275" s="22">
        <f t="shared" si="114"/>
        <v>28</v>
      </c>
      <c r="AT275" s="22">
        <f t="shared" si="115"/>
        <v>5.0179211469534053</v>
      </c>
      <c r="AU275" s="5">
        <f t="shared" si="116"/>
        <v>18</v>
      </c>
      <c r="AV275" s="5">
        <f t="shared" si="117"/>
        <v>3.225806451612903</v>
      </c>
      <c r="AW275" s="5">
        <f t="shared" si="118"/>
        <v>0</v>
      </c>
      <c r="AX275" s="5">
        <f t="shared" si="119"/>
        <v>2.3297491039426523</v>
      </c>
      <c r="AY275" s="5">
        <f t="shared" si="120"/>
        <v>0.35842293906810035</v>
      </c>
      <c r="AZ275" s="5">
        <f t="shared" si="121"/>
        <v>2.5089605734767026</v>
      </c>
      <c r="BA275" s="5">
        <f t="shared" si="122"/>
        <v>0</v>
      </c>
      <c r="BB275" s="5">
        <f t="shared" si="123"/>
        <v>0.35842293906810035</v>
      </c>
      <c r="BC275" s="5">
        <f t="shared" si="124"/>
        <v>1.7921146953405018</v>
      </c>
      <c r="BD275" s="6"/>
      <c r="BE275" s="6"/>
      <c r="BF275" s="59"/>
      <c r="BG275" s="6"/>
      <c r="BH275" s="5"/>
      <c r="BI275" s="5"/>
      <c r="BJ275" s="5" t="s">
        <v>474</v>
      </c>
    </row>
    <row r="276" spans="1:62">
      <c r="A276" s="2" t="s">
        <v>467</v>
      </c>
      <c r="B276" s="3" t="s">
        <v>33</v>
      </c>
      <c r="C276" s="3" t="s">
        <v>33</v>
      </c>
      <c r="D276" s="4">
        <v>71</v>
      </c>
      <c r="E276" s="4">
        <v>74</v>
      </c>
      <c r="F276" s="4">
        <v>2011</v>
      </c>
      <c r="G276" s="39">
        <v>46</v>
      </c>
      <c r="H276" s="28">
        <v>1</v>
      </c>
      <c r="I276" s="28">
        <v>1</v>
      </c>
      <c r="J276" s="5">
        <v>2019</v>
      </c>
      <c r="K276" s="5">
        <v>2024</v>
      </c>
      <c r="L276" s="5">
        <f t="shared" si="125"/>
        <v>4.58</v>
      </c>
      <c r="M276" s="5">
        <v>0</v>
      </c>
      <c r="N276" s="5" t="s">
        <v>476</v>
      </c>
      <c r="O276" s="5" t="s">
        <v>35</v>
      </c>
      <c r="P276" s="5">
        <v>0</v>
      </c>
      <c r="Q276" s="6"/>
      <c r="R276" s="5" t="s">
        <v>39</v>
      </c>
      <c r="S276" s="5" t="s">
        <v>343</v>
      </c>
      <c r="T276" s="6" t="s">
        <v>218</v>
      </c>
      <c r="U276" s="6">
        <v>0</v>
      </c>
      <c r="V276" s="25">
        <v>13</v>
      </c>
      <c r="W276" s="5">
        <v>8</v>
      </c>
      <c r="X276" s="7">
        <f t="shared" si="112"/>
        <v>54</v>
      </c>
      <c r="Y276" s="22">
        <f t="shared" si="113"/>
        <v>48</v>
      </c>
      <c r="Z276" s="15">
        <f t="shared" si="110"/>
        <v>6</v>
      </c>
      <c r="AA276" s="19">
        <v>2</v>
      </c>
      <c r="AB276" s="19">
        <v>1</v>
      </c>
      <c r="AC276" s="19">
        <v>5</v>
      </c>
      <c r="AD276" s="19">
        <v>0</v>
      </c>
      <c r="AE276" s="19">
        <v>0</v>
      </c>
      <c r="AF276" s="19">
        <v>0</v>
      </c>
      <c r="AG276" s="36">
        <f t="shared" si="108"/>
        <v>18</v>
      </c>
      <c r="AH276" s="36">
        <f t="shared" si="108"/>
        <v>1</v>
      </c>
      <c r="AI276" s="36">
        <f t="shared" si="108"/>
        <v>35</v>
      </c>
      <c r="AJ276" s="36">
        <f t="shared" si="108"/>
        <v>0</v>
      </c>
      <c r="AK276" s="36">
        <f t="shared" si="108"/>
        <v>2</v>
      </c>
      <c r="AL276" s="36">
        <f t="shared" si="108"/>
        <v>10</v>
      </c>
      <c r="AM276" s="7">
        <v>20</v>
      </c>
      <c r="AN276" s="7">
        <v>2</v>
      </c>
      <c r="AO276" s="7">
        <v>40</v>
      </c>
      <c r="AP276" s="7">
        <v>0</v>
      </c>
      <c r="AQ276" s="7">
        <v>2</v>
      </c>
      <c r="AR276" s="7">
        <v>10</v>
      </c>
      <c r="AS276" s="22">
        <f t="shared" si="114"/>
        <v>54</v>
      </c>
      <c r="AT276" s="22">
        <f t="shared" si="115"/>
        <v>10.480349344978166</v>
      </c>
      <c r="AU276" s="5">
        <f t="shared" si="116"/>
        <v>38</v>
      </c>
      <c r="AV276" s="5">
        <f t="shared" si="117"/>
        <v>8.2969432314410483</v>
      </c>
      <c r="AW276" s="5">
        <f t="shared" si="118"/>
        <v>6</v>
      </c>
      <c r="AX276" s="5">
        <f t="shared" si="119"/>
        <v>3.9301310043668121</v>
      </c>
      <c r="AY276" s="5">
        <f t="shared" si="120"/>
        <v>0.2183406113537118</v>
      </c>
      <c r="AZ276" s="5">
        <f t="shared" si="121"/>
        <v>7.6419213973799129</v>
      </c>
      <c r="BA276" s="5">
        <f t="shared" si="122"/>
        <v>0</v>
      </c>
      <c r="BB276" s="5">
        <f t="shared" si="123"/>
        <v>0.4366812227074236</v>
      </c>
      <c r="BC276" s="5">
        <f t="shared" si="124"/>
        <v>2.1834061135371177</v>
      </c>
      <c r="BD276" s="6"/>
      <c r="BE276" s="6"/>
      <c r="BF276" s="59"/>
      <c r="BG276" s="6"/>
      <c r="BH276" s="5"/>
      <c r="BI276" s="5"/>
      <c r="BJ276" s="5" t="s">
        <v>476</v>
      </c>
    </row>
    <row r="277" spans="1:62">
      <c r="A277" s="2" t="s">
        <v>467</v>
      </c>
      <c r="B277" s="3" t="s">
        <v>33</v>
      </c>
      <c r="C277" s="3" t="s">
        <v>33</v>
      </c>
      <c r="D277" s="4">
        <v>71</v>
      </c>
      <c r="E277" s="4">
        <v>74</v>
      </c>
      <c r="F277" s="4">
        <v>2011</v>
      </c>
      <c r="G277" s="39">
        <v>46</v>
      </c>
      <c r="H277" s="28">
        <v>1</v>
      </c>
      <c r="I277" s="28">
        <v>1</v>
      </c>
      <c r="J277" s="5">
        <v>2020</v>
      </c>
      <c r="K277" s="5">
        <v>2024</v>
      </c>
      <c r="L277" s="5">
        <f t="shared" si="125"/>
        <v>3.58</v>
      </c>
      <c r="M277" s="5">
        <v>0</v>
      </c>
      <c r="N277" s="5" t="s">
        <v>477</v>
      </c>
      <c r="O277" s="5" t="s">
        <v>35</v>
      </c>
      <c r="P277" s="5">
        <v>0</v>
      </c>
      <c r="Q277" s="6"/>
      <c r="R277" s="5" t="s">
        <v>30</v>
      </c>
      <c r="S277" s="5" t="s">
        <v>475</v>
      </c>
      <c r="T277" s="6" t="s">
        <v>84</v>
      </c>
      <c r="U277" s="6">
        <v>0</v>
      </c>
      <c r="V277" s="25">
        <v>101</v>
      </c>
      <c r="W277" s="5">
        <v>1</v>
      </c>
      <c r="X277" s="7">
        <f t="shared" si="112"/>
        <v>10</v>
      </c>
      <c r="Y277" s="22">
        <f t="shared" si="113"/>
        <v>10</v>
      </c>
      <c r="Z277" s="15">
        <f t="shared" si="110"/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36">
        <f t="shared" si="108"/>
        <v>6</v>
      </c>
      <c r="AH277" s="36">
        <f t="shared" si="108"/>
        <v>0</v>
      </c>
      <c r="AI277" s="36">
        <f t="shared" si="108"/>
        <v>5</v>
      </c>
      <c r="AJ277" s="36">
        <f t="shared" si="108"/>
        <v>0</v>
      </c>
      <c r="AK277" s="36">
        <f t="shared" si="108"/>
        <v>0</v>
      </c>
      <c r="AL277" s="36">
        <f t="shared" si="108"/>
        <v>5</v>
      </c>
      <c r="AM277" s="7">
        <v>6</v>
      </c>
      <c r="AN277" s="7">
        <v>0</v>
      </c>
      <c r="AO277" s="7">
        <v>5</v>
      </c>
      <c r="AP277" s="7">
        <v>0</v>
      </c>
      <c r="AQ277" s="7">
        <v>0</v>
      </c>
      <c r="AR277" s="7">
        <v>5</v>
      </c>
      <c r="AS277" s="22">
        <f t="shared" si="114"/>
        <v>10</v>
      </c>
      <c r="AT277" s="22">
        <f t="shared" si="115"/>
        <v>2.7932960893854748</v>
      </c>
      <c r="AU277" s="5">
        <f t="shared" si="116"/>
        <v>5</v>
      </c>
      <c r="AV277" s="5">
        <f t="shared" si="117"/>
        <v>1.3966480446927374</v>
      </c>
      <c r="AW277" s="5">
        <f t="shared" si="118"/>
        <v>0</v>
      </c>
      <c r="AX277" s="5">
        <f t="shared" si="119"/>
        <v>1.6759776536312849</v>
      </c>
      <c r="AY277" s="5">
        <f t="shared" si="120"/>
        <v>0</v>
      </c>
      <c r="AZ277" s="5">
        <f t="shared" si="121"/>
        <v>1.3966480446927374</v>
      </c>
      <c r="BA277" s="5">
        <f t="shared" si="122"/>
        <v>0</v>
      </c>
      <c r="BB277" s="5">
        <f t="shared" si="123"/>
        <v>0</v>
      </c>
      <c r="BC277" s="5">
        <f t="shared" si="124"/>
        <v>1.3966480446927374</v>
      </c>
      <c r="BD277" s="6"/>
      <c r="BE277" s="6"/>
      <c r="BF277" s="59"/>
      <c r="BG277" s="6"/>
      <c r="BH277" s="5"/>
      <c r="BI277" s="5"/>
      <c r="BJ277" s="5" t="s">
        <v>477</v>
      </c>
    </row>
    <row r="278" spans="1:62">
      <c r="A278" s="2" t="s">
        <v>467</v>
      </c>
      <c r="B278" s="3" t="s">
        <v>33</v>
      </c>
      <c r="C278" s="3" t="s">
        <v>33</v>
      </c>
      <c r="D278" s="4">
        <v>71</v>
      </c>
      <c r="E278" s="4">
        <v>74</v>
      </c>
      <c r="F278" s="4">
        <v>2011</v>
      </c>
      <c r="G278" s="39">
        <v>46</v>
      </c>
      <c r="H278" s="28">
        <v>1</v>
      </c>
      <c r="I278" s="28">
        <v>1</v>
      </c>
      <c r="J278" s="5">
        <v>2021</v>
      </c>
      <c r="K278" s="5">
        <v>2024</v>
      </c>
      <c r="L278" s="5">
        <f t="shared" si="125"/>
        <v>2.58</v>
      </c>
      <c r="M278" s="5">
        <v>0</v>
      </c>
      <c r="N278" s="5" t="s">
        <v>478</v>
      </c>
      <c r="O278" s="5" t="s">
        <v>35</v>
      </c>
      <c r="P278" s="5">
        <v>0</v>
      </c>
      <c r="Q278" s="6"/>
      <c r="R278" s="5" t="s">
        <v>30</v>
      </c>
      <c r="S278" s="5" t="s">
        <v>651</v>
      </c>
      <c r="T278" s="6" t="s">
        <v>101</v>
      </c>
      <c r="U278" s="6">
        <v>0</v>
      </c>
      <c r="V278" s="25">
        <v>30</v>
      </c>
      <c r="W278" s="5">
        <v>4</v>
      </c>
      <c r="X278" s="7">
        <f t="shared" si="112"/>
        <v>10</v>
      </c>
      <c r="Y278" s="22">
        <f t="shared" si="113"/>
        <v>2</v>
      </c>
      <c r="Z278" s="15">
        <f t="shared" si="110"/>
        <v>8</v>
      </c>
      <c r="AA278" s="19">
        <v>0</v>
      </c>
      <c r="AB278" s="19">
        <v>0</v>
      </c>
      <c r="AC278" s="19">
        <v>5</v>
      </c>
      <c r="AD278" s="19">
        <v>0</v>
      </c>
      <c r="AE278" s="19">
        <v>3</v>
      </c>
      <c r="AF278" s="19">
        <v>0</v>
      </c>
      <c r="AG278" s="36">
        <f t="shared" si="108"/>
        <v>0</v>
      </c>
      <c r="AH278" s="36">
        <f t="shared" si="108"/>
        <v>0</v>
      </c>
      <c r="AI278" s="36">
        <f t="shared" si="108"/>
        <v>2</v>
      </c>
      <c r="AJ278" s="36">
        <f t="shared" si="108"/>
        <v>0</v>
      </c>
      <c r="AK278" s="36">
        <f t="shared" si="108"/>
        <v>0</v>
      </c>
      <c r="AL278" s="36">
        <f t="shared" si="108"/>
        <v>0</v>
      </c>
      <c r="AM278" s="7">
        <v>0</v>
      </c>
      <c r="AN278" s="7">
        <v>0</v>
      </c>
      <c r="AO278" s="7">
        <v>7</v>
      </c>
      <c r="AP278" s="7">
        <v>0</v>
      </c>
      <c r="AQ278" s="7">
        <v>3</v>
      </c>
      <c r="AR278" s="7">
        <v>0</v>
      </c>
      <c r="AS278" s="22">
        <f t="shared" si="114"/>
        <v>10</v>
      </c>
      <c r="AT278" s="22">
        <f t="shared" si="115"/>
        <v>0.77519379844961234</v>
      </c>
      <c r="AU278" s="5">
        <f t="shared" si="116"/>
        <v>2</v>
      </c>
      <c r="AV278" s="5">
        <f t="shared" si="117"/>
        <v>0.77519379844961234</v>
      </c>
      <c r="AW278" s="5">
        <f t="shared" si="118"/>
        <v>8</v>
      </c>
      <c r="AX278" s="5">
        <f t="shared" si="119"/>
        <v>0</v>
      </c>
      <c r="AY278" s="5">
        <f t="shared" si="120"/>
        <v>0</v>
      </c>
      <c r="AZ278" s="5">
        <f t="shared" si="121"/>
        <v>0.77519379844961234</v>
      </c>
      <c r="BA278" s="5">
        <f t="shared" si="122"/>
        <v>0</v>
      </c>
      <c r="BB278" s="5">
        <f t="shared" si="123"/>
        <v>0</v>
      </c>
      <c r="BC278" s="5">
        <f t="shared" si="124"/>
        <v>0</v>
      </c>
      <c r="BD278" s="6"/>
      <c r="BE278" s="6"/>
      <c r="BF278" s="59"/>
      <c r="BG278" s="6"/>
      <c r="BH278" s="5"/>
      <c r="BI278" s="5"/>
      <c r="BJ278" s="5" t="s">
        <v>478</v>
      </c>
    </row>
    <row r="279" spans="1:62">
      <c r="A279" s="2" t="s">
        <v>467</v>
      </c>
      <c r="B279" s="3" t="s">
        <v>33</v>
      </c>
      <c r="C279" s="3" t="s">
        <v>33</v>
      </c>
      <c r="D279" s="4">
        <v>71</v>
      </c>
      <c r="E279" s="4">
        <v>74</v>
      </c>
      <c r="F279" s="4">
        <v>2011</v>
      </c>
      <c r="G279" s="39">
        <v>46</v>
      </c>
      <c r="H279" s="28">
        <v>1</v>
      </c>
      <c r="I279" s="28">
        <v>1</v>
      </c>
      <c r="J279" s="5">
        <v>2022</v>
      </c>
      <c r="K279" s="5">
        <v>2024</v>
      </c>
      <c r="L279" s="5">
        <f t="shared" si="125"/>
        <v>1.58</v>
      </c>
      <c r="M279" s="5">
        <v>0</v>
      </c>
      <c r="N279" s="5" t="s">
        <v>479</v>
      </c>
      <c r="O279" s="5" t="s">
        <v>28</v>
      </c>
      <c r="P279" s="5">
        <v>0</v>
      </c>
      <c r="Q279" s="6"/>
      <c r="R279" s="5" t="s">
        <v>30</v>
      </c>
      <c r="S279" s="5" t="s">
        <v>480</v>
      </c>
      <c r="T279" s="6" t="s">
        <v>84</v>
      </c>
      <c r="U279" s="6">
        <v>0</v>
      </c>
      <c r="V279" s="25">
        <v>58</v>
      </c>
      <c r="W279" s="5">
        <v>2</v>
      </c>
      <c r="X279" s="7">
        <f t="shared" si="112"/>
        <v>10</v>
      </c>
      <c r="Y279" s="22">
        <f t="shared" si="113"/>
        <v>7</v>
      </c>
      <c r="Z279" s="15">
        <f t="shared" si="110"/>
        <v>3</v>
      </c>
      <c r="AA279" s="19">
        <v>1</v>
      </c>
      <c r="AB279" s="19">
        <v>0</v>
      </c>
      <c r="AC279" s="19">
        <v>2</v>
      </c>
      <c r="AD279" s="19">
        <v>0</v>
      </c>
      <c r="AE279" s="19">
        <v>1</v>
      </c>
      <c r="AF279" s="19">
        <v>0</v>
      </c>
      <c r="AG279" s="36">
        <f t="shared" si="108"/>
        <v>1</v>
      </c>
      <c r="AH279" s="36">
        <f t="shared" si="108"/>
        <v>0</v>
      </c>
      <c r="AI279" s="36">
        <f t="shared" si="108"/>
        <v>3</v>
      </c>
      <c r="AJ279" s="36">
        <f t="shared" si="108"/>
        <v>1</v>
      </c>
      <c r="AK279" s="36">
        <f t="shared" si="108"/>
        <v>1</v>
      </c>
      <c r="AL279" s="36">
        <f t="shared" si="108"/>
        <v>2</v>
      </c>
      <c r="AM279" s="7">
        <v>2</v>
      </c>
      <c r="AN279" s="7">
        <v>0</v>
      </c>
      <c r="AO279" s="7">
        <v>5</v>
      </c>
      <c r="AP279" s="7">
        <v>1</v>
      </c>
      <c r="AQ279" s="7">
        <v>2</v>
      </c>
      <c r="AR279" s="7">
        <v>2</v>
      </c>
      <c r="AS279" s="22">
        <f t="shared" si="114"/>
        <v>10</v>
      </c>
      <c r="AT279" s="22">
        <f t="shared" si="115"/>
        <v>4.4303797468354427</v>
      </c>
      <c r="AU279" s="5">
        <f t="shared" si="116"/>
        <v>5</v>
      </c>
      <c r="AV279" s="5">
        <f t="shared" si="117"/>
        <v>3.1645569620253164</v>
      </c>
      <c r="AW279" s="5">
        <f t="shared" si="118"/>
        <v>3</v>
      </c>
      <c r="AX279" s="5">
        <f t="shared" si="119"/>
        <v>0.63291139240506322</v>
      </c>
      <c r="AY279" s="5">
        <f t="shared" si="120"/>
        <v>0</v>
      </c>
      <c r="AZ279" s="5">
        <f t="shared" si="121"/>
        <v>1.8987341772151898</v>
      </c>
      <c r="BA279" s="5">
        <f t="shared" si="122"/>
        <v>0.63291139240506322</v>
      </c>
      <c r="BB279" s="5">
        <f t="shared" si="123"/>
        <v>0.63291139240506322</v>
      </c>
      <c r="BC279" s="5">
        <f t="shared" si="124"/>
        <v>1.2658227848101264</v>
      </c>
      <c r="BD279" s="6"/>
      <c r="BE279" s="6"/>
      <c r="BF279" s="59"/>
      <c r="BG279" s="6"/>
      <c r="BH279" s="5"/>
      <c r="BI279" s="5"/>
      <c r="BJ279" s="5" t="s">
        <v>479</v>
      </c>
    </row>
    <row r="280" spans="1:62">
      <c r="A280" s="1" t="s">
        <v>481</v>
      </c>
      <c r="B280" s="3" t="s">
        <v>32</v>
      </c>
      <c r="C280" s="3" t="s">
        <v>32</v>
      </c>
      <c r="D280" s="6">
        <v>53</v>
      </c>
      <c r="E280" s="6">
        <v>74</v>
      </c>
      <c r="F280" s="6">
        <v>2011</v>
      </c>
      <c r="G280" s="39">
        <v>34</v>
      </c>
      <c r="H280" s="28">
        <v>0</v>
      </c>
      <c r="I280" s="28">
        <v>2</v>
      </c>
      <c r="J280" s="5">
        <v>2017</v>
      </c>
      <c r="K280" s="5">
        <v>2023</v>
      </c>
      <c r="L280" s="5">
        <f>(K280-J280)</f>
        <v>6</v>
      </c>
      <c r="M280" s="5">
        <v>1</v>
      </c>
      <c r="N280" s="24" t="s">
        <v>712</v>
      </c>
      <c r="O280" s="5" t="s">
        <v>28</v>
      </c>
      <c r="P280" s="5">
        <v>0</v>
      </c>
      <c r="Q280" s="6"/>
      <c r="R280" s="5" t="s">
        <v>30</v>
      </c>
      <c r="S280" s="5" t="s">
        <v>489</v>
      </c>
      <c r="T280" s="6" t="s">
        <v>218</v>
      </c>
      <c r="U280" s="6">
        <v>0</v>
      </c>
      <c r="V280" s="25">
        <v>13</v>
      </c>
      <c r="W280" s="5">
        <v>2</v>
      </c>
      <c r="X280" s="7">
        <f t="shared" si="112"/>
        <v>6</v>
      </c>
      <c r="Y280" s="22">
        <f t="shared" si="113"/>
        <v>5</v>
      </c>
      <c r="Z280" s="15">
        <f t="shared" si="110"/>
        <v>1</v>
      </c>
      <c r="AA280" s="19">
        <v>1</v>
      </c>
      <c r="AB280" s="19">
        <v>0</v>
      </c>
      <c r="AC280" s="19">
        <v>1</v>
      </c>
      <c r="AD280" s="19">
        <v>0</v>
      </c>
      <c r="AE280" s="19">
        <v>0</v>
      </c>
      <c r="AF280" s="19">
        <v>0</v>
      </c>
      <c r="AG280" s="36">
        <f t="shared" si="108"/>
        <v>0</v>
      </c>
      <c r="AH280" s="36">
        <f t="shared" si="108"/>
        <v>0</v>
      </c>
      <c r="AI280" s="36">
        <f t="shared" si="108"/>
        <v>3</v>
      </c>
      <c r="AJ280" s="36">
        <f t="shared" si="108"/>
        <v>1</v>
      </c>
      <c r="AK280" s="36">
        <f t="shared" si="108"/>
        <v>1</v>
      </c>
      <c r="AL280" s="36">
        <f t="shared" si="108"/>
        <v>0</v>
      </c>
      <c r="AM280" s="7">
        <v>1</v>
      </c>
      <c r="AN280" s="7">
        <v>0</v>
      </c>
      <c r="AO280" s="7">
        <v>4</v>
      </c>
      <c r="AP280" s="7">
        <v>1</v>
      </c>
      <c r="AQ280" s="7">
        <v>1</v>
      </c>
      <c r="AR280" s="7">
        <v>0</v>
      </c>
      <c r="AS280" s="22">
        <f t="shared" si="114"/>
        <v>6</v>
      </c>
      <c r="AT280" s="22">
        <f t="shared" si="115"/>
        <v>0.83333333333333337</v>
      </c>
      <c r="AU280" s="5">
        <f t="shared" si="116"/>
        <v>5</v>
      </c>
      <c r="AV280" s="5">
        <f t="shared" si="117"/>
        <v>0.83333333333333337</v>
      </c>
      <c r="AW280" s="5">
        <f t="shared" si="118"/>
        <v>1</v>
      </c>
      <c r="AX280" s="5">
        <f t="shared" si="119"/>
        <v>0</v>
      </c>
      <c r="AY280" s="5">
        <f t="shared" si="120"/>
        <v>0</v>
      </c>
      <c r="AZ280" s="5">
        <f t="shared" si="121"/>
        <v>0.5</v>
      </c>
      <c r="BA280" s="5">
        <f t="shared" si="122"/>
        <v>0.16666666666666666</v>
      </c>
      <c r="BB280" s="5">
        <f t="shared" si="123"/>
        <v>0.16666666666666666</v>
      </c>
      <c r="BC280" s="5">
        <f t="shared" si="124"/>
        <v>0</v>
      </c>
      <c r="BD280" s="6">
        <v>0</v>
      </c>
      <c r="BE280" s="6"/>
      <c r="BF280" s="59">
        <v>1</v>
      </c>
      <c r="BG280" s="6" t="s">
        <v>731</v>
      </c>
      <c r="BH280" s="5"/>
      <c r="BI280" s="5"/>
      <c r="BJ280" s="24" t="s">
        <v>712</v>
      </c>
    </row>
    <row r="281" spans="1:62">
      <c r="A281" s="1" t="s">
        <v>481</v>
      </c>
      <c r="B281" s="3" t="s">
        <v>32</v>
      </c>
      <c r="C281" s="3" t="s">
        <v>32</v>
      </c>
      <c r="D281" s="6">
        <v>53</v>
      </c>
      <c r="E281" s="6">
        <v>74</v>
      </c>
      <c r="F281" s="6">
        <v>2011</v>
      </c>
      <c r="G281" s="39">
        <v>34</v>
      </c>
      <c r="H281" s="28">
        <v>0</v>
      </c>
      <c r="I281" s="28">
        <v>2</v>
      </c>
      <c r="J281" s="5">
        <v>2019</v>
      </c>
      <c r="K281" s="5">
        <v>2024</v>
      </c>
      <c r="L281" s="5">
        <f>(K281-J281)-0.42</f>
        <v>4.58</v>
      </c>
      <c r="M281" s="5">
        <v>0</v>
      </c>
      <c r="N281" s="5" t="s">
        <v>699</v>
      </c>
      <c r="O281" s="5" t="s">
        <v>28</v>
      </c>
      <c r="P281" s="5">
        <v>0</v>
      </c>
      <c r="Q281" s="6"/>
      <c r="R281" s="5" t="s">
        <v>30</v>
      </c>
      <c r="S281" s="5" t="s">
        <v>398</v>
      </c>
      <c r="T281" s="6" t="s">
        <v>84</v>
      </c>
      <c r="U281" s="6">
        <v>0</v>
      </c>
      <c r="V281" s="25">
        <v>58</v>
      </c>
      <c r="W281" s="5">
        <v>2</v>
      </c>
      <c r="X281" s="7">
        <f t="shared" si="112"/>
        <v>5</v>
      </c>
      <c r="Y281" s="22">
        <f t="shared" si="113"/>
        <v>3</v>
      </c>
      <c r="Z281" s="15">
        <f t="shared" si="110"/>
        <v>2</v>
      </c>
      <c r="AA281" s="19">
        <v>1</v>
      </c>
      <c r="AB281" s="19">
        <v>0</v>
      </c>
      <c r="AC281" s="19">
        <v>2</v>
      </c>
      <c r="AD281" s="19">
        <v>0</v>
      </c>
      <c r="AE281" s="19">
        <v>0</v>
      </c>
      <c r="AF281" s="19">
        <v>0</v>
      </c>
      <c r="AG281" s="36">
        <f t="shared" ref="AG281:AL281" si="126">AM281-AA281</f>
        <v>1</v>
      </c>
      <c r="AH281" s="36">
        <f t="shared" si="126"/>
        <v>1</v>
      </c>
      <c r="AI281" s="36">
        <f t="shared" si="126"/>
        <v>0</v>
      </c>
      <c r="AJ281" s="36">
        <f t="shared" si="126"/>
        <v>0</v>
      </c>
      <c r="AK281" s="36">
        <f t="shared" si="126"/>
        <v>1</v>
      </c>
      <c r="AL281" s="36">
        <f t="shared" si="126"/>
        <v>1</v>
      </c>
      <c r="AM281" s="7">
        <v>2</v>
      </c>
      <c r="AN281" s="7">
        <v>1</v>
      </c>
      <c r="AO281" s="7">
        <v>2</v>
      </c>
      <c r="AP281" s="7">
        <v>0</v>
      </c>
      <c r="AQ281" s="7">
        <v>1</v>
      </c>
      <c r="AR281" s="7">
        <v>1</v>
      </c>
      <c r="AS281" s="22">
        <f t="shared" si="114"/>
        <v>5</v>
      </c>
      <c r="AT281" s="22">
        <f t="shared" si="115"/>
        <v>0.65502183406113534</v>
      </c>
      <c r="AU281" s="5">
        <f t="shared" si="116"/>
        <v>2</v>
      </c>
      <c r="AV281" s="5">
        <f t="shared" si="117"/>
        <v>0.4366812227074236</v>
      </c>
      <c r="AW281" s="5">
        <f t="shared" si="118"/>
        <v>2</v>
      </c>
      <c r="AX281" s="5">
        <f t="shared" si="119"/>
        <v>0.2183406113537118</v>
      </c>
      <c r="AY281" s="5">
        <f t="shared" si="120"/>
        <v>0.2183406113537118</v>
      </c>
      <c r="AZ281" s="5">
        <f t="shared" si="121"/>
        <v>0</v>
      </c>
      <c r="BA281" s="5">
        <f t="shared" si="122"/>
        <v>0</v>
      </c>
      <c r="BB281" s="5">
        <f t="shared" si="123"/>
        <v>0.2183406113537118</v>
      </c>
      <c r="BC281" s="5">
        <f t="shared" si="124"/>
        <v>0.2183406113537118</v>
      </c>
      <c r="BD281" s="6"/>
      <c r="BE281" s="6"/>
      <c r="BF281" s="59"/>
      <c r="BG281" s="6"/>
      <c r="BH281" s="5"/>
      <c r="BI281" s="5" t="s">
        <v>484</v>
      </c>
      <c r="BJ281" s="5" t="s">
        <v>699</v>
      </c>
    </row>
    <row r="282" spans="1:62">
      <c r="A282" s="1" t="s">
        <v>481</v>
      </c>
      <c r="B282" s="3" t="s">
        <v>32</v>
      </c>
      <c r="C282" s="3" t="s">
        <v>32</v>
      </c>
      <c r="D282" s="6">
        <v>53</v>
      </c>
      <c r="E282" s="6">
        <v>74</v>
      </c>
      <c r="F282" s="6">
        <v>2011</v>
      </c>
      <c r="G282" s="39">
        <v>34</v>
      </c>
      <c r="H282" s="28">
        <v>0</v>
      </c>
      <c r="I282" s="28">
        <v>2</v>
      </c>
      <c r="J282" s="5">
        <v>2019</v>
      </c>
      <c r="K282" s="5">
        <v>2024</v>
      </c>
      <c r="L282" s="5">
        <f>(K282-J282)-0.42</f>
        <v>4.58</v>
      </c>
      <c r="M282" s="5">
        <v>0</v>
      </c>
      <c r="N282" s="5" t="s">
        <v>485</v>
      </c>
      <c r="O282" s="5" t="s">
        <v>28</v>
      </c>
      <c r="P282" s="5">
        <v>0</v>
      </c>
      <c r="Q282" s="6"/>
      <c r="R282" s="5" t="s">
        <v>39</v>
      </c>
      <c r="S282" s="5" t="s">
        <v>652</v>
      </c>
      <c r="T282" s="6" t="s">
        <v>84</v>
      </c>
      <c r="U282" s="6">
        <v>0</v>
      </c>
      <c r="V282" s="25">
        <v>50</v>
      </c>
      <c r="W282" s="5">
        <v>3</v>
      </c>
      <c r="X282" s="7">
        <f t="shared" si="112"/>
        <v>24</v>
      </c>
      <c r="Y282" s="22">
        <f t="shared" si="113"/>
        <v>23</v>
      </c>
      <c r="Z282" s="15">
        <f t="shared" si="110"/>
        <v>1</v>
      </c>
      <c r="AA282" s="19">
        <v>1</v>
      </c>
      <c r="AB282" s="19">
        <v>0</v>
      </c>
      <c r="AC282" s="19">
        <v>0</v>
      </c>
      <c r="AD282" s="19">
        <v>1</v>
      </c>
      <c r="AE282" s="19">
        <v>0</v>
      </c>
      <c r="AF282" s="19">
        <v>0</v>
      </c>
      <c r="AG282" s="36">
        <f t="shared" ref="AG282:AL301" si="127">AM282-AA282</f>
        <v>0</v>
      </c>
      <c r="AH282" s="36">
        <f t="shared" si="127"/>
        <v>0</v>
      </c>
      <c r="AI282" s="36">
        <f t="shared" si="127"/>
        <v>9</v>
      </c>
      <c r="AJ282" s="36">
        <f t="shared" si="127"/>
        <v>4</v>
      </c>
      <c r="AK282" s="36">
        <f t="shared" si="127"/>
        <v>6</v>
      </c>
      <c r="AL282" s="36">
        <f t="shared" si="127"/>
        <v>4</v>
      </c>
      <c r="AM282" s="7">
        <v>1</v>
      </c>
      <c r="AN282" s="7">
        <v>0</v>
      </c>
      <c r="AO282" s="7">
        <v>9</v>
      </c>
      <c r="AP282" s="7">
        <v>5</v>
      </c>
      <c r="AQ282" s="7">
        <v>6</v>
      </c>
      <c r="AR282" s="7">
        <v>4</v>
      </c>
      <c r="AS282" s="22">
        <f t="shared" si="114"/>
        <v>24</v>
      </c>
      <c r="AT282" s="22">
        <f t="shared" si="115"/>
        <v>5.0218340611353707</v>
      </c>
      <c r="AU282" s="5">
        <f t="shared" si="116"/>
        <v>19</v>
      </c>
      <c r="AV282" s="5">
        <f t="shared" si="117"/>
        <v>4.1484716157205241</v>
      </c>
      <c r="AW282" s="5">
        <f t="shared" si="118"/>
        <v>1</v>
      </c>
      <c r="AX282" s="5">
        <f t="shared" si="119"/>
        <v>0</v>
      </c>
      <c r="AY282" s="5">
        <f t="shared" si="120"/>
        <v>0</v>
      </c>
      <c r="AZ282" s="5">
        <f t="shared" si="121"/>
        <v>1.965065502183406</v>
      </c>
      <c r="BA282" s="5">
        <f t="shared" si="122"/>
        <v>0.8733624454148472</v>
      </c>
      <c r="BB282" s="5">
        <f t="shared" si="123"/>
        <v>1.3100436681222707</v>
      </c>
      <c r="BC282" s="5">
        <f t="shared" si="124"/>
        <v>0.8733624454148472</v>
      </c>
      <c r="BD282" s="6"/>
      <c r="BE282" s="6"/>
      <c r="BF282" s="59"/>
      <c r="BG282" s="6"/>
      <c r="BH282" s="5"/>
      <c r="BI282" s="5"/>
      <c r="BJ282" s="5" t="s">
        <v>485</v>
      </c>
    </row>
    <row r="283" spans="1:62">
      <c r="A283" s="1" t="s">
        <v>481</v>
      </c>
      <c r="B283" s="3" t="s">
        <v>32</v>
      </c>
      <c r="C283" s="3" t="s">
        <v>32</v>
      </c>
      <c r="D283" s="6">
        <v>53</v>
      </c>
      <c r="E283" s="6">
        <v>74</v>
      </c>
      <c r="F283" s="6">
        <v>2011</v>
      </c>
      <c r="G283" s="39">
        <v>34</v>
      </c>
      <c r="H283" s="28">
        <v>0</v>
      </c>
      <c r="I283" s="28">
        <v>2</v>
      </c>
      <c r="J283" s="5">
        <v>2020</v>
      </c>
      <c r="K283" s="5">
        <v>2024</v>
      </c>
      <c r="L283" s="5">
        <f>(K283-J283)-0.42</f>
        <v>3.58</v>
      </c>
      <c r="M283" s="5">
        <v>0</v>
      </c>
      <c r="N283" s="6" t="s">
        <v>486</v>
      </c>
      <c r="O283" s="5" t="s">
        <v>28</v>
      </c>
      <c r="P283" s="5">
        <v>0</v>
      </c>
      <c r="Q283" s="6"/>
      <c r="R283" s="5" t="s">
        <v>30</v>
      </c>
      <c r="S283" s="5" t="s">
        <v>291</v>
      </c>
      <c r="T283" s="6" t="s">
        <v>101</v>
      </c>
      <c r="U283" s="6">
        <v>0</v>
      </c>
      <c r="V283" s="25">
        <v>26</v>
      </c>
      <c r="W283" s="5">
        <v>1</v>
      </c>
      <c r="X283" s="7">
        <f t="shared" si="112"/>
        <v>10</v>
      </c>
      <c r="Y283" s="22">
        <f t="shared" si="113"/>
        <v>7</v>
      </c>
      <c r="Z283" s="15">
        <f t="shared" si="110"/>
        <v>3</v>
      </c>
      <c r="AA283" s="19">
        <v>2</v>
      </c>
      <c r="AB283" s="19">
        <v>1</v>
      </c>
      <c r="AC283" s="19">
        <v>1</v>
      </c>
      <c r="AD283" s="19">
        <v>1</v>
      </c>
      <c r="AE283" s="19">
        <v>0</v>
      </c>
      <c r="AF283" s="19">
        <v>0</v>
      </c>
      <c r="AG283" s="36">
        <f t="shared" si="127"/>
        <v>6</v>
      </c>
      <c r="AH283" s="36">
        <f t="shared" si="127"/>
        <v>0</v>
      </c>
      <c r="AI283" s="36">
        <f t="shared" si="127"/>
        <v>1</v>
      </c>
      <c r="AJ283" s="36">
        <f t="shared" si="127"/>
        <v>5</v>
      </c>
      <c r="AK283" s="36">
        <f t="shared" si="127"/>
        <v>1</v>
      </c>
      <c r="AL283" s="36">
        <f t="shared" si="127"/>
        <v>0</v>
      </c>
      <c r="AM283" s="7">
        <v>8</v>
      </c>
      <c r="AN283" s="7">
        <v>1</v>
      </c>
      <c r="AO283" s="7">
        <v>2</v>
      </c>
      <c r="AP283" s="7">
        <v>6</v>
      </c>
      <c r="AQ283" s="7">
        <v>1</v>
      </c>
      <c r="AR283" s="7">
        <v>0</v>
      </c>
      <c r="AS283" s="22">
        <f t="shared" si="114"/>
        <v>10</v>
      </c>
      <c r="AT283" s="22">
        <f t="shared" si="115"/>
        <v>1.9553072625698324</v>
      </c>
      <c r="AU283" s="5">
        <f t="shared" si="116"/>
        <v>7</v>
      </c>
      <c r="AV283" s="5">
        <f t="shared" si="117"/>
        <v>1.9553072625698324</v>
      </c>
      <c r="AW283" s="5">
        <f t="shared" si="118"/>
        <v>3</v>
      </c>
      <c r="AX283" s="5">
        <f t="shared" si="119"/>
        <v>1.6759776536312849</v>
      </c>
      <c r="AY283" s="5">
        <f t="shared" si="120"/>
        <v>0</v>
      </c>
      <c r="AZ283" s="5">
        <f t="shared" si="121"/>
        <v>0.27932960893854747</v>
      </c>
      <c r="BA283" s="5">
        <f t="shared" si="122"/>
        <v>1.3966480446927374</v>
      </c>
      <c r="BB283" s="5">
        <f t="shared" si="123"/>
        <v>0.27932960893854747</v>
      </c>
      <c r="BC283" s="5">
        <f t="shared" si="124"/>
        <v>0</v>
      </c>
      <c r="BD283" s="6"/>
      <c r="BE283" s="6"/>
      <c r="BF283" s="59"/>
      <c r="BG283" s="6"/>
      <c r="BH283" s="5"/>
      <c r="BI283" s="5"/>
      <c r="BJ283" s="6" t="s">
        <v>486</v>
      </c>
    </row>
    <row r="284" spans="1:62">
      <c r="A284" s="1" t="s">
        <v>481</v>
      </c>
      <c r="B284" s="3" t="s">
        <v>32</v>
      </c>
      <c r="C284" s="3" t="s">
        <v>32</v>
      </c>
      <c r="D284" s="6">
        <v>53</v>
      </c>
      <c r="E284" s="6">
        <v>74</v>
      </c>
      <c r="F284" s="6">
        <v>2011</v>
      </c>
      <c r="G284" s="39">
        <v>34</v>
      </c>
      <c r="H284" s="28">
        <v>0</v>
      </c>
      <c r="I284" s="28">
        <v>2</v>
      </c>
      <c r="J284" s="5">
        <v>2021</v>
      </c>
      <c r="K284" s="5">
        <v>2024</v>
      </c>
      <c r="L284" s="5">
        <f>(K284-J284)-0.42</f>
        <v>2.58</v>
      </c>
      <c r="M284" s="5">
        <v>0</v>
      </c>
      <c r="N284" s="5" t="s">
        <v>621</v>
      </c>
      <c r="O284" s="5" t="s">
        <v>35</v>
      </c>
      <c r="P284" s="5">
        <v>0</v>
      </c>
      <c r="Q284" s="6"/>
      <c r="R284" s="5" t="s">
        <v>30</v>
      </c>
      <c r="S284" s="5" t="s">
        <v>487</v>
      </c>
      <c r="T284" s="6" t="s">
        <v>218</v>
      </c>
      <c r="U284" s="6">
        <v>0</v>
      </c>
      <c r="V284" s="25">
        <v>10</v>
      </c>
      <c r="W284" s="5">
        <v>0</v>
      </c>
      <c r="X284" s="7">
        <f t="shared" si="112"/>
        <v>6</v>
      </c>
      <c r="Y284" s="22">
        <f t="shared" si="113"/>
        <v>2</v>
      </c>
      <c r="Z284" s="15">
        <f t="shared" si="110"/>
        <v>4</v>
      </c>
      <c r="AA284" s="19">
        <v>0</v>
      </c>
      <c r="AB284" s="19">
        <v>0</v>
      </c>
      <c r="AC284" s="19">
        <v>2</v>
      </c>
      <c r="AD284" s="19">
        <v>0</v>
      </c>
      <c r="AE284" s="19">
        <v>1</v>
      </c>
      <c r="AF284" s="19">
        <v>1</v>
      </c>
      <c r="AG284" s="36">
        <f t="shared" si="127"/>
        <v>0</v>
      </c>
      <c r="AH284" s="36">
        <f t="shared" si="127"/>
        <v>0</v>
      </c>
      <c r="AI284" s="36">
        <f t="shared" si="127"/>
        <v>2</v>
      </c>
      <c r="AJ284" s="36">
        <f t="shared" si="127"/>
        <v>0</v>
      </c>
      <c r="AK284" s="36">
        <f t="shared" si="127"/>
        <v>0</v>
      </c>
      <c r="AL284" s="36">
        <f t="shared" si="127"/>
        <v>0</v>
      </c>
      <c r="AM284" s="7">
        <v>0</v>
      </c>
      <c r="AN284" s="7">
        <v>0</v>
      </c>
      <c r="AO284" s="7">
        <v>4</v>
      </c>
      <c r="AP284" s="7">
        <v>0</v>
      </c>
      <c r="AQ284" s="7">
        <v>1</v>
      </c>
      <c r="AR284" s="7">
        <v>1</v>
      </c>
      <c r="AS284" s="22">
        <f t="shared" si="114"/>
        <v>6</v>
      </c>
      <c r="AT284" s="22">
        <f t="shared" si="115"/>
        <v>0.77519379844961234</v>
      </c>
      <c r="AU284" s="5">
        <f t="shared" si="116"/>
        <v>2</v>
      </c>
      <c r="AV284" s="5">
        <f t="shared" si="117"/>
        <v>0.77519379844961234</v>
      </c>
      <c r="AW284" s="5">
        <f t="shared" si="118"/>
        <v>3</v>
      </c>
      <c r="AX284" s="5">
        <f t="shared" si="119"/>
        <v>0</v>
      </c>
      <c r="AY284" s="5">
        <f t="shared" si="120"/>
        <v>0</v>
      </c>
      <c r="AZ284" s="5">
        <f t="shared" si="121"/>
        <v>0.77519379844961234</v>
      </c>
      <c r="BA284" s="5">
        <f t="shared" si="122"/>
        <v>0</v>
      </c>
      <c r="BB284" s="5">
        <f t="shared" si="123"/>
        <v>0</v>
      </c>
      <c r="BC284" s="5">
        <f t="shared" si="124"/>
        <v>0</v>
      </c>
      <c r="BD284" s="6"/>
      <c r="BE284" s="6"/>
      <c r="BF284" s="59"/>
      <c r="BG284" s="6"/>
      <c r="BH284" s="5"/>
      <c r="BI284" s="5"/>
      <c r="BJ284" s="5" t="s">
        <v>621</v>
      </c>
    </row>
    <row r="285" spans="1:62">
      <c r="A285" s="1" t="s">
        <v>481</v>
      </c>
      <c r="B285" s="3" t="s">
        <v>32</v>
      </c>
      <c r="C285" s="3" t="s">
        <v>32</v>
      </c>
      <c r="D285" s="6">
        <v>53</v>
      </c>
      <c r="E285" s="6">
        <v>74</v>
      </c>
      <c r="F285" s="6">
        <v>2011</v>
      </c>
      <c r="G285" s="39">
        <v>34</v>
      </c>
      <c r="H285" s="28">
        <v>0</v>
      </c>
      <c r="I285" s="28">
        <v>2</v>
      </c>
      <c r="J285" s="5">
        <v>2022</v>
      </c>
      <c r="K285" s="5">
        <v>2024</v>
      </c>
      <c r="L285" s="5">
        <f>(K285-J285)-0.42</f>
        <v>1.58</v>
      </c>
      <c r="M285" s="5">
        <v>0</v>
      </c>
      <c r="N285" s="5" t="s">
        <v>488</v>
      </c>
      <c r="O285" s="5" t="s">
        <v>35</v>
      </c>
      <c r="P285" s="5">
        <v>0</v>
      </c>
      <c r="Q285" s="6"/>
      <c r="R285" s="5" t="s">
        <v>30</v>
      </c>
      <c r="S285" s="5" t="s">
        <v>489</v>
      </c>
      <c r="T285" s="6" t="s">
        <v>218</v>
      </c>
      <c r="U285" s="6">
        <v>0</v>
      </c>
      <c r="V285" s="25">
        <v>13</v>
      </c>
      <c r="W285" s="5">
        <v>1</v>
      </c>
      <c r="X285" s="7">
        <f t="shared" si="112"/>
        <v>1</v>
      </c>
      <c r="Y285" s="22">
        <f t="shared" si="113"/>
        <v>0</v>
      </c>
      <c r="Z285" s="15">
        <f t="shared" si="110"/>
        <v>1</v>
      </c>
      <c r="AA285" s="19">
        <v>0</v>
      </c>
      <c r="AB285" s="19">
        <v>0</v>
      </c>
      <c r="AC285" s="19">
        <v>1</v>
      </c>
      <c r="AD285" s="19">
        <v>0</v>
      </c>
      <c r="AE285" s="19">
        <v>0</v>
      </c>
      <c r="AF285" s="19">
        <v>0</v>
      </c>
      <c r="AG285" s="36">
        <f t="shared" si="127"/>
        <v>0</v>
      </c>
      <c r="AH285" s="36">
        <f t="shared" si="127"/>
        <v>0</v>
      </c>
      <c r="AI285" s="36">
        <f t="shared" si="127"/>
        <v>0</v>
      </c>
      <c r="AJ285" s="36">
        <f t="shared" si="127"/>
        <v>0</v>
      </c>
      <c r="AK285" s="36">
        <f t="shared" si="127"/>
        <v>0</v>
      </c>
      <c r="AL285" s="36">
        <f t="shared" si="127"/>
        <v>0</v>
      </c>
      <c r="AM285" s="7">
        <v>0</v>
      </c>
      <c r="AN285" s="7">
        <v>0</v>
      </c>
      <c r="AO285" s="7">
        <v>1</v>
      </c>
      <c r="AP285" s="7">
        <v>0</v>
      </c>
      <c r="AQ285" s="7">
        <v>0</v>
      </c>
      <c r="AR285" s="7">
        <v>0</v>
      </c>
      <c r="AS285" s="22">
        <f t="shared" si="114"/>
        <v>1</v>
      </c>
      <c r="AT285" s="22">
        <f t="shared" si="115"/>
        <v>0</v>
      </c>
      <c r="AU285" s="5">
        <f t="shared" si="116"/>
        <v>0</v>
      </c>
      <c r="AV285" s="5">
        <f t="shared" si="117"/>
        <v>0</v>
      </c>
      <c r="AW285" s="5">
        <f t="shared" si="118"/>
        <v>1</v>
      </c>
      <c r="AX285" s="5">
        <f t="shared" si="119"/>
        <v>0</v>
      </c>
      <c r="AY285" s="5">
        <f t="shared" si="120"/>
        <v>0</v>
      </c>
      <c r="AZ285" s="5">
        <f t="shared" si="121"/>
        <v>0</v>
      </c>
      <c r="BA285" s="5">
        <f t="shared" si="122"/>
        <v>0</v>
      </c>
      <c r="BB285" s="5">
        <f t="shared" si="123"/>
        <v>0</v>
      </c>
      <c r="BC285" s="5">
        <f t="shared" si="124"/>
        <v>0</v>
      </c>
      <c r="BD285" s="6"/>
      <c r="BE285" s="6"/>
      <c r="BF285" s="59"/>
      <c r="BG285" s="6"/>
      <c r="BH285" s="5"/>
      <c r="BI285" s="5"/>
      <c r="BJ285" s="5" t="s">
        <v>488</v>
      </c>
    </row>
    <row r="286" spans="1:62">
      <c r="A286" s="1" t="s">
        <v>481</v>
      </c>
      <c r="B286" s="3" t="s">
        <v>32</v>
      </c>
      <c r="C286" s="3" t="s">
        <v>32</v>
      </c>
      <c r="D286" s="6">
        <v>53</v>
      </c>
      <c r="E286" s="6">
        <v>74</v>
      </c>
      <c r="F286" s="6">
        <v>2011</v>
      </c>
      <c r="G286" s="39">
        <v>34</v>
      </c>
      <c r="H286" s="28">
        <v>0</v>
      </c>
      <c r="I286" s="28">
        <v>2</v>
      </c>
      <c r="J286" s="5">
        <v>2016</v>
      </c>
      <c r="K286" s="5">
        <v>2022</v>
      </c>
      <c r="L286" s="5">
        <f>(K286-J286)</f>
        <v>6</v>
      </c>
      <c r="M286" s="5">
        <v>1</v>
      </c>
      <c r="N286" s="39" t="s">
        <v>622</v>
      </c>
      <c r="O286" s="5" t="s">
        <v>35</v>
      </c>
      <c r="P286" s="5">
        <v>0</v>
      </c>
      <c r="Q286" s="6"/>
      <c r="R286" s="5" t="s">
        <v>252</v>
      </c>
      <c r="S286" s="39" t="s">
        <v>527</v>
      </c>
      <c r="T286" s="6" t="s">
        <v>84</v>
      </c>
      <c r="U286" s="6">
        <v>0</v>
      </c>
      <c r="V286" s="25">
        <v>118</v>
      </c>
      <c r="W286" s="5">
        <v>6</v>
      </c>
      <c r="X286" s="7">
        <f t="shared" ref="X286:X288" si="128">SUM(Y286:Z286)</f>
        <v>10</v>
      </c>
      <c r="Y286" s="22">
        <f t="shared" si="113"/>
        <v>10</v>
      </c>
      <c r="Z286" s="15">
        <f t="shared" ref="Z286:Z288" si="129">SUM(AB286:AF286)</f>
        <v>0</v>
      </c>
      <c r="AA286" s="47">
        <v>0</v>
      </c>
      <c r="AB286" s="47">
        <v>0</v>
      </c>
      <c r="AC286" s="47">
        <v>0</v>
      </c>
      <c r="AD286" s="47">
        <v>0</v>
      </c>
      <c r="AE286" s="47">
        <v>0</v>
      </c>
      <c r="AF286" s="47">
        <v>0</v>
      </c>
      <c r="AG286" s="36">
        <f t="shared" si="127"/>
        <v>2</v>
      </c>
      <c r="AH286" s="36">
        <f t="shared" si="127"/>
        <v>0</v>
      </c>
      <c r="AI286" s="36">
        <f t="shared" si="127"/>
        <v>7</v>
      </c>
      <c r="AJ286" s="36">
        <f t="shared" si="127"/>
        <v>2</v>
      </c>
      <c r="AK286" s="36">
        <f t="shared" si="127"/>
        <v>1</v>
      </c>
      <c r="AL286" s="36">
        <f t="shared" si="127"/>
        <v>0</v>
      </c>
      <c r="AM286" s="45">
        <v>2</v>
      </c>
      <c r="AN286" s="45">
        <v>0</v>
      </c>
      <c r="AO286" s="45">
        <v>7</v>
      </c>
      <c r="AP286" s="45">
        <v>2</v>
      </c>
      <c r="AQ286" s="45">
        <v>1</v>
      </c>
      <c r="AR286" s="45">
        <v>0</v>
      </c>
      <c r="AS286" s="22">
        <f t="shared" si="114"/>
        <v>10</v>
      </c>
      <c r="AT286" s="22">
        <f t="shared" si="115"/>
        <v>1.6666666666666667</v>
      </c>
      <c r="AU286" s="5">
        <f t="shared" si="116"/>
        <v>10</v>
      </c>
      <c r="AV286" s="5">
        <f t="shared" si="117"/>
        <v>1.6666666666666667</v>
      </c>
      <c r="AW286" s="5">
        <f t="shared" si="118"/>
        <v>0</v>
      </c>
      <c r="AX286" s="5">
        <f t="shared" si="119"/>
        <v>0.33333333333333331</v>
      </c>
      <c r="AY286" s="5">
        <f t="shared" si="120"/>
        <v>0</v>
      </c>
      <c r="AZ286" s="5">
        <f t="shared" si="121"/>
        <v>1.1666666666666667</v>
      </c>
      <c r="BA286" s="5">
        <f t="shared" si="122"/>
        <v>0.33333333333333331</v>
      </c>
      <c r="BB286" s="5">
        <f t="shared" si="123"/>
        <v>0.16666666666666666</v>
      </c>
      <c r="BC286" s="5">
        <f t="shared" si="124"/>
        <v>0</v>
      </c>
      <c r="BD286" s="6">
        <v>0</v>
      </c>
      <c r="BE286" s="6"/>
      <c r="BF286" s="59">
        <v>0</v>
      </c>
      <c r="BG286" s="28" t="s">
        <v>732</v>
      </c>
      <c r="BH286" s="5"/>
      <c r="BI286" s="5"/>
      <c r="BJ286" s="39" t="s">
        <v>622</v>
      </c>
    </row>
    <row r="287" spans="1:62">
      <c r="A287" s="1" t="s">
        <v>490</v>
      </c>
      <c r="B287" s="3" t="s">
        <v>33</v>
      </c>
      <c r="C287" s="3" t="s">
        <v>32</v>
      </c>
      <c r="D287" s="6">
        <v>74</v>
      </c>
      <c r="E287" s="6">
        <v>91</v>
      </c>
      <c r="F287" s="6">
        <v>2013</v>
      </c>
      <c r="G287" s="39">
        <v>12</v>
      </c>
      <c r="H287" s="28">
        <v>0</v>
      </c>
      <c r="I287" s="28">
        <v>2</v>
      </c>
      <c r="J287" s="5">
        <v>2015</v>
      </c>
      <c r="K287" s="5">
        <v>2024</v>
      </c>
      <c r="L287" s="5">
        <f>(K287-J287)-0.42</f>
        <v>8.58</v>
      </c>
      <c r="M287" s="5">
        <v>0</v>
      </c>
      <c r="N287" s="5" t="s">
        <v>491</v>
      </c>
      <c r="O287" s="5" t="s">
        <v>35</v>
      </c>
      <c r="P287" s="5">
        <v>0</v>
      </c>
      <c r="Q287" s="6"/>
      <c r="R287" s="5" t="s">
        <v>54</v>
      </c>
      <c r="S287" s="5" t="s">
        <v>171</v>
      </c>
      <c r="T287" s="6" t="s">
        <v>101</v>
      </c>
      <c r="U287" s="6">
        <v>0</v>
      </c>
      <c r="V287" s="25">
        <v>23</v>
      </c>
      <c r="W287" s="5">
        <v>19</v>
      </c>
      <c r="X287" s="7">
        <f t="shared" si="128"/>
        <v>170</v>
      </c>
      <c r="Y287" s="22">
        <f t="shared" si="113"/>
        <v>158</v>
      </c>
      <c r="Z287" s="15">
        <f t="shared" si="129"/>
        <v>12</v>
      </c>
      <c r="AA287" s="19">
        <v>5</v>
      </c>
      <c r="AB287" s="19">
        <v>1</v>
      </c>
      <c r="AC287" s="19">
        <v>6</v>
      </c>
      <c r="AD287" s="19">
        <v>1</v>
      </c>
      <c r="AE287" s="19">
        <v>2</v>
      </c>
      <c r="AF287" s="19">
        <v>2</v>
      </c>
      <c r="AG287" s="36">
        <f t="shared" si="127"/>
        <v>37</v>
      </c>
      <c r="AH287" s="36">
        <f t="shared" si="127"/>
        <v>1</v>
      </c>
      <c r="AI287" s="36">
        <f t="shared" si="127"/>
        <v>139</v>
      </c>
      <c r="AJ287" s="36">
        <f t="shared" si="127"/>
        <v>5</v>
      </c>
      <c r="AK287" s="36">
        <f t="shared" si="127"/>
        <v>7</v>
      </c>
      <c r="AL287" s="36">
        <f t="shared" si="127"/>
        <v>6</v>
      </c>
      <c r="AM287" s="7">
        <v>42</v>
      </c>
      <c r="AN287" s="7">
        <v>2</v>
      </c>
      <c r="AO287" s="7">
        <v>145</v>
      </c>
      <c r="AP287" s="7">
        <v>6</v>
      </c>
      <c r="AQ287" s="7">
        <v>9</v>
      </c>
      <c r="AR287" s="7">
        <v>8</v>
      </c>
      <c r="AS287" s="22">
        <f t="shared" si="114"/>
        <v>170</v>
      </c>
      <c r="AT287" s="22">
        <f t="shared" si="115"/>
        <v>18.414918414918414</v>
      </c>
      <c r="AU287" s="5">
        <f t="shared" si="116"/>
        <v>152</v>
      </c>
      <c r="AV287" s="5">
        <f t="shared" si="117"/>
        <v>17.715617715617714</v>
      </c>
      <c r="AW287" s="5">
        <f t="shared" si="118"/>
        <v>10</v>
      </c>
      <c r="AX287" s="5">
        <f t="shared" si="119"/>
        <v>4.3123543123543122</v>
      </c>
      <c r="AY287" s="5">
        <f t="shared" si="120"/>
        <v>0.11655011655011654</v>
      </c>
      <c r="AZ287" s="5">
        <f t="shared" si="121"/>
        <v>16.200466200466199</v>
      </c>
      <c r="BA287" s="5">
        <f t="shared" si="122"/>
        <v>0.58275058275058278</v>
      </c>
      <c r="BB287" s="5">
        <f t="shared" si="123"/>
        <v>0.81585081585081587</v>
      </c>
      <c r="BC287" s="5">
        <f t="shared" si="124"/>
        <v>0.69930069930069927</v>
      </c>
      <c r="BD287" s="6"/>
      <c r="BE287" s="6"/>
      <c r="BF287" s="59"/>
      <c r="BG287" s="6"/>
      <c r="BH287" s="5"/>
      <c r="BI287" s="5"/>
      <c r="BJ287" s="5" t="s">
        <v>491</v>
      </c>
    </row>
    <row r="288" spans="1:62">
      <c r="A288" s="1" t="s">
        <v>490</v>
      </c>
      <c r="B288" s="3" t="s">
        <v>33</v>
      </c>
      <c r="C288" s="3" t="s">
        <v>32</v>
      </c>
      <c r="D288" s="6">
        <v>74</v>
      </c>
      <c r="E288" s="6">
        <v>91</v>
      </c>
      <c r="F288" s="6">
        <v>2013</v>
      </c>
      <c r="G288" s="39">
        <v>12</v>
      </c>
      <c r="H288" s="28">
        <v>0</v>
      </c>
      <c r="I288" s="28">
        <v>2</v>
      </c>
      <c r="J288" s="5">
        <v>2018</v>
      </c>
      <c r="K288" s="5">
        <v>2024</v>
      </c>
      <c r="L288" s="5">
        <f>(K288-J288)-0.42</f>
        <v>5.58</v>
      </c>
      <c r="M288" s="5">
        <v>0</v>
      </c>
      <c r="N288" s="5" t="s">
        <v>492</v>
      </c>
      <c r="O288" s="5" t="s">
        <v>35</v>
      </c>
      <c r="P288" s="5">
        <v>1</v>
      </c>
      <c r="Q288" s="5" t="s">
        <v>493</v>
      </c>
      <c r="R288" s="5" t="s">
        <v>30</v>
      </c>
      <c r="S288" s="5" t="s">
        <v>494</v>
      </c>
      <c r="T288" s="6"/>
      <c r="U288" s="6">
        <v>0</v>
      </c>
      <c r="V288" s="25"/>
      <c r="W288" s="5">
        <v>3</v>
      </c>
      <c r="X288" s="7">
        <f t="shared" si="128"/>
        <v>20</v>
      </c>
      <c r="Y288" s="22">
        <f t="shared" si="113"/>
        <v>13</v>
      </c>
      <c r="Z288" s="15">
        <f t="shared" si="129"/>
        <v>7</v>
      </c>
      <c r="AA288" s="19">
        <v>4</v>
      </c>
      <c r="AB288" s="19">
        <v>0</v>
      </c>
      <c r="AC288" s="19">
        <v>1</v>
      </c>
      <c r="AD288" s="19">
        <v>5</v>
      </c>
      <c r="AE288" s="19">
        <v>1</v>
      </c>
      <c r="AF288" s="19">
        <v>0</v>
      </c>
      <c r="AG288" s="36">
        <f t="shared" si="127"/>
        <v>5</v>
      </c>
      <c r="AH288" s="36">
        <f t="shared" si="127"/>
        <v>0</v>
      </c>
      <c r="AI288" s="36">
        <f t="shared" si="127"/>
        <v>8</v>
      </c>
      <c r="AJ288" s="36">
        <f t="shared" si="127"/>
        <v>2</v>
      </c>
      <c r="AK288" s="36">
        <f t="shared" si="127"/>
        <v>1</v>
      </c>
      <c r="AL288" s="36">
        <f t="shared" si="127"/>
        <v>2</v>
      </c>
      <c r="AM288" s="7">
        <v>9</v>
      </c>
      <c r="AN288" s="7">
        <v>0</v>
      </c>
      <c r="AO288" s="7">
        <v>9</v>
      </c>
      <c r="AP288" s="7">
        <v>7</v>
      </c>
      <c r="AQ288" s="7">
        <v>2</v>
      </c>
      <c r="AR288" s="7">
        <v>2</v>
      </c>
      <c r="AS288" s="22">
        <f t="shared" si="114"/>
        <v>20</v>
      </c>
      <c r="AT288" s="22">
        <f t="shared" si="115"/>
        <v>2.3297491039426523</v>
      </c>
      <c r="AU288" s="5">
        <f t="shared" si="116"/>
        <v>11</v>
      </c>
      <c r="AV288" s="5">
        <f t="shared" si="117"/>
        <v>1.9713261648745519</v>
      </c>
      <c r="AW288" s="5">
        <f t="shared" si="118"/>
        <v>7</v>
      </c>
      <c r="AX288" s="5">
        <f t="shared" si="119"/>
        <v>0.89605734767025091</v>
      </c>
      <c r="AY288" s="5">
        <f t="shared" si="120"/>
        <v>0</v>
      </c>
      <c r="AZ288" s="5">
        <f t="shared" si="121"/>
        <v>1.4336917562724014</v>
      </c>
      <c r="BA288" s="5">
        <f t="shared" si="122"/>
        <v>0.35842293906810035</v>
      </c>
      <c r="BB288" s="5">
        <f t="shared" si="123"/>
        <v>0.17921146953405018</v>
      </c>
      <c r="BC288" s="5">
        <f t="shared" si="124"/>
        <v>0.35842293906810035</v>
      </c>
      <c r="BD288" s="6"/>
      <c r="BE288" s="6"/>
      <c r="BF288" s="59"/>
      <c r="BG288" s="6"/>
      <c r="BH288" s="5"/>
      <c r="BI288" s="5"/>
      <c r="BJ288" s="5" t="s">
        <v>492</v>
      </c>
    </row>
    <row r="289" spans="1:62">
      <c r="A289" s="1" t="s">
        <v>490</v>
      </c>
      <c r="B289" s="3" t="s">
        <v>33</v>
      </c>
      <c r="C289" s="3" t="s">
        <v>32</v>
      </c>
      <c r="D289" s="6">
        <v>74</v>
      </c>
      <c r="E289" s="6">
        <v>91</v>
      </c>
      <c r="F289" s="6">
        <v>2013</v>
      </c>
      <c r="G289" s="39">
        <v>12</v>
      </c>
      <c r="H289" s="28">
        <v>0</v>
      </c>
      <c r="I289" s="28">
        <v>2</v>
      </c>
      <c r="J289" s="5">
        <v>2019</v>
      </c>
      <c r="K289" s="5">
        <v>2024</v>
      </c>
      <c r="L289" s="5">
        <f>(K289-J289)-0.42</f>
        <v>4.58</v>
      </c>
      <c r="M289" s="5">
        <v>0</v>
      </c>
      <c r="N289" s="5" t="s">
        <v>495</v>
      </c>
      <c r="O289" s="5" t="s">
        <v>35</v>
      </c>
      <c r="P289" s="5">
        <v>0</v>
      </c>
      <c r="Q289" s="6"/>
      <c r="R289" s="5" t="s">
        <v>30</v>
      </c>
      <c r="S289" s="5" t="s">
        <v>653</v>
      </c>
      <c r="T289" s="6" t="s">
        <v>84</v>
      </c>
      <c r="U289" s="6">
        <v>0</v>
      </c>
      <c r="V289" s="25">
        <v>68</v>
      </c>
      <c r="W289" s="5">
        <v>4</v>
      </c>
      <c r="X289" s="7">
        <f t="shared" ref="X289:X301" si="130">SUM(Y289:Z289)</f>
        <v>10</v>
      </c>
      <c r="Y289" s="22">
        <f>AS289-Z289</f>
        <v>3</v>
      </c>
      <c r="Z289" s="15">
        <f>SUM(AB289:AF289)</f>
        <v>7</v>
      </c>
      <c r="AA289" s="19">
        <v>1</v>
      </c>
      <c r="AB289" s="19">
        <v>1</v>
      </c>
      <c r="AC289" s="19">
        <v>2</v>
      </c>
      <c r="AD289" s="19">
        <v>1</v>
      </c>
      <c r="AE289" s="19">
        <v>0</v>
      </c>
      <c r="AF289" s="19">
        <v>3</v>
      </c>
      <c r="AG289" s="36">
        <f t="shared" si="127"/>
        <v>1</v>
      </c>
      <c r="AH289" s="36">
        <f t="shared" si="127"/>
        <v>0</v>
      </c>
      <c r="AI289" s="36">
        <f t="shared" si="127"/>
        <v>2</v>
      </c>
      <c r="AJ289" s="36">
        <f t="shared" si="127"/>
        <v>1</v>
      </c>
      <c r="AK289" s="36">
        <f t="shared" si="127"/>
        <v>0</v>
      </c>
      <c r="AL289" s="36">
        <f t="shared" si="127"/>
        <v>0</v>
      </c>
      <c r="AM289" s="7">
        <v>2</v>
      </c>
      <c r="AN289" s="7">
        <v>1</v>
      </c>
      <c r="AO289" s="7">
        <v>4</v>
      </c>
      <c r="AP289" s="7">
        <v>2</v>
      </c>
      <c r="AQ289" s="7">
        <v>0</v>
      </c>
      <c r="AR289" s="7">
        <v>3</v>
      </c>
      <c r="AS289" s="22">
        <f t="shared" si="114"/>
        <v>10</v>
      </c>
      <c r="AT289" s="22">
        <f t="shared" si="115"/>
        <v>0.65502183406113534</v>
      </c>
      <c r="AU289" s="5">
        <f t="shared" si="116"/>
        <v>3</v>
      </c>
      <c r="AV289" s="5">
        <f t="shared" si="117"/>
        <v>0.65502183406113534</v>
      </c>
      <c r="AW289" s="5">
        <f t="shared" si="118"/>
        <v>4</v>
      </c>
      <c r="AX289" s="5">
        <f t="shared" si="119"/>
        <v>0.2183406113537118</v>
      </c>
      <c r="AY289" s="5">
        <f t="shared" si="120"/>
        <v>0</v>
      </c>
      <c r="AZ289" s="5">
        <f t="shared" si="121"/>
        <v>0.4366812227074236</v>
      </c>
      <c r="BA289" s="5">
        <f t="shared" si="122"/>
        <v>0.2183406113537118</v>
      </c>
      <c r="BB289" s="5">
        <f t="shared" si="123"/>
        <v>0</v>
      </c>
      <c r="BC289" s="5">
        <f t="shared" si="124"/>
        <v>0</v>
      </c>
      <c r="BD289" s="6"/>
      <c r="BE289" s="6"/>
      <c r="BF289" s="59"/>
      <c r="BG289" s="6"/>
      <c r="BH289" s="5"/>
      <c r="BI289" s="5"/>
      <c r="BJ289" s="5" t="s">
        <v>495</v>
      </c>
    </row>
    <row r="290" spans="1:62">
      <c r="A290" s="1" t="s">
        <v>490</v>
      </c>
      <c r="B290" s="3" t="s">
        <v>33</v>
      </c>
      <c r="C290" s="3" t="s">
        <v>32</v>
      </c>
      <c r="D290" s="6">
        <v>74</v>
      </c>
      <c r="E290" s="6">
        <v>91</v>
      </c>
      <c r="F290" s="6">
        <v>2013</v>
      </c>
      <c r="G290" s="39">
        <v>12</v>
      </c>
      <c r="H290" s="28">
        <v>0</v>
      </c>
      <c r="I290" s="28">
        <v>2</v>
      </c>
      <c r="J290" s="24">
        <v>2017</v>
      </c>
      <c r="K290" s="5">
        <v>2024</v>
      </c>
      <c r="L290" s="5">
        <f>(K290-J290)-0.42</f>
        <v>6.58</v>
      </c>
      <c r="M290" s="5">
        <v>0</v>
      </c>
      <c r="N290" s="5" t="s">
        <v>496</v>
      </c>
      <c r="O290" s="5" t="s">
        <v>35</v>
      </c>
      <c r="P290" s="5">
        <v>0</v>
      </c>
      <c r="Q290" s="6"/>
      <c r="R290" s="5" t="s">
        <v>39</v>
      </c>
      <c r="S290" s="5" t="s">
        <v>497</v>
      </c>
      <c r="T290" s="6" t="s">
        <v>84</v>
      </c>
      <c r="U290" s="6">
        <v>0</v>
      </c>
      <c r="V290" s="25">
        <v>53</v>
      </c>
      <c r="W290" s="5">
        <v>5</v>
      </c>
      <c r="X290" s="7">
        <f t="shared" si="130"/>
        <v>27</v>
      </c>
      <c r="Y290" s="22">
        <f>AS290-Z290</f>
        <v>24</v>
      </c>
      <c r="Z290" s="15">
        <f>SUM(AB290:AF290)</f>
        <v>3</v>
      </c>
      <c r="AA290" s="19">
        <v>0</v>
      </c>
      <c r="AB290" s="19">
        <v>3</v>
      </c>
      <c r="AC290" s="19">
        <v>0</v>
      </c>
      <c r="AD290" s="19">
        <v>0</v>
      </c>
      <c r="AE290" s="19">
        <v>0</v>
      </c>
      <c r="AF290" s="19">
        <v>0</v>
      </c>
      <c r="AG290" s="36">
        <f t="shared" si="127"/>
        <v>9</v>
      </c>
      <c r="AH290" s="36">
        <f t="shared" si="127"/>
        <v>0</v>
      </c>
      <c r="AI290" s="36">
        <f t="shared" si="127"/>
        <v>18</v>
      </c>
      <c r="AJ290" s="36">
        <f t="shared" si="127"/>
        <v>1</v>
      </c>
      <c r="AK290" s="36">
        <f t="shared" si="127"/>
        <v>0</v>
      </c>
      <c r="AL290" s="36">
        <f t="shared" si="127"/>
        <v>5</v>
      </c>
      <c r="AM290" s="7">
        <v>9</v>
      </c>
      <c r="AN290" s="7">
        <v>3</v>
      </c>
      <c r="AO290" s="7">
        <v>18</v>
      </c>
      <c r="AP290" s="7">
        <v>1</v>
      </c>
      <c r="AQ290" s="7">
        <v>0</v>
      </c>
      <c r="AR290" s="7">
        <v>5</v>
      </c>
      <c r="AS290" s="22">
        <f t="shared" si="114"/>
        <v>27</v>
      </c>
      <c r="AT290" s="22">
        <f t="shared" si="115"/>
        <v>3.6474164133738602</v>
      </c>
      <c r="AU290" s="5">
        <f t="shared" si="116"/>
        <v>19</v>
      </c>
      <c r="AV290" s="5">
        <f t="shared" si="117"/>
        <v>2.8875379939209727</v>
      </c>
      <c r="AW290" s="5">
        <f t="shared" si="118"/>
        <v>3</v>
      </c>
      <c r="AX290" s="5">
        <f t="shared" si="119"/>
        <v>1.3677811550151975</v>
      </c>
      <c r="AY290" s="5">
        <f t="shared" si="120"/>
        <v>0</v>
      </c>
      <c r="AZ290" s="5">
        <f t="shared" si="121"/>
        <v>2.735562310030395</v>
      </c>
      <c r="BA290" s="5">
        <f t="shared" si="122"/>
        <v>0.1519756838905775</v>
      </c>
      <c r="BB290" s="5">
        <f t="shared" si="123"/>
        <v>0</v>
      </c>
      <c r="BC290" s="5">
        <f t="shared" si="124"/>
        <v>0.75987841945288748</v>
      </c>
      <c r="BD290" s="6"/>
      <c r="BE290" s="6"/>
      <c r="BF290" s="59"/>
      <c r="BG290" s="6"/>
      <c r="BH290" s="5"/>
      <c r="BI290" s="5"/>
      <c r="BJ290" s="5" t="s">
        <v>496</v>
      </c>
    </row>
    <row r="291" spans="1:62">
      <c r="A291" s="1" t="s">
        <v>490</v>
      </c>
      <c r="B291" s="3" t="s">
        <v>33</v>
      </c>
      <c r="C291" s="3" t="s">
        <v>32</v>
      </c>
      <c r="D291" s="6">
        <v>74</v>
      </c>
      <c r="E291" s="6">
        <v>91</v>
      </c>
      <c r="F291" s="6">
        <v>2013</v>
      </c>
      <c r="G291" s="39">
        <v>12</v>
      </c>
      <c r="H291" s="28">
        <v>0</v>
      </c>
      <c r="I291" s="28">
        <v>2</v>
      </c>
      <c r="J291" s="5">
        <v>2017</v>
      </c>
      <c r="K291" s="5">
        <v>2024</v>
      </c>
      <c r="L291" s="5">
        <f t="shared" ref="L291:L299" si="131">(K291-J291)-0.42</f>
        <v>6.58</v>
      </c>
      <c r="M291" s="5">
        <v>0</v>
      </c>
      <c r="N291" s="5" t="s">
        <v>498</v>
      </c>
      <c r="O291" s="5" t="s">
        <v>35</v>
      </c>
      <c r="P291" s="5">
        <v>0</v>
      </c>
      <c r="Q291" s="6"/>
      <c r="R291" s="5" t="s">
        <v>30</v>
      </c>
      <c r="S291" s="5" t="s">
        <v>145</v>
      </c>
      <c r="T291" s="6" t="s">
        <v>218</v>
      </c>
      <c r="U291" s="6" t="s">
        <v>559</v>
      </c>
      <c r="V291" s="25">
        <v>6</v>
      </c>
      <c r="W291" s="5">
        <v>2</v>
      </c>
      <c r="X291" s="7">
        <f t="shared" si="130"/>
        <v>9</v>
      </c>
      <c r="Y291" s="22">
        <f t="shared" ref="Y291:Y301" si="132">AS291-Z291</f>
        <v>7</v>
      </c>
      <c r="Z291" s="15">
        <f t="shared" ref="Z291:Z301" si="133">SUM(AB291:AF291)</f>
        <v>2</v>
      </c>
      <c r="AA291" s="19">
        <v>1</v>
      </c>
      <c r="AB291" s="19">
        <v>1</v>
      </c>
      <c r="AC291" s="19">
        <v>0</v>
      </c>
      <c r="AD291" s="19">
        <v>0</v>
      </c>
      <c r="AE291" s="19">
        <v>1</v>
      </c>
      <c r="AF291" s="19">
        <v>0</v>
      </c>
      <c r="AG291" s="36">
        <f t="shared" si="127"/>
        <v>5</v>
      </c>
      <c r="AH291" s="36">
        <f t="shared" si="127"/>
        <v>1</v>
      </c>
      <c r="AI291" s="36">
        <f t="shared" si="127"/>
        <v>1</v>
      </c>
      <c r="AJ291" s="36">
        <f t="shared" si="127"/>
        <v>0</v>
      </c>
      <c r="AK291" s="36">
        <f t="shared" si="127"/>
        <v>1</v>
      </c>
      <c r="AL291" s="36">
        <f t="shared" si="127"/>
        <v>4</v>
      </c>
      <c r="AM291" s="7">
        <v>6</v>
      </c>
      <c r="AN291" s="7">
        <v>2</v>
      </c>
      <c r="AO291" s="7">
        <v>1</v>
      </c>
      <c r="AP291" s="7">
        <v>0</v>
      </c>
      <c r="AQ291" s="7">
        <v>2</v>
      </c>
      <c r="AR291" s="7">
        <v>4</v>
      </c>
      <c r="AS291" s="22">
        <f t="shared" si="114"/>
        <v>9</v>
      </c>
      <c r="AT291" s="22">
        <f t="shared" si="115"/>
        <v>1.0638297872340425</v>
      </c>
      <c r="AU291" s="5">
        <f t="shared" si="116"/>
        <v>3</v>
      </c>
      <c r="AV291" s="5">
        <f t="shared" si="117"/>
        <v>0.45592705167173253</v>
      </c>
      <c r="AW291" s="5">
        <f t="shared" si="118"/>
        <v>2</v>
      </c>
      <c r="AX291" s="5">
        <f t="shared" si="119"/>
        <v>0.75987841945288748</v>
      </c>
      <c r="AY291" s="5">
        <f t="shared" si="120"/>
        <v>0.1519756838905775</v>
      </c>
      <c r="AZ291" s="5">
        <f t="shared" si="121"/>
        <v>0.1519756838905775</v>
      </c>
      <c r="BA291" s="5">
        <f t="shared" si="122"/>
        <v>0</v>
      </c>
      <c r="BB291" s="5">
        <f t="shared" si="123"/>
        <v>0.1519756838905775</v>
      </c>
      <c r="BC291" s="5">
        <f t="shared" si="124"/>
        <v>0.60790273556231</v>
      </c>
      <c r="BD291" s="6"/>
      <c r="BE291" s="6"/>
      <c r="BF291" s="59"/>
      <c r="BG291" s="6"/>
      <c r="BH291" s="5"/>
      <c r="BI291" s="5"/>
      <c r="BJ291" s="5" t="s">
        <v>498</v>
      </c>
    </row>
    <row r="292" spans="1:62">
      <c r="A292" s="1" t="s">
        <v>490</v>
      </c>
      <c r="B292" s="3" t="s">
        <v>33</v>
      </c>
      <c r="C292" s="3" t="s">
        <v>32</v>
      </c>
      <c r="D292" s="6">
        <v>74</v>
      </c>
      <c r="E292" s="6">
        <v>91</v>
      </c>
      <c r="F292" s="6">
        <v>2013</v>
      </c>
      <c r="G292" s="39">
        <v>12</v>
      </c>
      <c r="H292" s="28">
        <v>0</v>
      </c>
      <c r="I292" s="28">
        <v>2</v>
      </c>
      <c r="J292" s="5">
        <v>2018</v>
      </c>
      <c r="K292" s="5">
        <v>2024</v>
      </c>
      <c r="L292" s="5">
        <f t="shared" si="131"/>
        <v>5.58</v>
      </c>
      <c r="M292" s="5">
        <v>0</v>
      </c>
      <c r="N292" s="13" t="s">
        <v>499</v>
      </c>
      <c r="O292" s="5" t="s">
        <v>35</v>
      </c>
      <c r="P292" s="5">
        <v>0</v>
      </c>
      <c r="Q292" s="6"/>
      <c r="R292" s="5" t="s">
        <v>30</v>
      </c>
      <c r="S292" s="5" t="s">
        <v>653</v>
      </c>
      <c r="T292" s="6" t="s">
        <v>84</v>
      </c>
      <c r="U292" s="6">
        <v>0</v>
      </c>
      <c r="V292" s="25">
        <v>68</v>
      </c>
      <c r="W292" s="5">
        <v>11</v>
      </c>
      <c r="X292" s="7">
        <f t="shared" si="130"/>
        <v>55</v>
      </c>
      <c r="Y292" s="22">
        <f t="shared" si="132"/>
        <v>49</v>
      </c>
      <c r="Z292" s="15">
        <f t="shared" si="133"/>
        <v>6</v>
      </c>
      <c r="AA292" s="19">
        <v>2</v>
      </c>
      <c r="AB292" s="19">
        <v>2</v>
      </c>
      <c r="AC292" s="19">
        <v>0</v>
      </c>
      <c r="AD292" s="19">
        <v>1</v>
      </c>
      <c r="AE292" s="19">
        <v>1</v>
      </c>
      <c r="AF292" s="19">
        <v>2</v>
      </c>
      <c r="AG292" s="36">
        <f t="shared" si="127"/>
        <v>19</v>
      </c>
      <c r="AH292" s="36">
        <f t="shared" si="127"/>
        <v>1</v>
      </c>
      <c r="AI292" s="36">
        <f t="shared" si="127"/>
        <v>34</v>
      </c>
      <c r="AJ292" s="36">
        <f t="shared" si="127"/>
        <v>3</v>
      </c>
      <c r="AK292" s="36">
        <f t="shared" si="127"/>
        <v>2</v>
      </c>
      <c r="AL292" s="36">
        <f t="shared" si="127"/>
        <v>9</v>
      </c>
      <c r="AM292" s="7">
        <v>21</v>
      </c>
      <c r="AN292" s="7">
        <v>3</v>
      </c>
      <c r="AO292" s="7">
        <v>34</v>
      </c>
      <c r="AP292" s="7">
        <v>4</v>
      </c>
      <c r="AQ292" s="7">
        <v>3</v>
      </c>
      <c r="AR292" s="7">
        <v>11</v>
      </c>
      <c r="AS292" s="22">
        <f t="shared" si="114"/>
        <v>55</v>
      </c>
      <c r="AT292" s="22">
        <f t="shared" si="115"/>
        <v>8.7813620071684593</v>
      </c>
      <c r="AU292" s="5">
        <f t="shared" si="116"/>
        <v>40</v>
      </c>
      <c r="AV292" s="5">
        <f t="shared" si="117"/>
        <v>7.1684587813620073</v>
      </c>
      <c r="AW292" s="5">
        <f t="shared" si="118"/>
        <v>4</v>
      </c>
      <c r="AX292" s="5">
        <f t="shared" si="119"/>
        <v>3.4050179211469533</v>
      </c>
      <c r="AY292" s="5">
        <f t="shared" si="120"/>
        <v>0.17921146953405018</v>
      </c>
      <c r="AZ292" s="5">
        <f t="shared" si="121"/>
        <v>6.0931899641577063</v>
      </c>
      <c r="BA292" s="5">
        <f t="shared" si="122"/>
        <v>0.5376344086021505</v>
      </c>
      <c r="BB292" s="5">
        <f t="shared" si="123"/>
        <v>0.35842293906810035</v>
      </c>
      <c r="BC292" s="5">
        <f t="shared" si="124"/>
        <v>1.6129032258064515</v>
      </c>
      <c r="BD292" s="6"/>
      <c r="BE292" s="6"/>
      <c r="BF292" s="59"/>
      <c r="BG292" s="6"/>
      <c r="BH292" s="5"/>
      <c r="BI292" s="5" t="s">
        <v>500</v>
      </c>
      <c r="BJ292" s="13" t="s">
        <v>499</v>
      </c>
    </row>
    <row r="293" spans="1:62">
      <c r="A293" s="1" t="s">
        <v>490</v>
      </c>
      <c r="B293" s="3" t="s">
        <v>33</v>
      </c>
      <c r="C293" s="3" t="s">
        <v>32</v>
      </c>
      <c r="D293" s="6">
        <v>74</v>
      </c>
      <c r="E293" s="6">
        <v>91</v>
      </c>
      <c r="F293" s="6">
        <v>2013</v>
      </c>
      <c r="G293" s="39">
        <v>12</v>
      </c>
      <c r="H293" s="28">
        <v>0</v>
      </c>
      <c r="I293" s="28">
        <v>2</v>
      </c>
      <c r="J293" s="5">
        <v>2019</v>
      </c>
      <c r="K293" s="5">
        <v>2024</v>
      </c>
      <c r="L293" s="5">
        <f t="shared" si="131"/>
        <v>4.58</v>
      </c>
      <c r="M293" s="5">
        <v>0</v>
      </c>
      <c r="N293" s="5" t="s">
        <v>501</v>
      </c>
      <c r="O293" s="5" t="s">
        <v>43</v>
      </c>
      <c r="P293" s="5">
        <v>1</v>
      </c>
      <c r="Q293" s="5" t="s">
        <v>502</v>
      </c>
      <c r="R293" s="5" t="s">
        <v>225</v>
      </c>
      <c r="S293" s="5" t="s">
        <v>503</v>
      </c>
      <c r="T293" s="6"/>
      <c r="U293" s="6">
        <v>0</v>
      </c>
      <c r="V293" s="25"/>
      <c r="W293" s="5">
        <v>13</v>
      </c>
      <c r="X293" s="7">
        <f t="shared" si="130"/>
        <v>52</v>
      </c>
      <c r="Y293" s="22">
        <f t="shared" si="132"/>
        <v>30</v>
      </c>
      <c r="Z293" s="15">
        <f t="shared" si="133"/>
        <v>22</v>
      </c>
      <c r="AA293" s="19">
        <v>5</v>
      </c>
      <c r="AB293" s="19">
        <v>0</v>
      </c>
      <c r="AC293" s="19">
        <v>12</v>
      </c>
      <c r="AD293" s="19">
        <v>6</v>
      </c>
      <c r="AE293" s="19">
        <v>3</v>
      </c>
      <c r="AF293" s="19">
        <v>1</v>
      </c>
      <c r="AG293" s="36">
        <f t="shared" si="127"/>
        <v>5</v>
      </c>
      <c r="AH293" s="36">
        <f t="shared" si="127"/>
        <v>0</v>
      </c>
      <c r="AI293" s="36">
        <f t="shared" si="127"/>
        <v>22</v>
      </c>
      <c r="AJ293" s="36">
        <f t="shared" si="127"/>
        <v>4</v>
      </c>
      <c r="AK293" s="36">
        <f t="shared" si="127"/>
        <v>1</v>
      </c>
      <c r="AL293" s="36">
        <f t="shared" si="127"/>
        <v>3</v>
      </c>
      <c r="AM293" s="7">
        <v>10</v>
      </c>
      <c r="AN293" s="7">
        <v>0</v>
      </c>
      <c r="AO293" s="7">
        <v>34</v>
      </c>
      <c r="AP293" s="7">
        <v>10</v>
      </c>
      <c r="AQ293" s="7">
        <v>4</v>
      </c>
      <c r="AR293" s="7">
        <v>4</v>
      </c>
      <c r="AS293" s="22">
        <f t="shared" si="114"/>
        <v>52</v>
      </c>
      <c r="AT293" s="22">
        <f t="shared" si="115"/>
        <v>6.5502183406113534</v>
      </c>
      <c r="AU293" s="5">
        <f t="shared" si="116"/>
        <v>27</v>
      </c>
      <c r="AV293" s="5">
        <f t="shared" si="117"/>
        <v>5.8951965065502181</v>
      </c>
      <c r="AW293" s="5">
        <f t="shared" si="118"/>
        <v>21</v>
      </c>
      <c r="AX293" s="5">
        <f t="shared" si="119"/>
        <v>1.0917030567685588</v>
      </c>
      <c r="AY293" s="5">
        <f t="shared" si="120"/>
        <v>0</v>
      </c>
      <c r="AZ293" s="5">
        <f t="shared" si="121"/>
        <v>4.8034934497816595</v>
      </c>
      <c r="BA293" s="5">
        <f t="shared" si="122"/>
        <v>0.8733624454148472</v>
      </c>
      <c r="BB293" s="5">
        <f t="shared" si="123"/>
        <v>0.2183406113537118</v>
      </c>
      <c r="BC293" s="5">
        <f t="shared" si="124"/>
        <v>0.65502183406113534</v>
      </c>
      <c r="BD293" s="6"/>
      <c r="BE293" s="6"/>
      <c r="BF293" s="59"/>
      <c r="BG293" s="6"/>
      <c r="BH293" s="5"/>
      <c r="BI293" s="5"/>
      <c r="BJ293" s="5" t="s">
        <v>501</v>
      </c>
    </row>
    <row r="294" spans="1:62">
      <c r="A294" s="1" t="s">
        <v>490</v>
      </c>
      <c r="B294" s="3" t="s">
        <v>33</v>
      </c>
      <c r="C294" s="3" t="s">
        <v>32</v>
      </c>
      <c r="D294" s="6">
        <v>74</v>
      </c>
      <c r="E294" s="6">
        <v>91</v>
      </c>
      <c r="F294" s="6">
        <v>2013</v>
      </c>
      <c r="G294" s="39">
        <v>12</v>
      </c>
      <c r="H294" s="28">
        <v>0</v>
      </c>
      <c r="I294" s="28">
        <v>2</v>
      </c>
      <c r="J294" s="5">
        <v>2020</v>
      </c>
      <c r="K294" s="5">
        <v>2024</v>
      </c>
      <c r="L294" s="5">
        <f t="shared" si="131"/>
        <v>3.58</v>
      </c>
      <c r="M294" s="5">
        <v>0</v>
      </c>
      <c r="N294" s="5" t="s">
        <v>504</v>
      </c>
      <c r="O294" s="5" t="s">
        <v>35</v>
      </c>
      <c r="P294" s="5">
        <v>0</v>
      </c>
      <c r="Q294" s="6"/>
      <c r="R294" s="5" t="s">
        <v>30</v>
      </c>
      <c r="S294" s="5" t="s">
        <v>145</v>
      </c>
      <c r="T294" s="6" t="s">
        <v>218</v>
      </c>
      <c r="U294" s="6" t="s">
        <v>559</v>
      </c>
      <c r="V294" s="25">
        <v>6</v>
      </c>
      <c r="W294" s="5">
        <v>6</v>
      </c>
      <c r="X294" s="7">
        <f t="shared" si="130"/>
        <v>8</v>
      </c>
      <c r="Y294" s="22">
        <f t="shared" si="132"/>
        <v>0</v>
      </c>
      <c r="Z294" s="15">
        <f t="shared" si="133"/>
        <v>8</v>
      </c>
      <c r="AA294" s="19">
        <v>4</v>
      </c>
      <c r="AB294" s="19">
        <v>1</v>
      </c>
      <c r="AC294" s="19">
        <v>6</v>
      </c>
      <c r="AD294" s="19">
        <v>1</v>
      </c>
      <c r="AE294" s="19">
        <v>0</v>
      </c>
      <c r="AF294" s="19">
        <v>0</v>
      </c>
      <c r="AG294" s="36">
        <f t="shared" si="127"/>
        <v>0</v>
      </c>
      <c r="AH294" s="36">
        <f t="shared" si="127"/>
        <v>0</v>
      </c>
      <c r="AI294" s="36">
        <f t="shared" si="127"/>
        <v>0</v>
      </c>
      <c r="AJ294" s="36">
        <f t="shared" si="127"/>
        <v>0</v>
      </c>
      <c r="AK294" s="36">
        <f t="shared" si="127"/>
        <v>0</v>
      </c>
      <c r="AL294" s="36">
        <f t="shared" si="127"/>
        <v>0</v>
      </c>
      <c r="AM294" s="7">
        <v>4</v>
      </c>
      <c r="AN294" s="7">
        <v>1</v>
      </c>
      <c r="AO294" s="7">
        <v>6</v>
      </c>
      <c r="AP294" s="7">
        <v>1</v>
      </c>
      <c r="AQ294" s="7">
        <v>0</v>
      </c>
      <c r="AR294" s="7">
        <v>0</v>
      </c>
      <c r="AS294" s="22">
        <f t="shared" si="114"/>
        <v>8</v>
      </c>
      <c r="AT294" s="22">
        <f t="shared" si="115"/>
        <v>0</v>
      </c>
      <c r="AU294" s="5">
        <f t="shared" si="116"/>
        <v>0</v>
      </c>
      <c r="AV294" s="5">
        <f t="shared" si="117"/>
        <v>0</v>
      </c>
      <c r="AW294" s="5">
        <f t="shared" si="118"/>
        <v>8</v>
      </c>
      <c r="AX294" s="5">
        <f t="shared" si="119"/>
        <v>0</v>
      </c>
      <c r="AY294" s="5">
        <f t="shared" si="120"/>
        <v>0</v>
      </c>
      <c r="AZ294" s="5">
        <f t="shared" si="121"/>
        <v>0</v>
      </c>
      <c r="BA294" s="5">
        <f t="shared" si="122"/>
        <v>0</v>
      </c>
      <c r="BB294" s="5">
        <f t="shared" si="123"/>
        <v>0</v>
      </c>
      <c r="BC294" s="5">
        <f t="shared" si="124"/>
        <v>0</v>
      </c>
      <c r="BD294" s="6"/>
      <c r="BE294" s="6"/>
      <c r="BF294" s="59"/>
      <c r="BG294" s="6"/>
      <c r="BH294" s="5"/>
      <c r="BI294" s="5"/>
      <c r="BJ294" s="5" t="s">
        <v>504</v>
      </c>
    </row>
    <row r="295" spans="1:62">
      <c r="A295" s="1" t="s">
        <v>490</v>
      </c>
      <c r="B295" s="3" t="s">
        <v>33</v>
      </c>
      <c r="C295" s="3" t="s">
        <v>32</v>
      </c>
      <c r="D295" s="6">
        <v>74</v>
      </c>
      <c r="E295" s="6">
        <v>91</v>
      </c>
      <c r="F295" s="6">
        <v>2013</v>
      </c>
      <c r="G295" s="39">
        <v>12</v>
      </c>
      <c r="H295" s="28">
        <v>0</v>
      </c>
      <c r="I295" s="28">
        <v>2</v>
      </c>
      <c r="J295" s="5">
        <v>2020</v>
      </c>
      <c r="K295" s="5">
        <v>2024</v>
      </c>
      <c r="L295" s="5">
        <f t="shared" si="131"/>
        <v>3.58</v>
      </c>
      <c r="M295" s="5">
        <v>0</v>
      </c>
      <c r="N295" s="5" t="s">
        <v>505</v>
      </c>
      <c r="O295" s="5" t="s">
        <v>35</v>
      </c>
      <c r="P295" s="5">
        <v>1</v>
      </c>
      <c r="Q295" s="5" t="s">
        <v>623</v>
      </c>
      <c r="R295" s="5" t="s">
        <v>30</v>
      </c>
      <c r="S295" s="10" t="s">
        <v>506</v>
      </c>
      <c r="T295" s="6"/>
      <c r="U295" s="6">
        <v>0</v>
      </c>
      <c r="V295" s="25"/>
      <c r="W295" s="5">
        <v>19</v>
      </c>
      <c r="X295" s="7">
        <f t="shared" si="130"/>
        <v>115</v>
      </c>
      <c r="Y295" s="22">
        <f t="shared" si="132"/>
        <v>75</v>
      </c>
      <c r="Z295" s="15">
        <f t="shared" si="133"/>
        <v>40</v>
      </c>
      <c r="AA295" s="19">
        <v>9</v>
      </c>
      <c r="AB295" s="19">
        <v>2</v>
      </c>
      <c r="AC295" s="19">
        <v>21</v>
      </c>
      <c r="AD295" s="19">
        <v>5</v>
      </c>
      <c r="AE295" s="19">
        <v>6</v>
      </c>
      <c r="AF295" s="19">
        <v>6</v>
      </c>
      <c r="AG295" s="36">
        <f t="shared" si="127"/>
        <v>22</v>
      </c>
      <c r="AH295" s="36">
        <f t="shared" si="127"/>
        <v>0</v>
      </c>
      <c r="AI295" s="36">
        <f t="shared" si="127"/>
        <v>40</v>
      </c>
      <c r="AJ295" s="36">
        <f t="shared" si="127"/>
        <v>6</v>
      </c>
      <c r="AK295" s="36">
        <f t="shared" si="127"/>
        <v>6</v>
      </c>
      <c r="AL295" s="36">
        <f t="shared" si="127"/>
        <v>23</v>
      </c>
      <c r="AM295" s="7">
        <v>31</v>
      </c>
      <c r="AN295" s="7">
        <v>2</v>
      </c>
      <c r="AO295" s="7">
        <v>61</v>
      </c>
      <c r="AP295" s="7">
        <v>11</v>
      </c>
      <c r="AQ295" s="7">
        <v>12</v>
      </c>
      <c r="AR295" s="7">
        <v>29</v>
      </c>
      <c r="AS295" s="22">
        <f t="shared" si="114"/>
        <v>115</v>
      </c>
      <c r="AT295" s="22">
        <f t="shared" si="115"/>
        <v>20.949720670391063</v>
      </c>
      <c r="AU295" s="5">
        <f t="shared" si="116"/>
        <v>52</v>
      </c>
      <c r="AV295" s="5">
        <f t="shared" si="117"/>
        <v>14.525139664804469</v>
      </c>
      <c r="AW295" s="5">
        <f t="shared" si="118"/>
        <v>34</v>
      </c>
      <c r="AX295" s="5">
        <f t="shared" si="119"/>
        <v>6.1452513966480442</v>
      </c>
      <c r="AY295" s="5">
        <f t="shared" si="120"/>
        <v>0</v>
      </c>
      <c r="AZ295" s="5">
        <f t="shared" si="121"/>
        <v>11.173184357541899</v>
      </c>
      <c r="BA295" s="5">
        <f t="shared" si="122"/>
        <v>1.6759776536312849</v>
      </c>
      <c r="BB295" s="5">
        <f t="shared" si="123"/>
        <v>1.6759776536312849</v>
      </c>
      <c r="BC295" s="5">
        <f t="shared" si="124"/>
        <v>6.4245810055865924</v>
      </c>
      <c r="BD295" s="6"/>
      <c r="BE295" s="6"/>
      <c r="BF295" s="59"/>
      <c r="BG295" s="6"/>
      <c r="BH295" s="5"/>
      <c r="BI295" s="5"/>
      <c r="BJ295" s="5" t="s">
        <v>505</v>
      </c>
    </row>
    <row r="296" spans="1:62">
      <c r="A296" s="1" t="s">
        <v>490</v>
      </c>
      <c r="B296" s="3" t="s">
        <v>33</v>
      </c>
      <c r="C296" s="3" t="s">
        <v>32</v>
      </c>
      <c r="D296" s="6">
        <v>74</v>
      </c>
      <c r="E296" s="6">
        <v>91</v>
      </c>
      <c r="F296" s="6">
        <v>2013</v>
      </c>
      <c r="G296" s="39">
        <v>12</v>
      </c>
      <c r="H296" s="28">
        <v>0</v>
      </c>
      <c r="I296" s="28">
        <v>2</v>
      </c>
      <c r="J296" s="5">
        <v>2021</v>
      </c>
      <c r="K296" s="5">
        <v>2024</v>
      </c>
      <c r="L296" s="5">
        <f t="shared" si="131"/>
        <v>2.58</v>
      </c>
      <c r="M296" s="5">
        <v>0</v>
      </c>
      <c r="N296" s="5" t="s">
        <v>507</v>
      </c>
      <c r="O296" s="5" t="s">
        <v>28</v>
      </c>
      <c r="P296" s="5">
        <v>0</v>
      </c>
      <c r="Q296" s="6"/>
      <c r="R296" s="5" t="s">
        <v>225</v>
      </c>
      <c r="S296" s="5" t="s">
        <v>508</v>
      </c>
      <c r="T296" s="6" t="s">
        <v>84</v>
      </c>
      <c r="U296" s="6">
        <v>0</v>
      </c>
      <c r="V296" s="25">
        <v>58</v>
      </c>
      <c r="W296" s="5">
        <v>12</v>
      </c>
      <c r="X296" s="7">
        <f t="shared" si="130"/>
        <v>45</v>
      </c>
      <c r="Y296" s="22">
        <f t="shared" si="132"/>
        <v>21</v>
      </c>
      <c r="Z296" s="15">
        <f t="shared" si="133"/>
        <v>24</v>
      </c>
      <c r="AA296" s="19">
        <v>4</v>
      </c>
      <c r="AB296" s="19">
        <v>0</v>
      </c>
      <c r="AC296" s="19">
        <v>13</v>
      </c>
      <c r="AD296" s="19">
        <v>3</v>
      </c>
      <c r="AE296" s="19">
        <v>3</v>
      </c>
      <c r="AF296" s="19">
        <v>5</v>
      </c>
      <c r="AG296" s="36">
        <f t="shared" si="127"/>
        <v>2</v>
      </c>
      <c r="AH296" s="36">
        <f t="shared" si="127"/>
        <v>0</v>
      </c>
      <c r="AI296" s="36">
        <f t="shared" si="127"/>
        <v>8</v>
      </c>
      <c r="AJ296" s="36">
        <f t="shared" si="127"/>
        <v>5</v>
      </c>
      <c r="AK296" s="36">
        <f t="shared" si="127"/>
        <v>5</v>
      </c>
      <c r="AL296" s="36">
        <f t="shared" si="127"/>
        <v>3</v>
      </c>
      <c r="AM296" s="7">
        <v>6</v>
      </c>
      <c r="AN296" s="7">
        <v>0</v>
      </c>
      <c r="AO296" s="7">
        <v>21</v>
      </c>
      <c r="AP296" s="7">
        <v>8</v>
      </c>
      <c r="AQ296" s="7">
        <v>8</v>
      </c>
      <c r="AR296" s="7">
        <v>8</v>
      </c>
      <c r="AS296" s="22">
        <f t="shared" si="114"/>
        <v>45</v>
      </c>
      <c r="AT296" s="22">
        <f t="shared" si="115"/>
        <v>8.1395348837209305</v>
      </c>
      <c r="AU296" s="5">
        <f t="shared" si="116"/>
        <v>18</v>
      </c>
      <c r="AV296" s="5">
        <f t="shared" si="117"/>
        <v>6.9767441860465116</v>
      </c>
      <c r="AW296" s="5">
        <f t="shared" si="118"/>
        <v>19</v>
      </c>
      <c r="AX296" s="5">
        <f t="shared" si="119"/>
        <v>0.77519379844961234</v>
      </c>
      <c r="AY296" s="5">
        <f t="shared" si="120"/>
        <v>0</v>
      </c>
      <c r="AZ296" s="5">
        <f t="shared" si="121"/>
        <v>3.1007751937984493</v>
      </c>
      <c r="BA296" s="5">
        <f t="shared" si="122"/>
        <v>1.9379844961240309</v>
      </c>
      <c r="BB296" s="5">
        <f t="shared" si="123"/>
        <v>1.9379844961240309</v>
      </c>
      <c r="BC296" s="5">
        <f t="shared" si="124"/>
        <v>1.1627906976744187</v>
      </c>
      <c r="BD296" s="6"/>
      <c r="BE296" s="6"/>
      <c r="BF296" s="59"/>
      <c r="BG296" s="6"/>
      <c r="BH296" s="5"/>
      <c r="BI296" s="5"/>
      <c r="BJ296" s="5" t="s">
        <v>507</v>
      </c>
    </row>
    <row r="297" spans="1:62">
      <c r="A297" s="1" t="s">
        <v>490</v>
      </c>
      <c r="B297" s="3" t="s">
        <v>33</v>
      </c>
      <c r="C297" s="3" t="s">
        <v>32</v>
      </c>
      <c r="D297" s="6">
        <v>74</v>
      </c>
      <c r="E297" s="6">
        <v>91</v>
      </c>
      <c r="F297" s="6">
        <v>2013</v>
      </c>
      <c r="G297" s="39">
        <v>12</v>
      </c>
      <c r="H297" s="28">
        <v>0</v>
      </c>
      <c r="I297" s="28">
        <v>2</v>
      </c>
      <c r="J297" s="5">
        <v>2021</v>
      </c>
      <c r="K297" s="5">
        <v>2024</v>
      </c>
      <c r="L297" s="5">
        <f t="shared" si="131"/>
        <v>2.58</v>
      </c>
      <c r="M297" s="5">
        <v>0</v>
      </c>
      <c r="N297" s="5" t="s">
        <v>509</v>
      </c>
      <c r="O297" s="5" t="s">
        <v>35</v>
      </c>
      <c r="P297" s="5">
        <v>0</v>
      </c>
      <c r="Q297" s="6"/>
      <c r="R297" s="5" t="s">
        <v>30</v>
      </c>
      <c r="S297" s="5" t="s">
        <v>510</v>
      </c>
      <c r="T297" s="6" t="s">
        <v>101</v>
      </c>
      <c r="U297" s="6">
        <v>0</v>
      </c>
      <c r="V297" s="25">
        <v>28</v>
      </c>
      <c r="W297" s="5">
        <v>2</v>
      </c>
      <c r="X297" s="7">
        <f t="shared" si="130"/>
        <v>7</v>
      </c>
      <c r="Y297" s="22">
        <f t="shared" si="132"/>
        <v>3</v>
      </c>
      <c r="Z297" s="15">
        <f t="shared" si="133"/>
        <v>4</v>
      </c>
      <c r="AA297" s="19">
        <v>1</v>
      </c>
      <c r="AB297" s="19">
        <v>1</v>
      </c>
      <c r="AC297" s="19">
        <v>2</v>
      </c>
      <c r="AD297" s="19">
        <v>0</v>
      </c>
      <c r="AE297" s="19">
        <v>1</v>
      </c>
      <c r="AF297" s="19">
        <v>0</v>
      </c>
      <c r="AG297" s="36">
        <f t="shared" si="127"/>
        <v>1</v>
      </c>
      <c r="AH297" s="36">
        <f t="shared" si="127"/>
        <v>0</v>
      </c>
      <c r="AI297" s="36">
        <f t="shared" si="127"/>
        <v>2</v>
      </c>
      <c r="AJ297" s="36">
        <f t="shared" si="127"/>
        <v>0</v>
      </c>
      <c r="AK297" s="36">
        <f t="shared" si="127"/>
        <v>0</v>
      </c>
      <c r="AL297" s="36">
        <f t="shared" si="127"/>
        <v>1</v>
      </c>
      <c r="AM297" s="7">
        <v>2</v>
      </c>
      <c r="AN297" s="7">
        <v>1</v>
      </c>
      <c r="AO297" s="7">
        <v>4</v>
      </c>
      <c r="AP297" s="7">
        <v>0</v>
      </c>
      <c r="AQ297" s="7">
        <v>1</v>
      </c>
      <c r="AR297" s="7">
        <v>1</v>
      </c>
      <c r="AS297" s="22">
        <f t="shared" si="114"/>
        <v>7</v>
      </c>
      <c r="AT297" s="22">
        <f t="shared" si="115"/>
        <v>1.1627906976744187</v>
      </c>
      <c r="AU297" s="5">
        <f t="shared" si="116"/>
        <v>2</v>
      </c>
      <c r="AV297" s="5">
        <f t="shared" si="117"/>
        <v>0.77519379844961234</v>
      </c>
      <c r="AW297" s="5">
        <f t="shared" si="118"/>
        <v>4</v>
      </c>
      <c r="AX297" s="5">
        <f t="shared" si="119"/>
        <v>0.38759689922480617</v>
      </c>
      <c r="AY297" s="5">
        <f t="shared" si="120"/>
        <v>0</v>
      </c>
      <c r="AZ297" s="5">
        <f t="shared" si="121"/>
        <v>0.77519379844961234</v>
      </c>
      <c r="BA297" s="5">
        <f t="shared" si="122"/>
        <v>0</v>
      </c>
      <c r="BB297" s="5">
        <f t="shared" si="123"/>
        <v>0</v>
      </c>
      <c r="BC297" s="5">
        <f t="shared" si="124"/>
        <v>0.38759689922480617</v>
      </c>
      <c r="BD297" s="6"/>
      <c r="BE297" s="6"/>
      <c r="BF297" s="59"/>
      <c r="BG297" s="6"/>
      <c r="BH297" s="5"/>
      <c r="BI297" s="5"/>
      <c r="BJ297" s="5" t="s">
        <v>509</v>
      </c>
    </row>
    <row r="298" spans="1:62">
      <c r="A298" s="1" t="s">
        <v>490</v>
      </c>
      <c r="B298" s="3" t="s">
        <v>33</v>
      </c>
      <c r="C298" s="3" t="s">
        <v>32</v>
      </c>
      <c r="D298" s="6">
        <v>74</v>
      </c>
      <c r="E298" s="6">
        <v>91</v>
      </c>
      <c r="F298" s="6">
        <v>2013</v>
      </c>
      <c r="G298" s="39">
        <v>12</v>
      </c>
      <c r="H298" s="28">
        <v>0</v>
      </c>
      <c r="I298" s="28">
        <v>2</v>
      </c>
      <c r="J298" s="5">
        <v>2022</v>
      </c>
      <c r="K298" s="5">
        <v>2024</v>
      </c>
      <c r="L298" s="5">
        <f t="shared" si="131"/>
        <v>1.58</v>
      </c>
      <c r="M298" s="5">
        <v>0</v>
      </c>
      <c r="N298" s="5" t="s">
        <v>511</v>
      </c>
      <c r="O298" s="5" t="s">
        <v>28</v>
      </c>
      <c r="P298" s="5">
        <v>1</v>
      </c>
      <c r="Q298" s="5" t="s">
        <v>512</v>
      </c>
      <c r="R298" s="5" t="s">
        <v>30</v>
      </c>
      <c r="S298" s="5" t="s">
        <v>513</v>
      </c>
      <c r="T298" s="6"/>
      <c r="U298" s="6">
        <v>0</v>
      </c>
      <c r="V298" s="25"/>
      <c r="W298" s="5">
        <v>6</v>
      </c>
      <c r="X298" s="7">
        <f t="shared" si="130"/>
        <v>21</v>
      </c>
      <c r="Y298" s="22">
        <f t="shared" si="132"/>
        <v>10</v>
      </c>
      <c r="Z298" s="15">
        <f t="shared" si="133"/>
        <v>11</v>
      </c>
      <c r="AA298" s="19">
        <v>4</v>
      </c>
      <c r="AB298" s="19">
        <v>0</v>
      </c>
      <c r="AC298" s="19">
        <v>9</v>
      </c>
      <c r="AD298" s="19">
        <v>0</v>
      </c>
      <c r="AE298" s="19">
        <v>2</v>
      </c>
      <c r="AF298" s="19">
        <v>0</v>
      </c>
      <c r="AG298" s="36">
        <f t="shared" si="127"/>
        <v>1</v>
      </c>
      <c r="AH298" s="36">
        <f t="shared" si="127"/>
        <v>0</v>
      </c>
      <c r="AI298" s="36">
        <f t="shared" si="127"/>
        <v>8</v>
      </c>
      <c r="AJ298" s="36">
        <f t="shared" si="127"/>
        <v>0</v>
      </c>
      <c r="AK298" s="36">
        <f t="shared" si="127"/>
        <v>1</v>
      </c>
      <c r="AL298" s="36">
        <f t="shared" si="127"/>
        <v>1</v>
      </c>
      <c r="AM298" s="7">
        <v>5</v>
      </c>
      <c r="AN298" s="7">
        <v>0</v>
      </c>
      <c r="AO298" s="7">
        <v>17</v>
      </c>
      <c r="AP298" s="7">
        <v>0</v>
      </c>
      <c r="AQ298" s="7">
        <v>3</v>
      </c>
      <c r="AR298" s="7">
        <v>1</v>
      </c>
      <c r="AS298" s="22">
        <f t="shared" si="114"/>
        <v>21</v>
      </c>
      <c r="AT298" s="22">
        <f t="shared" si="115"/>
        <v>6.3291139240506329</v>
      </c>
      <c r="AU298" s="5">
        <f t="shared" si="116"/>
        <v>9</v>
      </c>
      <c r="AV298" s="5">
        <f t="shared" si="117"/>
        <v>5.6962025316455698</v>
      </c>
      <c r="AW298" s="5">
        <f t="shared" si="118"/>
        <v>11</v>
      </c>
      <c r="AX298" s="5">
        <f t="shared" si="119"/>
        <v>0.63291139240506322</v>
      </c>
      <c r="AY298" s="5">
        <f t="shared" si="120"/>
        <v>0</v>
      </c>
      <c r="AZ298" s="5">
        <f t="shared" si="121"/>
        <v>5.0632911392405058</v>
      </c>
      <c r="BA298" s="5">
        <f t="shared" si="122"/>
        <v>0</v>
      </c>
      <c r="BB298" s="5">
        <f t="shared" si="123"/>
        <v>0.63291139240506322</v>
      </c>
      <c r="BC298" s="5">
        <f t="shared" si="124"/>
        <v>0.63291139240506322</v>
      </c>
      <c r="BD298" s="6"/>
      <c r="BE298" s="6"/>
      <c r="BF298" s="59"/>
      <c r="BG298" s="6"/>
      <c r="BH298" s="5"/>
      <c r="BI298" s="5"/>
      <c r="BJ298" s="5" t="s">
        <v>511</v>
      </c>
    </row>
    <row r="299" spans="1:62">
      <c r="A299" s="1" t="s">
        <v>490</v>
      </c>
      <c r="B299" s="3" t="s">
        <v>33</v>
      </c>
      <c r="C299" s="3" t="s">
        <v>32</v>
      </c>
      <c r="D299" s="6">
        <v>74</v>
      </c>
      <c r="E299" s="6">
        <v>91</v>
      </c>
      <c r="F299" s="6">
        <v>2013</v>
      </c>
      <c r="G299" s="39">
        <v>12</v>
      </c>
      <c r="H299" s="28">
        <v>0</v>
      </c>
      <c r="I299" s="28">
        <v>2</v>
      </c>
      <c r="J299" s="5">
        <v>2022</v>
      </c>
      <c r="K299" s="5">
        <v>2024</v>
      </c>
      <c r="L299" s="5">
        <f t="shared" si="131"/>
        <v>1.58</v>
      </c>
      <c r="M299" s="5">
        <v>0</v>
      </c>
      <c r="N299" s="5" t="s">
        <v>624</v>
      </c>
      <c r="O299" s="5" t="s">
        <v>28</v>
      </c>
      <c r="P299" s="5">
        <v>0</v>
      </c>
      <c r="Q299" s="6"/>
      <c r="R299" s="5" t="s">
        <v>30</v>
      </c>
      <c r="S299" s="5" t="s">
        <v>514</v>
      </c>
      <c r="T299" s="6" t="s">
        <v>84</v>
      </c>
      <c r="U299" s="6">
        <v>0</v>
      </c>
      <c r="V299" s="25">
        <v>53</v>
      </c>
      <c r="W299" s="5">
        <v>1</v>
      </c>
      <c r="X299" s="7">
        <f t="shared" si="130"/>
        <v>7</v>
      </c>
      <c r="Y299" s="22">
        <f t="shared" si="132"/>
        <v>5</v>
      </c>
      <c r="Z299" s="15">
        <f t="shared" si="133"/>
        <v>2</v>
      </c>
      <c r="AA299" s="19">
        <v>1</v>
      </c>
      <c r="AB299" s="19">
        <v>0</v>
      </c>
      <c r="AC299" s="19">
        <v>0</v>
      </c>
      <c r="AD299" s="19">
        <v>2</v>
      </c>
      <c r="AE299" s="19">
        <v>0</v>
      </c>
      <c r="AF299" s="19">
        <v>0</v>
      </c>
      <c r="AG299" s="36">
        <f t="shared" si="127"/>
        <v>3</v>
      </c>
      <c r="AH299" s="36">
        <f t="shared" si="127"/>
        <v>0</v>
      </c>
      <c r="AI299" s="36">
        <f t="shared" si="127"/>
        <v>1</v>
      </c>
      <c r="AJ299" s="36">
        <f t="shared" si="127"/>
        <v>0</v>
      </c>
      <c r="AK299" s="36">
        <f t="shared" si="127"/>
        <v>0</v>
      </c>
      <c r="AL299" s="36">
        <f t="shared" si="127"/>
        <v>4</v>
      </c>
      <c r="AM299" s="7">
        <v>4</v>
      </c>
      <c r="AN299" s="7">
        <v>0</v>
      </c>
      <c r="AO299" s="7">
        <v>1</v>
      </c>
      <c r="AP299" s="7">
        <v>2</v>
      </c>
      <c r="AQ299" s="7">
        <v>0</v>
      </c>
      <c r="AR299" s="7">
        <v>4</v>
      </c>
      <c r="AS299" s="22">
        <f t="shared" si="114"/>
        <v>7</v>
      </c>
      <c r="AT299" s="22">
        <f t="shared" si="115"/>
        <v>3.1645569620253164</v>
      </c>
      <c r="AU299" s="5">
        <f t="shared" si="116"/>
        <v>1</v>
      </c>
      <c r="AV299" s="5">
        <f t="shared" si="117"/>
        <v>0.63291139240506322</v>
      </c>
      <c r="AW299" s="5">
        <f t="shared" si="118"/>
        <v>2</v>
      </c>
      <c r="AX299" s="5">
        <f t="shared" si="119"/>
        <v>1.8987341772151898</v>
      </c>
      <c r="AY299" s="5">
        <f t="shared" si="120"/>
        <v>0</v>
      </c>
      <c r="AZ299" s="5">
        <f t="shared" si="121"/>
        <v>0.63291139240506322</v>
      </c>
      <c r="BA299" s="5">
        <f t="shared" si="122"/>
        <v>0</v>
      </c>
      <c r="BB299" s="5">
        <f t="shared" si="123"/>
        <v>0</v>
      </c>
      <c r="BC299" s="5">
        <f t="shared" si="124"/>
        <v>2.5316455696202529</v>
      </c>
      <c r="BD299" s="6"/>
      <c r="BE299" s="6"/>
      <c r="BF299" s="59"/>
      <c r="BG299" s="6"/>
      <c r="BH299" s="5"/>
      <c r="BI299" s="5"/>
      <c r="BJ299" s="5" t="s">
        <v>624</v>
      </c>
    </row>
    <row r="300" spans="1:62">
      <c r="A300" s="1" t="s">
        <v>490</v>
      </c>
      <c r="B300" s="3" t="s">
        <v>33</v>
      </c>
      <c r="C300" s="3" t="s">
        <v>32</v>
      </c>
      <c r="D300" s="6">
        <v>74</v>
      </c>
      <c r="E300" s="6">
        <v>91</v>
      </c>
      <c r="F300" s="6">
        <v>2013</v>
      </c>
      <c r="G300" s="39">
        <v>12</v>
      </c>
      <c r="H300" s="28">
        <v>0</v>
      </c>
      <c r="I300" s="28">
        <v>2</v>
      </c>
      <c r="J300" s="5">
        <v>2016</v>
      </c>
      <c r="K300" s="5">
        <v>2022</v>
      </c>
      <c r="L300" s="5">
        <f>(K300-J300)</f>
        <v>6</v>
      </c>
      <c r="M300" s="5">
        <v>1</v>
      </c>
      <c r="N300" s="5" t="s">
        <v>625</v>
      </c>
      <c r="O300" s="5" t="s">
        <v>28</v>
      </c>
      <c r="P300" s="5">
        <v>0</v>
      </c>
      <c r="Q300" s="5"/>
      <c r="R300" s="5" t="s">
        <v>156</v>
      </c>
      <c r="S300" s="5" t="s">
        <v>471</v>
      </c>
      <c r="T300" s="6" t="s">
        <v>37</v>
      </c>
      <c r="U300" s="6">
        <v>0</v>
      </c>
      <c r="V300" s="25">
        <v>23</v>
      </c>
      <c r="W300" s="5">
        <v>1</v>
      </c>
      <c r="X300" s="7">
        <f t="shared" si="130"/>
        <v>1</v>
      </c>
      <c r="Y300" s="22">
        <f t="shared" si="132"/>
        <v>1</v>
      </c>
      <c r="Z300" s="15">
        <f t="shared" si="133"/>
        <v>0</v>
      </c>
      <c r="AA300" s="47">
        <v>0</v>
      </c>
      <c r="AB300" s="47">
        <v>0</v>
      </c>
      <c r="AC300" s="47">
        <v>0</v>
      </c>
      <c r="AD300" s="47">
        <v>0</v>
      </c>
      <c r="AE300" s="47">
        <v>0</v>
      </c>
      <c r="AF300" s="47">
        <v>0</v>
      </c>
      <c r="AG300" s="36">
        <f t="shared" si="127"/>
        <v>0</v>
      </c>
      <c r="AH300" s="36">
        <f t="shared" si="127"/>
        <v>0</v>
      </c>
      <c r="AI300" s="36">
        <f t="shared" si="127"/>
        <v>0</v>
      </c>
      <c r="AJ300" s="36">
        <f t="shared" si="127"/>
        <v>0</v>
      </c>
      <c r="AK300" s="36">
        <f t="shared" si="127"/>
        <v>1</v>
      </c>
      <c r="AL300" s="36">
        <f t="shared" si="127"/>
        <v>0</v>
      </c>
      <c r="AM300" s="45">
        <v>0</v>
      </c>
      <c r="AN300" s="45">
        <v>0</v>
      </c>
      <c r="AO300" s="45">
        <v>0</v>
      </c>
      <c r="AP300" s="45">
        <v>0</v>
      </c>
      <c r="AQ300" s="45">
        <v>1</v>
      </c>
      <c r="AR300" s="45">
        <v>0</v>
      </c>
      <c r="AS300" s="22">
        <f t="shared" si="114"/>
        <v>1</v>
      </c>
      <c r="AT300" s="22">
        <f t="shared" si="115"/>
        <v>0.16666666666666666</v>
      </c>
      <c r="AU300" s="5">
        <f t="shared" si="116"/>
        <v>1</v>
      </c>
      <c r="AV300" s="5">
        <f t="shared" si="117"/>
        <v>0.16666666666666666</v>
      </c>
      <c r="AW300" s="5">
        <f t="shared" si="118"/>
        <v>0</v>
      </c>
      <c r="AX300" s="5">
        <f t="shared" si="119"/>
        <v>0</v>
      </c>
      <c r="AY300" s="5">
        <f t="shared" si="120"/>
        <v>0</v>
      </c>
      <c r="AZ300" s="5">
        <f t="shared" si="121"/>
        <v>0</v>
      </c>
      <c r="BA300" s="5">
        <f t="shared" si="122"/>
        <v>0</v>
      </c>
      <c r="BB300" s="5">
        <f t="shared" si="123"/>
        <v>0.16666666666666666</v>
      </c>
      <c r="BC300" s="5">
        <f t="shared" si="124"/>
        <v>0</v>
      </c>
      <c r="BD300" s="6"/>
      <c r="BE300" s="6"/>
      <c r="BF300" s="59">
        <v>1</v>
      </c>
      <c r="BG300" s="32" t="s">
        <v>733</v>
      </c>
      <c r="BH300" s="5"/>
      <c r="BI300" s="5"/>
      <c r="BJ300" s="5" t="s">
        <v>625</v>
      </c>
    </row>
    <row r="301" spans="1:62">
      <c r="A301" s="1" t="s">
        <v>490</v>
      </c>
      <c r="B301" s="3" t="s">
        <v>33</v>
      </c>
      <c r="C301" s="3" t="s">
        <v>32</v>
      </c>
      <c r="D301" s="6">
        <v>74</v>
      </c>
      <c r="E301" s="6">
        <v>91</v>
      </c>
      <c r="F301" s="6">
        <v>2013</v>
      </c>
      <c r="G301" s="39">
        <v>12</v>
      </c>
      <c r="H301" s="28">
        <v>0</v>
      </c>
      <c r="I301" s="28">
        <v>2</v>
      </c>
      <c r="J301" s="5">
        <v>2015</v>
      </c>
      <c r="K301" s="5">
        <v>2021</v>
      </c>
      <c r="L301" s="5">
        <f>(K301-J301)</f>
        <v>6</v>
      </c>
      <c r="M301" s="5">
        <v>1</v>
      </c>
      <c r="N301" s="5" t="s">
        <v>626</v>
      </c>
      <c r="O301" s="5" t="s">
        <v>35</v>
      </c>
      <c r="P301" s="5">
        <v>0</v>
      </c>
      <c r="Q301" s="5"/>
      <c r="R301" s="5" t="s">
        <v>30</v>
      </c>
      <c r="S301" s="5" t="s">
        <v>526</v>
      </c>
      <c r="T301" s="6" t="s">
        <v>84</v>
      </c>
      <c r="U301" s="6">
        <v>0</v>
      </c>
      <c r="V301" s="25">
        <v>64</v>
      </c>
      <c r="W301" s="5">
        <v>5</v>
      </c>
      <c r="X301" s="7">
        <f t="shared" si="130"/>
        <v>12</v>
      </c>
      <c r="Y301" s="22">
        <f t="shared" si="132"/>
        <v>8</v>
      </c>
      <c r="Z301" s="15">
        <f t="shared" si="133"/>
        <v>4</v>
      </c>
      <c r="AA301" s="47">
        <v>2</v>
      </c>
      <c r="AB301" s="47">
        <v>0</v>
      </c>
      <c r="AC301" s="47">
        <v>2</v>
      </c>
      <c r="AD301" s="47">
        <v>0</v>
      </c>
      <c r="AE301" s="47">
        <v>0</v>
      </c>
      <c r="AF301" s="47">
        <v>2</v>
      </c>
      <c r="AG301" s="36">
        <f t="shared" si="127"/>
        <v>2</v>
      </c>
      <c r="AH301" s="36">
        <f t="shared" si="127"/>
        <v>0</v>
      </c>
      <c r="AI301" s="36">
        <f t="shared" si="127"/>
        <v>5</v>
      </c>
      <c r="AJ301" s="36">
        <f t="shared" si="127"/>
        <v>1</v>
      </c>
      <c r="AK301" s="36">
        <f t="shared" si="127"/>
        <v>2</v>
      </c>
      <c r="AL301" s="36">
        <f t="shared" si="127"/>
        <v>0</v>
      </c>
      <c r="AM301" s="45">
        <v>4</v>
      </c>
      <c r="AN301" s="45">
        <v>0</v>
      </c>
      <c r="AO301" s="45">
        <v>7</v>
      </c>
      <c r="AP301" s="45">
        <v>1</v>
      </c>
      <c r="AQ301" s="45">
        <v>2</v>
      </c>
      <c r="AR301" s="45">
        <v>2</v>
      </c>
      <c r="AS301" s="22">
        <f t="shared" si="114"/>
        <v>12</v>
      </c>
      <c r="AT301" s="22">
        <f t="shared" si="115"/>
        <v>1.3333333333333333</v>
      </c>
      <c r="AU301" s="5">
        <f t="shared" si="116"/>
        <v>8</v>
      </c>
      <c r="AV301" s="5">
        <f t="shared" si="117"/>
        <v>1.3333333333333333</v>
      </c>
      <c r="AW301" s="5">
        <f t="shared" si="118"/>
        <v>2</v>
      </c>
      <c r="AX301" s="5">
        <f t="shared" si="119"/>
        <v>0.33333333333333331</v>
      </c>
      <c r="AY301" s="5">
        <f t="shared" si="120"/>
        <v>0</v>
      </c>
      <c r="AZ301" s="5">
        <f t="shared" si="121"/>
        <v>0.83333333333333337</v>
      </c>
      <c r="BA301" s="5">
        <f t="shared" si="122"/>
        <v>0.16666666666666666</v>
      </c>
      <c r="BB301" s="5">
        <f t="shared" si="123"/>
        <v>0.33333333333333331</v>
      </c>
      <c r="BC301" s="5">
        <f t="shared" si="124"/>
        <v>0</v>
      </c>
      <c r="BD301" s="6"/>
      <c r="BE301" s="6"/>
      <c r="BF301" s="59">
        <v>0</v>
      </c>
      <c r="BG301" s="28" t="s">
        <v>734</v>
      </c>
      <c r="BH301" s="5"/>
      <c r="BI301" s="5"/>
      <c r="BJ301" s="5" t="s">
        <v>626</v>
      </c>
    </row>
  </sheetData>
  <autoFilter ref="A1:BI301" xr:uid="{E749A1A9-530F-754D-984D-33401D1EC1CC}"/>
  <hyperlinks>
    <hyperlink ref="N263" r:id="rId1" display="https://lsom.uthscsa.edu/ct-surgery/team-member/hope-cordova-do/" xr:uid="{D3DB0331-42FD-734D-8078-023E9DC2202F}"/>
    <hyperlink ref="N264" r:id="rId2" display="https://lsom.uthscsa.edu/ct-surgery/team-member/hope-cordova-do/" xr:uid="{DAB89896-FD1D-A44B-BC4C-23474C623BB6}"/>
    <hyperlink ref="N265" r:id="rId3" display="https://lsom.uthscsa.edu/ct-surgery/team-member/connor-mcdonald-md/" xr:uid="{66E4AE67-D26B-EF40-94DC-E5C372D0077C}"/>
    <hyperlink ref="N266" r:id="rId4" display="https://lsom.uthscsa.edu/ct-surgery/team-member/carolyn-dubeau-md/" xr:uid="{CDBD737A-845D-6143-A0BC-BC81FEAE81D6}"/>
    <hyperlink ref="N267" r:id="rId5" display="https://lsom.uthscsa.edu/ct-surgery/team-member/aakash-shah-md/" xr:uid="{586B980F-53CE-0045-B320-2CEC62852BF5}"/>
    <hyperlink ref="N268" r:id="rId6" display="https://lsom.uthscsa.edu/ct-surgery/team-member/anne-sandstrom-md/" xr:uid="{AD130140-455E-FD4B-B72C-8E7BA11FE4EF}"/>
    <hyperlink ref="N270" r:id="rId7" tooltip="Joseph Heiler" display="https://medicine.utah.edu/surgery/residents/joseph-heiler" xr:uid="{1E461ED6-ECC9-7F45-A085-B83F2527213A}"/>
    <hyperlink ref="BJ263" r:id="rId8" display="https://lsom.uthscsa.edu/ct-surgery/team-member/hope-cordova-do/" xr:uid="{D3F52964-3973-4E4E-85B3-C069E6A830F4}"/>
    <hyperlink ref="BJ264" r:id="rId9" display="https://lsom.uthscsa.edu/ct-surgery/team-member/hope-cordova-do/" xr:uid="{1DBA4D4C-4203-4959-A584-7BC76BB6DCAF}"/>
    <hyperlink ref="BJ265" r:id="rId10" display="https://lsom.uthscsa.edu/ct-surgery/team-member/connor-mcdonald-md/" xr:uid="{ACB959D5-AA15-4FDF-BAE3-63D55B600460}"/>
    <hyperlink ref="BJ266" r:id="rId11" display="https://lsom.uthscsa.edu/ct-surgery/team-member/carolyn-dubeau-md/" xr:uid="{0CFAD516-C36B-4F4C-835A-54AEB8F26410}"/>
    <hyperlink ref="BJ267" r:id="rId12" display="https://lsom.uthscsa.edu/ct-surgery/team-member/aakash-shah-md/" xr:uid="{B2B949AD-1D22-46F5-B426-47849C559DC5}"/>
    <hyperlink ref="BJ268" r:id="rId13" display="https://lsom.uthscsa.edu/ct-surgery/team-member/anne-sandstrom-md/" xr:uid="{B00E27DC-6635-4AAF-8642-8E5422986C33}"/>
    <hyperlink ref="BJ270" r:id="rId14" tooltip="Joseph Heiler" display="https://medicine.utah.edu/surgery/residents/joseph-heiler" xr:uid="{0046AF4B-D6F6-469E-8355-DF2B043DE4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65D1-90B9-4197-9011-C6193CC03A1B}">
  <dimension ref="A1:AP272"/>
  <sheetViews>
    <sheetView topLeftCell="H1" zoomScaleNormal="100" workbookViewId="0">
      <pane ySplit="1" topLeftCell="A76" activePane="bottomLeft" state="frozen"/>
      <selection pane="bottomLeft" activeCell="L85" sqref="L85"/>
    </sheetView>
  </sheetViews>
  <sheetFormatPr defaultColWidth="8.54296875" defaultRowHeight="15.5"/>
  <cols>
    <col min="1" max="1" width="8.54296875" style="142"/>
    <col min="2" max="2" width="24.453125" style="131" customWidth="1"/>
    <col min="3" max="3" width="25.453125" style="176" customWidth="1"/>
    <col min="4" max="4" width="26.26953125" style="176" customWidth="1"/>
    <col min="5" max="5" width="39.1796875" style="176" customWidth="1"/>
    <col min="6" max="6" width="23.26953125" style="176" customWidth="1"/>
    <col min="7" max="7" width="22.1796875" style="176" customWidth="1"/>
    <col min="8" max="8" width="26.453125" style="176" customWidth="1"/>
    <col min="9" max="9" width="17.1796875" style="176" customWidth="1"/>
    <col min="10" max="10" width="23.453125" style="142" customWidth="1"/>
    <col min="11" max="11" width="20.81640625" style="142" customWidth="1"/>
    <col min="12" max="12" width="20.81640625" style="177" customWidth="1"/>
    <col min="13" max="14" width="7.453125" style="142" customWidth="1"/>
    <col min="15" max="15" width="24.453125" style="142" customWidth="1"/>
    <col min="16" max="16" width="7.453125" style="142" customWidth="1"/>
    <col min="17" max="17" width="11.453125" style="142" customWidth="1"/>
    <col min="18" max="19" width="12" style="142" customWidth="1"/>
    <col min="20" max="20" width="46.26953125" style="142" customWidth="1"/>
    <col min="21" max="22" width="24.453125" style="25" customWidth="1"/>
    <col min="23" max="23" width="18.453125" style="142" customWidth="1"/>
    <col min="24" max="24" width="17.453125" style="140" customWidth="1"/>
    <col min="25" max="25" width="20.453125" style="142" customWidth="1"/>
    <col min="26" max="26" width="17.453125" style="142" customWidth="1"/>
    <col min="27" max="28" width="16.453125" style="142" customWidth="1"/>
    <col min="29" max="29" width="16.453125" style="150" customWidth="1"/>
    <col min="30" max="30" width="25.54296875" style="150" customWidth="1"/>
    <col min="31" max="31" width="25.453125" style="150" customWidth="1"/>
    <col min="32" max="32" width="26.453125" style="150" customWidth="1"/>
    <col min="33" max="33" width="29.453125" style="150" customWidth="1"/>
    <col min="34" max="35" width="20.453125" style="142" customWidth="1"/>
    <col min="36" max="36" width="14.453125" style="142" customWidth="1"/>
    <col min="37" max="37" width="16.54296875" style="142" customWidth="1"/>
    <col min="38" max="38" width="16.1796875" style="142" customWidth="1"/>
    <col min="39" max="39" width="18.1796875" style="140" customWidth="1"/>
    <col min="40" max="41" width="42.1796875" style="142" customWidth="1"/>
    <col min="42" max="42" width="47.453125" style="142" customWidth="1"/>
    <col min="43" max="16384" width="8.54296875" style="142"/>
  </cols>
  <sheetData>
    <row r="1" spans="1:42" s="26" customFormat="1" ht="19" customHeight="1">
      <c r="B1" s="131" t="s">
        <v>0</v>
      </c>
      <c r="C1" s="131" t="s">
        <v>17</v>
      </c>
      <c r="D1" s="131" t="s">
        <v>795</v>
      </c>
      <c r="E1" s="131" t="s">
        <v>18</v>
      </c>
      <c r="F1" s="131" t="s">
        <v>796</v>
      </c>
      <c r="G1" s="131" t="s">
        <v>19</v>
      </c>
      <c r="H1" s="131" t="s">
        <v>20</v>
      </c>
      <c r="I1" s="131" t="s">
        <v>21</v>
      </c>
      <c r="J1" s="26" t="s">
        <v>797</v>
      </c>
      <c r="K1" s="26" t="s">
        <v>798</v>
      </c>
      <c r="L1" s="131" t="s">
        <v>799</v>
      </c>
      <c r="M1" s="26" t="s">
        <v>1</v>
      </c>
      <c r="N1" s="26" t="s">
        <v>800</v>
      </c>
      <c r="O1" s="26" t="s">
        <v>801</v>
      </c>
      <c r="P1" s="26" t="s">
        <v>11</v>
      </c>
      <c r="Q1" s="26" t="s">
        <v>802</v>
      </c>
      <c r="R1" s="26" t="s">
        <v>14</v>
      </c>
      <c r="S1" s="26" t="s">
        <v>14</v>
      </c>
      <c r="T1" s="26" t="s">
        <v>15</v>
      </c>
      <c r="U1" s="132" t="s">
        <v>16</v>
      </c>
      <c r="V1" s="132" t="s">
        <v>16</v>
      </c>
      <c r="W1" s="26" t="s">
        <v>2</v>
      </c>
      <c r="X1" s="26" t="s">
        <v>803</v>
      </c>
      <c r="Y1" s="26" t="s">
        <v>804</v>
      </c>
      <c r="Z1" s="26" t="s">
        <v>805</v>
      </c>
      <c r="AA1" s="26" t="s">
        <v>806</v>
      </c>
      <c r="AB1" s="26" t="s">
        <v>807</v>
      </c>
      <c r="AC1" s="26" t="s">
        <v>6</v>
      </c>
      <c r="AD1" s="26" t="s">
        <v>7</v>
      </c>
      <c r="AE1" s="26" t="s">
        <v>808</v>
      </c>
      <c r="AF1" s="26" t="s">
        <v>809</v>
      </c>
      <c r="AG1" s="26" t="s">
        <v>810</v>
      </c>
      <c r="AH1" s="26" t="s">
        <v>811</v>
      </c>
      <c r="AI1" s="26" t="s">
        <v>812</v>
      </c>
      <c r="AJ1" s="26" t="s">
        <v>813</v>
      </c>
      <c r="AK1" s="26" t="s">
        <v>814</v>
      </c>
      <c r="AL1" s="26" t="s">
        <v>815</v>
      </c>
      <c r="AM1" s="26" t="s">
        <v>8</v>
      </c>
      <c r="AN1" s="26" t="s">
        <v>816</v>
      </c>
      <c r="AO1" s="26" t="s">
        <v>817</v>
      </c>
      <c r="AP1" s="26" t="s">
        <v>818</v>
      </c>
    </row>
    <row r="2" spans="1:42" s="133" customFormat="1" ht="62">
      <c r="B2" s="134" t="s">
        <v>26</v>
      </c>
      <c r="C2" s="135" t="s">
        <v>32</v>
      </c>
      <c r="D2" s="135">
        <v>20</v>
      </c>
      <c r="E2" s="135" t="s">
        <v>33</v>
      </c>
      <c r="F2" s="135" t="s">
        <v>33</v>
      </c>
      <c r="G2" s="136">
        <v>18</v>
      </c>
      <c r="H2" s="136">
        <v>74</v>
      </c>
      <c r="I2" s="136">
        <v>2020</v>
      </c>
      <c r="J2" s="137" t="s">
        <v>819</v>
      </c>
      <c r="K2" s="138" t="s">
        <v>820</v>
      </c>
      <c r="L2" s="139" t="s">
        <v>821</v>
      </c>
      <c r="M2" s="25">
        <v>2022</v>
      </c>
      <c r="N2" s="25">
        <v>1</v>
      </c>
      <c r="O2" s="25" t="s">
        <v>27</v>
      </c>
      <c r="P2" s="25" t="s">
        <v>28</v>
      </c>
      <c r="Q2" s="25" t="s">
        <v>29</v>
      </c>
      <c r="R2" s="25" t="s">
        <v>30</v>
      </c>
      <c r="S2" s="25" t="s">
        <v>30</v>
      </c>
      <c r="T2" s="25" t="s">
        <v>31</v>
      </c>
      <c r="U2" s="25"/>
      <c r="V2" s="25" t="s">
        <v>822</v>
      </c>
      <c r="W2" s="25">
        <v>3</v>
      </c>
      <c r="X2" s="140">
        <v>15</v>
      </c>
      <c r="Y2" s="25">
        <v>13</v>
      </c>
      <c r="Z2" s="25">
        <v>2</v>
      </c>
      <c r="AA2" s="25">
        <v>7</v>
      </c>
      <c r="AB2" s="25"/>
      <c r="AC2" s="141">
        <v>6</v>
      </c>
      <c r="AD2" s="141">
        <v>1</v>
      </c>
      <c r="AE2" s="141">
        <v>0</v>
      </c>
      <c r="AF2" s="141">
        <v>2</v>
      </c>
      <c r="AG2" s="141">
        <v>4</v>
      </c>
      <c r="AH2" s="25">
        <v>8</v>
      </c>
      <c r="AI2" s="25">
        <v>1</v>
      </c>
      <c r="AJ2" s="25">
        <v>0</v>
      </c>
      <c r="AK2" s="25">
        <v>2</v>
      </c>
      <c r="AL2" s="25">
        <v>4</v>
      </c>
      <c r="AM2" s="140">
        <f>AH2+AI2+AJ2+AK2+AL2</f>
        <v>15</v>
      </c>
      <c r="AN2" s="25" t="s">
        <v>823</v>
      </c>
      <c r="AO2" s="25">
        <v>1</v>
      </c>
      <c r="AP2" s="25">
        <v>3</v>
      </c>
    </row>
    <row r="3" spans="1:42" s="133" customFormat="1">
      <c r="B3" s="134" t="s">
        <v>26</v>
      </c>
      <c r="C3" s="135" t="s">
        <v>32</v>
      </c>
      <c r="D3" s="135">
        <v>20</v>
      </c>
      <c r="E3" s="135" t="s">
        <v>33</v>
      </c>
      <c r="F3" s="135" t="s">
        <v>33</v>
      </c>
      <c r="G3" s="136">
        <v>18</v>
      </c>
      <c r="H3" s="136">
        <v>74</v>
      </c>
      <c r="I3" s="136">
        <v>2020</v>
      </c>
      <c r="J3" s="135"/>
      <c r="K3" s="138" t="s">
        <v>824</v>
      </c>
      <c r="L3" s="136" t="s">
        <v>825</v>
      </c>
      <c r="M3" s="25">
        <v>2021</v>
      </c>
      <c r="N3" s="25">
        <v>2</v>
      </c>
      <c r="O3" s="25" t="s">
        <v>34</v>
      </c>
      <c r="P3" s="25" t="s">
        <v>35</v>
      </c>
      <c r="Q3" s="25"/>
      <c r="R3" s="25" t="s">
        <v>30</v>
      </c>
      <c r="S3" s="25" t="s">
        <v>30</v>
      </c>
      <c r="T3" s="25" t="s">
        <v>36</v>
      </c>
      <c r="U3" s="25" t="s">
        <v>37</v>
      </c>
      <c r="V3" s="25">
        <v>29</v>
      </c>
      <c r="W3" s="25">
        <v>2</v>
      </c>
      <c r="X3" s="140">
        <v>5</v>
      </c>
      <c r="Y3" s="25">
        <v>4</v>
      </c>
      <c r="Z3" s="25">
        <v>1</v>
      </c>
      <c r="AA3" s="25">
        <v>1</v>
      </c>
      <c r="AB3" s="25"/>
      <c r="AC3" s="141">
        <v>0</v>
      </c>
      <c r="AD3" s="141">
        <v>3</v>
      </c>
      <c r="AE3" s="141">
        <v>1</v>
      </c>
      <c r="AF3" s="141">
        <v>0</v>
      </c>
      <c r="AG3" s="141">
        <v>0</v>
      </c>
      <c r="AH3" s="25">
        <v>0</v>
      </c>
      <c r="AI3" s="25">
        <v>4</v>
      </c>
      <c r="AJ3" s="25">
        <v>1</v>
      </c>
      <c r="AK3" s="25">
        <v>0</v>
      </c>
      <c r="AL3" s="25">
        <v>0</v>
      </c>
      <c r="AM3" s="140">
        <f t="shared" ref="AM3:AM68" si="0">AH3+AI3+AJ3+AK3+AL3</f>
        <v>5</v>
      </c>
      <c r="AN3" s="25" t="s">
        <v>826</v>
      </c>
      <c r="AO3" s="25">
        <v>0</v>
      </c>
      <c r="AP3" s="25">
        <v>0</v>
      </c>
    </row>
    <row r="4" spans="1:42" s="133" customFormat="1">
      <c r="B4" s="134" t="s">
        <v>26</v>
      </c>
      <c r="C4" s="135" t="s">
        <v>32</v>
      </c>
      <c r="D4" s="135">
        <v>20</v>
      </c>
      <c r="E4" s="135" t="s">
        <v>33</v>
      </c>
      <c r="F4" s="135" t="s">
        <v>33</v>
      </c>
      <c r="G4" s="136">
        <v>18</v>
      </c>
      <c r="H4" s="136">
        <v>74</v>
      </c>
      <c r="I4" s="136">
        <v>2020</v>
      </c>
      <c r="J4" s="135"/>
      <c r="K4" s="135" t="s">
        <v>827</v>
      </c>
      <c r="L4" s="136" t="s">
        <v>825</v>
      </c>
      <c r="M4" s="25">
        <v>2020</v>
      </c>
      <c r="N4" s="25">
        <v>3</v>
      </c>
      <c r="O4" s="25" t="s">
        <v>828</v>
      </c>
      <c r="P4" s="25" t="s">
        <v>28</v>
      </c>
      <c r="Q4" s="25" t="s">
        <v>38</v>
      </c>
      <c r="R4" s="25" t="s">
        <v>39</v>
      </c>
      <c r="S4" s="25" t="s">
        <v>829</v>
      </c>
      <c r="T4" s="25" t="s">
        <v>40</v>
      </c>
      <c r="U4" s="25"/>
      <c r="V4" s="25" t="s">
        <v>822</v>
      </c>
      <c r="W4" s="25">
        <v>5</v>
      </c>
      <c r="X4" s="140">
        <v>24</v>
      </c>
      <c r="Y4" s="25">
        <v>8</v>
      </c>
      <c r="Z4" s="25">
        <v>16</v>
      </c>
      <c r="AA4" s="25">
        <v>4</v>
      </c>
      <c r="AB4" s="25"/>
      <c r="AC4" s="141">
        <v>0</v>
      </c>
      <c r="AD4" s="141">
        <v>6</v>
      </c>
      <c r="AE4" s="141">
        <v>1</v>
      </c>
      <c r="AF4" s="141">
        <v>1</v>
      </c>
      <c r="AG4" s="141">
        <v>0</v>
      </c>
      <c r="AH4" s="25">
        <v>0</v>
      </c>
      <c r="AI4" s="25">
        <v>12</v>
      </c>
      <c r="AJ4" s="25">
        <v>2</v>
      </c>
      <c r="AK4" s="25">
        <v>3</v>
      </c>
      <c r="AL4" s="25">
        <v>7</v>
      </c>
      <c r="AM4" s="140">
        <f t="shared" si="0"/>
        <v>24</v>
      </c>
      <c r="AN4" s="25"/>
      <c r="AO4" s="25">
        <v>2</v>
      </c>
      <c r="AP4" s="25">
        <v>1</v>
      </c>
    </row>
    <row r="5" spans="1:42">
      <c r="B5" s="134" t="s">
        <v>41</v>
      </c>
      <c r="C5" s="135" t="s">
        <v>32</v>
      </c>
      <c r="D5" s="135">
        <v>10</v>
      </c>
      <c r="E5" s="135" t="s">
        <v>32</v>
      </c>
      <c r="F5" s="135">
        <v>24</v>
      </c>
      <c r="G5" s="136">
        <v>59</v>
      </c>
      <c r="H5" s="136">
        <v>74</v>
      </c>
      <c r="I5" s="136">
        <v>2015</v>
      </c>
      <c r="J5" s="136"/>
      <c r="K5" s="138" t="s">
        <v>830</v>
      </c>
      <c r="L5" s="136"/>
      <c r="M5" s="25">
        <v>2022</v>
      </c>
      <c r="N5" s="25">
        <v>1</v>
      </c>
      <c r="O5" s="25" t="s">
        <v>42</v>
      </c>
      <c r="P5" s="25" t="s">
        <v>43</v>
      </c>
      <c r="Q5" s="25" t="s">
        <v>44</v>
      </c>
      <c r="R5" s="25" t="s">
        <v>30</v>
      </c>
      <c r="S5" s="25" t="s">
        <v>30</v>
      </c>
      <c r="T5" s="25" t="s">
        <v>45</v>
      </c>
      <c r="V5" s="25" t="s">
        <v>822</v>
      </c>
      <c r="W5" s="25">
        <v>18</v>
      </c>
      <c r="X5" s="140">
        <v>28</v>
      </c>
      <c r="Y5" s="25">
        <v>25</v>
      </c>
      <c r="Z5" s="25">
        <v>3</v>
      </c>
      <c r="AA5" s="25">
        <v>7</v>
      </c>
      <c r="AB5" s="25"/>
      <c r="AC5" s="141">
        <v>24</v>
      </c>
      <c r="AD5" s="141">
        <v>0</v>
      </c>
      <c r="AE5" s="141">
        <v>0</v>
      </c>
      <c r="AF5" s="141">
        <v>0</v>
      </c>
      <c r="AG5" s="141">
        <v>1</v>
      </c>
      <c r="AH5" s="25">
        <v>27</v>
      </c>
      <c r="AI5" s="25">
        <v>0</v>
      </c>
      <c r="AJ5" s="25">
        <v>0</v>
      </c>
      <c r="AK5" s="25">
        <v>0</v>
      </c>
      <c r="AL5" s="25">
        <v>1</v>
      </c>
      <c r="AM5" s="140">
        <f t="shared" si="0"/>
        <v>28</v>
      </c>
      <c r="AN5" s="142" t="s">
        <v>823</v>
      </c>
      <c r="AO5" s="143"/>
      <c r="AP5" s="143" t="s">
        <v>831</v>
      </c>
    </row>
    <row r="6" spans="1:42">
      <c r="B6" s="134" t="s">
        <v>41</v>
      </c>
      <c r="C6" s="135" t="s">
        <v>32</v>
      </c>
      <c r="D6" s="135">
        <v>10</v>
      </c>
      <c r="E6" s="135" t="s">
        <v>32</v>
      </c>
      <c r="F6" s="135">
        <v>24</v>
      </c>
      <c r="G6" s="136">
        <v>59</v>
      </c>
      <c r="H6" s="136">
        <v>74</v>
      </c>
      <c r="I6" s="136">
        <v>2015</v>
      </c>
      <c r="J6" s="144"/>
      <c r="K6" s="144"/>
      <c r="L6" s="145" t="s">
        <v>832</v>
      </c>
      <c r="M6" s="142">
        <v>2022</v>
      </c>
      <c r="N6" s="142">
        <v>1</v>
      </c>
      <c r="O6" s="142" t="s">
        <v>46</v>
      </c>
      <c r="P6" s="142" t="s">
        <v>28</v>
      </c>
      <c r="R6" s="142" t="s">
        <v>30</v>
      </c>
      <c r="S6" s="142" t="s">
        <v>30</v>
      </c>
      <c r="T6" s="142" t="s">
        <v>833</v>
      </c>
      <c r="U6" s="25" t="s">
        <v>47</v>
      </c>
      <c r="V6" s="25">
        <v>3</v>
      </c>
      <c r="W6" s="142">
        <v>5</v>
      </c>
      <c r="X6" s="140">
        <v>10</v>
      </c>
      <c r="Y6" s="25">
        <v>10</v>
      </c>
      <c r="Z6" s="25">
        <v>0</v>
      </c>
      <c r="AA6" s="25">
        <v>2</v>
      </c>
      <c r="AB6" s="25"/>
      <c r="AC6" s="141">
        <v>5</v>
      </c>
      <c r="AD6" s="141">
        <v>4</v>
      </c>
      <c r="AE6" s="141">
        <v>0</v>
      </c>
      <c r="AF6" s="141">
        <v>1</v>
      </c>
      <c r="AG6" s="141">
        <v>0</v>
      </c>
      <c r="AH6" s="25">
        <v>5</v>
      </c>
      <c r="AI6" s="25">
        <v>4</v>
      </c>
      <c r="AJ6" s="25">
        <v>0</v>
      </c>
      <c r="AK6" s="25">
        <v>1</v>
      </c>
      <c r="AL6" s="25">
        <v>0</v>
      </c>
      <c r="AM6" s="140">
        <f t="shared" si="0"/>
        <v>10</v>
      </c>
      <c r="AN6" s="142" t="s">
        <v>823</v>
      </c>
      <c r="AO6" s="143"/>
      <c r="AP6" s="143">
        <v>2</v>
      </c>
    </row>
    <row r="7" spans="1:42" ht="46.5">
      <c r="A7" s="142">
        <v>1</v>
      </c>
      <c r="B7" s="134" t="s">
        <v>41</v>
      </c>
      <c r="C7" s="135" t="s">
        <v>32</v>
      </c>
      <c r="D7" s="135">
        <v>10</v>
      </c>
      <c r="E7" s="135" t="s">
        <v>32</v>
      </c>
      <c r="F7" s="135">
        <v>24</v>
      </c>
      <c r="G7" s="136">
        <v>59</v>
      </c>
      <c r="H7" s="136">
        <v>74</v>
      </c>
      <c r="I7" s="136">
        <v>2015</v>
      </c>
      <c r="J7" s="144" t="s">
        <v>834</v>
      </c>
      <c r="K7" s="146" t="s">
        <v>835</v>
      </c>
      <c r="L7" s="147" t="s">
        <v>836</v>
      </c>
      <c r="M7" s="25">
        <v>2016</v>
      </c>
      <c r="N7" s="25"/>
      <c r="O7" s="25" t="s">
        <v>48</v>
      </c>
      <c r="P7" s="25" t="s">
        <v>43</v>
      </c>
      <c r="Q7" s="25" t="s">
        <v>49</v>
      </c>
      <c r="R7" s="25" t="s">
        <v>30</v>
      </c>
      <c r="S7" s="25" t="s">
        <v>30</v>
      </c>
      <c r="T7" s="25" t="s">
        <v>50</v>
      </c>
      <c r="V7" s="25" t="s">
        <v>822</v>
      </c>
      <c r="W7" s="25">
        <v>10</v>
      </c>
      <c r="X7" s="140">
        <v>51</v>
      </c>
      <c r="Y7" s="142">
        <v>3</v>
      </c>
      <c r="Z7" s="142">
        <v>48</v>
      </c>
      <c r="AA7" s="142">
        <v>10</v>
      </c>
      <c r="AB7" s="142">
        <v>1</v>
      </c>
      <c r="AC7" s="148">
        <v>0</v>
      </c>
      <c r="AD7" s="143">
        <v>3</v>
      </c>
      <c r="AE7" s="143">
        <v>0</v>
      </c>
      <c r="AF7" s="143">
        <v>0</v>
      </c>
      <c r="AG7" s="143">
        <v>0</v>
      </c>
      <c r="AH7" s="25">
        <v>0</v>
      </c>
      <c r="AI7" s="25">
        <v>46</v>
      </c>
      <c r="AJ7" s="25">
        <v>0</v>
      </c>
      <c r="AK7" s="25">
        <v>1</v>
      </c>
      <c r="AL7" s="25">
        <v>4</v>
      </c>
      <c r="AM7" s="140">
        <f t="shared" si="0"/>
        <v>51</v>
      </c>
      <c r="AN7" s="25" t="s">
        <v>837</v>
      </c>
      <c r="AO7" s="25">
        <v>2</v>
      </c>
      <c r="AP7" s="25">
        <v>5</v>
      </c>
    </row>
    <row r="8" spans="1:42" ht="62">
      <c r="B8" s="134" t="s">
        <v>41</v>
      </c>
      <c r="C8" s="135" t="s">
        <v>32</v>
      </c>
      <c r="D8" s="135">
        <v>10</v>
      </c>
      <c r="E8" s="135" t="s">
        <v>32</v>
      </c>
      <c r="F8" s="135">
        <v>24</v>
      </c>
      <c r="G8" s="136">
        <v>59</v>
      </c>
      <c r="H8" s="136">
        <v>74</v>
      </c>
      <c r="I8" s="136">
        <v>2015</v>
      </c>
      <c r="J8" s="144" t="s">
        <v>838</v>
      </c>
      <c r="K8" s="144" t="s">
        <v>839</v>
      </c>
      <c r="L8" s="149" t="s">
        <v>840</v>
      </c>
      <c r="M8" s="25">
        <v>2016</v>
      </c>
      <c r="N8" s="25">
        <v>7</v>
      </c>
      <c r="O8" s="25" t="s">
        <v>841</v>
      </c>
      <c r="P8" s="25" t="s">
        <v>28</v>
      </c>
      <c r="Q8" s="25"/>
      <c r="R8" s="25" t="s">
        <v>30</v>
      </c>
      <c r="S8" s="25" t="s">
        <v>30</v>
      </c>
      <c r="T8" s="25" t="s">
        <v>51</v>
      </c>
      <c r="U8" s="25" t="s">
        <v>47</v>
      </c>
      <c r="V8" s="25">
        <v>5</v>
      </c>
      <c r="W8" s="25">
        <v>2</v>
      </c>
      <c r="X8" s="140">
        <v>5</v>
      </c>
      <c r="Y8" s="142">
        <v>1</v>
      </c>
      <c r="Z8" s="142">
        <v>4</v>
      </c>
      <c r="AA8" s="142">
        <v>0</v>
      </c>
      <c r="AC8" s="150">
        <v>1</v>
      </c>
      <c r="AD8" s="150">
        <v>0</v>
      </c>
      <c r="AE8" s="150">
        <v>0</v>
      </c>
      <c r="AF8" s="150">
        <v>0</v>
      </c>
      <c r="AG8" s="150">
        <v>0</v>
      </c>
      <c r="AH8" s="142">
        <v>3</v>
      </c>
      <c r="AI8" s="142">
        <v>0</v>
      </c>
      <c r="AJ8" s="142">
        <v>0</v>
      </c>
      <c r="AK8" s="142">
        <v>2</v>
      </c>
      <c r="AL8" s="142">
        <v>0</v>
      </c>
      <c r="AM8" s="140">
        <f>AH8+AI8+AJ8+AK8+AL8</f>
        <v>5</v>
      </c>
      <c r="AN8" s="143" t="s">
        <v>842</v>
      </c>
      <c r="AO8" s="143" t="s">
        <v>831</v>
      </c>
      <c r="AP8" s="143" t="s">
        <v>831</v>
      </c>
    </row>
    <row r="9" spans="1:42" ht="46.5">
      <c r="B9" s="134" t="s">
        <v>41</v>
      </c>
      <c r="C9" s="135" t="s">
        <v>32</v>
      </c>
      <c r="D9" s="135">
        <v>10</v>
      </c>
      <c r="E9" s="135" t="s">
        <v>32</v>
      </c>
      <c r="F9" s="135">
        <v>24</v>
      </c>
      <c r="G9" s="136">
        <v>59</v>
      </c>
      <c r="H9" s="136">
        <v>74</v>
      </c>
      <c r="I9" s="136">
        <v>2015</v>
      </c>
      <c r="J9" s="144"/>
      <c r="K9" s="151" t="s">
        <v>843</v>
      </c>
      <c r="L9" s="149" t="s">
        <v>844</v>
      </c>
      <c r="M9" s="25">
        <v>2018</v>
      </c>
      <c r="N9" s="25">
        <v>5</v>
      </c>
      <c r="O9" s="25" t="s">
        <v>52</v>
      </c>
      <c r="P9" s="25" t="s">
        <v>28</v>
      </c>
      <c r="Q9" s="25"/>
      <c r="R9" s="25" t="s">
        <v>30</v>
      </c>
      <c r="S9" s="25" t="s">
        <v>30</v>
      </c>
      <c r="T9" s="25" t="s">
        <v>51</v>
      </c>
      <c r="U9" s="25" t="s">
        <v>47</v>
      </c>
      <c r="V9" s="25">
        <v>5</v>
      </c>
      <c r="W9" s="25">
        <v>1</v>
      </c>
      <c r="X9" s="140">
        <v>9</v>
      </c>
      <c r="Y9" s="142">
        <v>0</v>
      </c>
      <c r="Z9" s="142">
        <v>9</v>
      </c>
      <c r="AA9" s="142">
        <v>4</v>
      </c>
      <c r="AC9" s="150">
        <v>0</v>
      </c>
      <c r="AD9" s="150">
        <v>0</v>
      </c>
      <c r="AE9" s="150">
        <v>0</v>
      </c>
      <c r="AF9" s="150">
        <v>0</v>
      </c>
      <c r="AG9" s="150">
        <v>0</v>
      </c>
      <c r="AH9" s="142">
        <v>0</v>
      </c>
      <c r="AI9" s="142">
        <v>2</v>
      </c>
      <c r="AJ9" s="142">
        <v>0</v>
      </c>
      <c r="AK9" s="142">
        <v>1</v>
      </c>
      <c r="AL9" s="142">
        <v>6</v>
      </c>
      <c r="AM9" s="140">
        <f t="shared" si="0"/>
        <v>9</v>
      </c>
      <c r="AN9" s="25"/>
      <c r="AO9" s="25"/>
      <c r="AP9" s="25"/>
    </row>
    <row r="10" spans="1:42">
      <c r="B10" s="134" t="s">
        <v>41</v>
      </c>
      <c r="C10" s="135" t="s">
        <v>32</v>
      </c>
      <c r="D10" s="135">
        <v>10</v>
      </c>
      <c r="E10" s="135" t="s">
        <v>32</v>
      </c>
      <c r="F10" s="135">
        <v>24</v>
      </c>
      <c r="G10" s="136">
        <v>59</v>
      </c>
      <c r="H10" s="136">
        <v>74</v>
      </c>
      <c r="I10" s="136">
        <v>2015</v>
      </c>
      <c r="J10" s="136"/>
      <c r="K10" s="136"/>
      <c r="L10" s="152" t="s">
        <v>845</v>
      </c>
      <c r="M10" s="25">
        <v>2019</v>
      </c>
      <c r="N10" s="25"/>
      <c r="O10" s="25" t="s">
        <v>53</v>
      </c>
      <c r="P10" s="25" t="s">
        <v>43</v>
      </c>
      <c r="Q10" s="25"/>
      <c r="R10" s="142" t="s">
        <v>54</v>
      </c>
      <c r="S10" s="25" t="s">
        <v>846</v>
      </c>
      <c r="T10" s="25" t="s">
        <v>55</v>
      </c>
      <c r="U10" s="25" t="s">
        <v>47</v>
      </c>
      <c r="V10" s="25">
        <v>5</v>
      </c>
      <c r="W10" s="25">
        <v>15</v>
      </c>
      <c r="X10" s="140">
        <v>37</v>
      </c>
      <c r="Y10" s="142">
        <v>27</v>
      </c>
      <c r="Z10" s="142">
        <v>10</v>
      </c>
      <c r="AA10" s="142">
        <v>10</v>
      </c>
      <c r="AC10" s="153">
        <v>26</v>
      </c>
      <c r="AD10" s="141">
        <v>0</v>
      </c>
      <c r="AE10" s="141">
        <v>0</v>
      </c>
      <c r="AF10" s="141">
        <v>0</v>
      </c>
      <c r="AG10" s="141">
        <v>1</v>
      </c>
      <c r="AH10" s="142">
        <v>31</v>
      </c>
      <c r="AI10" s="142">
        <v>1</v>
      </c>
      <c r="AJ10" s="142">
        <v>0</v>
      </c>
      <c r="AK10" s="142">
        <v>2</v>
      </c>
      <c r="AL10" s="142">
        <v>3</v>
      </c>
      <c r="AM10" s="140">
        <f t="shared" si="0"/>
        <v>37</v>
      </c>
      <c r="AN10" s="25">
        <v>0</v>
      </c>
      <c r="AO10" s="25">
        <v>0</v>
      </c>
      <c r="AP10" s="25">
        <v>0</v>
      </c>
    </row>
    <row r="11" spans="1:42">
      <c r="B11" s="134" t="s">
        <v>41</v>
      </c>
      <c r="C11" s="135" t="s">
        <v>32</v>
      </c>
      <c r="D11" s="135">
        <v>10</v>
      </c>
      <c r="E11" s="135" t="s">
        <v>32</v>
      </c>
      <c r="F11" s="135">
        <v>24</v>
      </c>
      <c r="G11" s="136">
        <v>59</v>
      </c>
      <c r="H11" s="136">
        <v>74</v>
      </c>
      <c r="I11" s="136">
        <v>2015</v>
      </c>
      <c r="J11" s="136"/>
      <c r="K11" s="154" t="s">
        <v>847</v>
      </c>
      <c r="L11" s="154" t="s">
        <v>848</v>
      </c>
      <c r="M11" s="25">
        <v>2018</v>
      </c>
      <c r="N11" s="25">
        <v>5</v>
      </c>
      <c r="O11" s="25" t="s">
        <v>56</v>
      </c>
      <c r="P11" s="25" t="s">
        <v>35</v>
      </c>
      <c r="Q11" s="25" t="s">
        <v>49</v>
      </c>
      <c r="R11" s="25" t="s">
        <v>30</v>
      </c>
      <c r="S11" s="25" t="s">
        <v>30</v>
      </c>
      <c r="T11" s="25" t="s">
        <v>57</v>
      </c>
      <c r="V11" s="25" t="s">
        <v>849</v>
      </c>
      <c r="W11" s="25">
        <v>15</v>
      </c>
      <c r="X11" s="140">
        <v>52</v>
      </c>
      <c r="Y11" s="142">
        <v>43</v>
      </c>
      <c r="Z11" s="142">
        <v>9</v>
      </c>
      <c r="AA11" s="142">
        <v>21</v>
      </c>
      <c r="AC11" s="150">
        <v>0</v>
      </c>
      <c r="AD11" s="150">
        <v>21</v>
      </c>
      <c r="AE11" s="150">
        <v>1</v>
      </c>
      <c r="AF11" s="150">
        <v>6</v>
      </c>
      <c r="AG11" s="150">
        <v>15</v>
      </c>
      <c r="AH11" s="142">
        <v>0</v>
      </c>
      <c r="AI11" s="142">
        <v>29</v>
      </c>
      <c r="AJ11" s="142">
        <v>1</v>
      </c>
      <c r="AK11" s="142">
        <v>6</v>
      </c>
      <c r="AL11" s="142">
        <v>16</v>
      </c>
      <c r="AM11" s="140">
        <f t="shared" si="0"/>
        <v>52</v>
      </c>
      <c r="AN11" s="25" t="s">
        <v>823</v>
      </c>
      <c r="AO11" s="25">
        <v>0</v>
      </c>
      <c r="AP11" s="25">
        <v>5</v>
      </c>
    </row>
    <row r="12" spans="1:42">
      <c r="B12" s="134" t="s">
        <v>41</v>
      </c>
      <c r="C12" s="135" t="s">
        <v>32</v>
      </c>
      <c r="D12" s="135">
        <v>10</v>
      </c>
      <c r="E12" s="135" t="s">
        <v>32</v>
      </c>
      <c r="F12" s="135">
        <v>24</v>
      </c>
      <c r="G12" s="136">
        <v>59</v>
      </c>
      <c r="H12" s="136">
        <v>74</v>
      </c>
      <c r="I12" s="136">
        <v>2015</v>
      </c>
      <c r="J12" s="144"/>
      <c r="K12" s="155" t="s">
        <v>850</v>
      </c>
      <c r="L12" s="155" t="s">
        <v>851</v>
      </c>
      <c r="M12" s="142">
        <v>2020</v>
      </c>
      <c r="N12" s="142">
        <v>3</v>
      </c>
      <c r="O12" s="142" t="s">
        <v>58</v>
      </c>
      <c r="P12" s="142" t="s">
        <v>35</v>
      </c>
      <c r="Q12" s="25"/>
      <c r="R12" s="142" t="s">
        <v>54</v>
      </c>
      <c r="S12" s="142" t="s">
        <v>846</v>
      </c>
      <c r="T12" s="142" t="s">
        <v>59</v>
      </c>
      <c r="U12" s="25" t="s">
        <v>47</v>
      </c>
      <c r="V12" s="25">
        <v>18</v>
      </c>
      <c r="W12" s="142">
        <v>9</v>
      </c>
      <c r="X12" s="140">
        <v>20</v>
      </c>
      <c r="Y12" s="142">
        <v>14</v>
      </c>
      <c r="Z12" s="142">
        <v>6</v>
      </c>
      <c r="AA12" s="142">
        <v>3</v>
      </c>
      <c r="AC12" s="150">
        <v>6</v>
      </c>
      <c r="AD12" s="150">
        <v>0</v>
      </c>
      <c r="AE12" s="150">
        <v>0</v>
      </c>
      <c r="AF12" s="150">
        <v>2</v>
      </c>
      <c r="AG12" s="150">
        <v>6</v>
      </c>
      <c r="AH12" s="142">
        <v>12</v>
      </c>
      <c r="AI12" s="142">
        <v>0</v>
      </c>
      <c r="AJ12" s="142">
        <v>0</v>
      </c>
      <c r="AK12" s="142">
        <v>2</v>
      </c>
      <c r="AL12" s="142">
        <v>6</v>
      </c>
      <c r="AM12" s="140">
        <f t="shared" si="0"/>
        <v>20</v>
      </c>
      <c r="AN12" s="142" t="s">
        <v>826</v>
      </c>
      <c r="AO12" s="142">
        <v>0</v>
      </c>
      <c r="AP12" s="142">
        <v>0</v>
      </c>
    </row>
    <row r="13" spans="1:42" ht="31">
      <c r="B13" s="134" t="s">
        <v>41</v>
      </c>
      <c r="C13" s="135" t="s">
        <v>32</v>
      </c>
      <c r="D13" s="135">
        <v>10</v>
      </c>
      <c r="E13" s="135" t="s">
        <v>32</v>
      </c>
      <c r="F13" s="135">
        <v>24</v>
      </c>
      <c r="G13" s="136">
        <v>59</v>
      </c>
      <c r="H13" s="136">
        <v>74</v>
      </c>
      <c r="I13" s="136">
        <v>2015</v>
      </c>
      <c r="J13" s="155" t="s">
        <v>852</v>
      </c>
      <c r="K13" s="144"/>
      <c r="L13" s="146" t="s">
        <v>853</v>
      </c>
      <c r="M13" s="142">
        <v>2016</v>
      </c>
      <c r="N13" s="142">
        <v>8</v>
      </c>
      <c r="O13" s="142" t="s">
        <v>60</v>
      </c>
      <c r="P13" s="142" t="s">
        <v>35</v>
      </c>
      <c r="Q13" s="142" t="s">
        <v>61</v>
      </c>
      <c r="R13" s="142" t="s">
        <v>30</v>
      </c>
      <c r="S13" s="142" t="s">
        <v>30</v>
      </c>
      <c r="T13" s="8" t="s">
        <v>62</v>
      </c>
      <c r="V13" s="25" t="s">
        <v>849</v>
      </c>
      <c r="W13" s="142">
        <v>9</v>
      </c>
      <c r="X13" s="140">
        <v>54</v>
      </c>
      <c r="Y13" s="142">
        <v>2</v>
      </c>
      <c r="Z13" s="142">
        <v>52</v>
      </c>
      <c r="AA13" s="142">
        <v>10</v>
      </c>
      <c r="AC13" s="150">
        <v>1</v>
      </c>
      <c r="AD13" s="150">
        <v>1</v>
      </c>
      <c r="AE13" s="150">
        <v>0</v>
      </c>
      <c r="AF13" s="150">
        <v>0</v>
      </c>
      <c r="AG13" s="150">
        <v>0</v>
      </c>
      <c r="AH13" s="142">
        <v>0</v>
      </c>
      <c r="AI13" s="142">
        <v>41</v>
      </c>
      <c r="AJ13" s="142">
        <v>2</v>
      </c>
      <c r="AK13" s="142">
        <v>1</v>
      </c>
      <c r="AL13" s="142">
        <v>10</v>
      </c>
      <c r="AM13" s="140">
        <f t="shared" si="0"/>
        <v>54</v>
      </c>
      <c r="AN13" s="143" t="s">
        <v>831</v>
      </c>
      <c r="AO13" s="143">
        <v>2</v>
      </c>
      <c r="AP13" s="143">
        <v>0</v>
      </c>
    </row>
    <row r="14" spans="1:42" ht="46.5">
      <c r="B14" s="134" t="s">
        <v>41</v>
      </c>
      <c r="C14" s="135" t="s">
        <v>32</v>
      </c>
      <c r="D14" s="135">
        <v>10</v>
      </c>
      <c r="E14" s="135" t="s">
        <v>32</v>
      </c>
      <c r="F14" s="135">
        <v>24</v>
      </c>
      <c r="G14" s="136">
        <v>59</v>
      </c>
      <c r="H14" s="136">
        <v>74</v>
      </c>
      <c r="I14" s="136">
        <v>2015</v>
      </c>
      <c r="J14" s="156" t="s">
        <v>854</v>
      </c>
      <c r="K14" s="151" t="s">
        <v>855</v>
      </c>
      <c r="L14" s="156" t="s">
        <v>856</v>
      </c>
      <c r="M14" s="142">
        <v>2021</v>
      </c>
      <c r="N14" s="142">
        <v>2</v>
      </c>
      <c r="O14" s="142" t="s">
        <v>63</v>
      </c>
      <c r="P14" s="142" t="s">
        <v>35</v>
      </c>
      <c r="Q14" s="25"/>
      <c r="R14" s="142" t="s">
        <v>30</v>
      </c>
      <c r="S14" s="142" t="s">
        <v>30</v>
      </c>
      <c r="T14" s="157" t="s">
        <v>64</v>
      </c>
      <c r="U14" s="25" t="s">
        <v>47</v>
      </c>
      <c r="V14" s="25">
        <v>4</v>
      </c>
      <c r="W14" s="142">
        <v>4</v>
      </c>
      <c r="X14" s="140">
        <v>7</v>
      </c>
      <c r="Y14" s="142">
        <v>5</v>
      </c>
      <c r="Z14" s="142">
        <v>2</v>
      </c>
      <c r="AA14" s="142">
        <v>2</v>
      </c>
      <c r="AC14" s="150">
        <v>1</v>
      </c>
      <c r="AD14" s="150">
        <v>4</v>
      </c>
      <c r="AE14" s="150">
        <v>0</v>
      </c>
      <c r="AF14" s="150">
        <v>0</v>
      </c>
      <c r="AG14" s="150">
        <v>0</v>
      </c>
      <c r="AH14" s="142">
        <v>1</v>
      </c>
      <c r="AI14" s="142">
        <v>6</v>
      </c>
      <c r="AJ14" s="142">
        <v>0</v>
      </c>
      <c r="AK14" s="142">
        <v>0</v>
      </c>
      <c r="AL14" s="142">
        <v>0</v>
      </c>
      <c r="AM14" s="140">
        <f t="shared" si="0"/>
        <v>7</v>
      </c>
      <c r="AN14" s="143" t="s">
        <v>831</v>
      </c>
      <c r="AO14" s="143" t="s">
        <v>831</v>
      </c>
      <c r="AP14" s="143" t="s">
        <v>831</v>
      </c>
    </row>
    <row r="15" spans="1:42">
      <c r="B15" s="134" t="s">
        <v>41</v>
      </c>
      <c r="C15" s="135" t="s">
        <v>32</v>
      </c>
      <c r="D15" s="135">
        <v>10</v>
      </c>
      <c r="E15" s="135" t="s">
        <v>32</v>
      </c>
      <c r="F15" s="135">
        <v>24</v>
      </c>
      <c r="G15" s="136">
        <v>59</v>
      </c>
      <c r="H15" s="136">
        <v>74</v>
      </c>
      <c r="I15" s="136">
        <v>2015</v>
      </c>
      <c r="J15" s="155" t="s">
        <v>857</v>
      </c>
      <c r="K15" s="144"/>
      <c r="L15" s="158" t="s">
        <v>858</v>
      </c>
      <c r="M15" s="142">
        <v>2021</v>
      </c>
      <c r="N15" s="142">
        <v>2</v>
      </c>
      <c r="O15" s="142" t="s">
        <v>65</v>
      </c>
      <c r="P15" s="142" t="s">
        <v>28</v>
      </c>
      <c r="Q15" s="25"/>
      <c r="R15" s="142" t="s">
        <v>30</v>
      </c>
      <c r="S15" s="142" t="s">
        <v>30</v>
      </c>
      <c r="T15" s="159" t="s">
        <v>66</v>
      </c>
      <c r="U15" s="25" t="s">
        <v>37</v>
      </c>
      <c r="V15" s="25">
        <v>32</v>
      </c>
      <c r="W15" s="142">
        <v>5</v>
      </c>
      <c r="X15" s="140">
        <v>12</v>
      </c>
      <c r="Y15" s="142">
        <v>5</v>
      </c>
      <c r="Z15" s="142">
        <v>7</v>
      </c>
      <c r="AA15" s="142">
        <v>5</v>
      </c>
      <c r="AC15" s="150">
        <v>0</v>
      </c>
      <c r="AD15" s="150">
        <v>5</v>
      </c>
      <c r="AE15" s="150">
        <v>0</v>
      </c>
      <c r="AF15" s="150">
        <v>0</v>
      </c>
      <c r="AG15" s="150">
        <v>0</v>
      </c>
      <c r="AH15" s="142">
        <v>0</v>
      </c>
      <c r="AI15" s="142">
        <v>9</v>
      </c>
      <c r="AJ15" s="142">
        <v>0</v>
      </c>
      <c r="AK15" s="142">
        <v>1</v>
      </c>
      <c r="AL15" s="142">
        <v>2</v>
      </c>
      <c r="AM15" s="140">
        <f t="shared" si="0"/>
        <v>12</v>
      </c>
      <c r="AN15" s="142">
        <v>0</v>
      </c>
      <c r="AO15" s="142">
        <v>2</v>
      </c>
      <c r="AP15" s="142">
        <v>0</v>
      </c>
    </row>
    <row r="16" spans="1:42" ht="43.5">
      <c r="B16" s="134" t="s">
        <v>41</v>
      </c>
      <c r="C16" s="135" t="s">
        <v>32</v>
      </c>
      <c r="D16" s="135">
        <v>10</v>
      </c>
      <c r="E16" s="135" t="s">
        <v>32</v>
      </c>
      <c r="F16" s="135">
        <v>24</v>
      </c>
      <c r="G16" s="136">
        <v>59</v>
      </c>
      <c r="H16" s="136">
        <v>74</v>
      </c>
      <c r="I16" s="136">
        <v>2015</v>
      </c>
      <c r="J16" s="160" t="s">
        <v>859</v>
      </c>
      <c r="K16" s="144"/>
      <c r="L16" s="156" t="s">
        <v>860</v>
      </c>
      <c r="M16" s="142">
        <v>2020</v>
      </c>
      <c r="N16" s="142">
        <v>3</v>
      </c>
      <c r="O16" s="5" t="s">
        <v>861</v>
      </c>
      <c r="P16" s="142" t="s">
        <v>35</v>
      </c>
      <c r="Q16" s="142" t="s">
        <v>862</v>
      </c>
      <c r="R16" s="142" t="s">
        <v>54</v>
      </c>
      <c r="S16" s="142" t="s">
        <v>846</v>
      </c>
      <c r="T16" s="142" t="s">
        <v>863</v>
      </c>
      <c r="V16" s="25" t="s">
        <v>849</v>
      </c>
      <c r="W16" s="142">
        <v>20</v>
      </c>
      <c r="X16" s="140">
        <v>78</v>
      </c>
      <c r="Y16" s="142">
        <v>62</v>
      </c>
      <c r="Z16" s="142">
        <v>16</v>
      </c>
      <c r="AA16" s="142">
        <v>27</v>
      </c>
      <c r="AC16" s="150">
        <v>17</v>
      </c>
      <c r="AD16" s="150">
        <v>28</v>
      </c>
      <c r="AE16" s="150">
        <v>12</v>
      </c>
      <c r="AF16" s="150">
        <v>1</v>
      </c>
      <c r="AG16" s="150">
        <v>3</v>
      </c>
      <c r="AH16" s="142">
        <v>9</v>
      </c>
      <c r="AI16" s="142">
        <v>49</v>
      </c>
      <c r="AJ16" s="142">
        <v>9</v>
      </c>
      <c r="AK16" s="142">
        <v>1</v>
      </c>
      <c r="AL16" s="142">
        <v>10</v>
      </c>
      <c r="AM16" s="140">
        <f t="shared" si="0"/>
        <v>78</v>
      </c>
      <c r="AN16" s="142" t="s">
        <v>823</v>
      </c>
      <c r="AO16" s="142">
        <v>1</v>
      </c>
      <c r="AP16" s="142">
        <v>4</v>
      </c>
    </row>
    <row r="17" spans="1:42">
      <c r="B17" s="134" t="s">
        <v>67</v>
      </c>
      <c r="C17" s="135" t="s">
        <v>32</v>
      </c>
      <c r="D17" s="135">
        <v>3</v>
      </c>
      <c r="E17" s="135" t="s">
        <v>32</v>
      </c>
      <c r="F17" s="135">
        <v>3</v>
      </c>
      <c r="G17" s="136">
        <v>9</v>
      </c>
      <c r="H17" s="136">
        <v>74</v>
      </c>
      <c r="I17" s="136">
        <v>2020</v>
      </c>
      <c r="J17" s="161"/>
      <c r="K17" s="161"/>
      <c r="L17" s="145" t="s">
        <v>864</v>
      </c>
      <c r="M17" s="142">
        <v>2022</v>
      </c>
      <c r="N17" s="142">
        <v>1</v>
      </c>
      <c r="O17" s="142" t="s">
        <v>68</v>
      </c>
      <c r="P17" s="142" t="s">
        <v>35</v>
      </c>
      <c r="Q17" s="25"/>
      <c r="R17" s="142" t="s">
        <v>30</v>
      </c>
      <c r="S17" s="142" t="s">
        <v>30</v>
      </c>
      <c r="T17" s="142" t="s">
        <v>69</v>
      </c>
      <c r="U17" s="25" t="s">
        <v>37</v>
      </c>
      <c r="V17" s="25">
        <v>22</v>
      </c>
      <c r="W17" s="142">
        <v>5</v>
      </c>
      <c r="X17" s="140">
        <v>12</v>
      </c>
      <c r="Y17" s="142">
        <v>12</v>
      </c>
      <c r="Z17" s="142">
        <v>0</v>
      </c>
      <c r="AA17" s="142">
        <v>3</v>
      </c>
      <c r="AC17" s="150">
        <v>0</v>
      </c>
      <c r="AD17" s="150">
        <v>9</v>
      </c>
      <c r="AE17" s="150">
        <v>1</v>
      </c>
      <c r="AF17" s="150">
        <v>1</v>
      </c>
      <c r="AG17" s="150">
        <v>1</v>
      </c>
      <c r="AH17" s="142">
        <v>0</v>
      </c>
      <c r="AI17" s="142">
        <v>9</v>
      </c>
      <c r="AJ17" s="142">
        <v>1</v>
      </c>
      <c r="AK17" s="142">
        <v>1</v>
      </c>
      <c r="AL17" s="142">
        <v>1</v>
      </c>
      <c r="AM17" s="140">
        <f t="shared" si="0"/>
        <v>12</v>
      </c>
      <c r="AN17" s="143" t="s">
        <v>831</v>
      </c>
      <c r="AO17" s="143">
        <v>0</v>
      </c>
      <c r="AP17" s="143" t="s">
        <v>865</v>
      </c>
    </row>
    <row r="18" spans="1:42">
      <c r="B18" s="134" t="s">
        <v>67</v>
      </c>
      <c r="C18" s="135" t="s">
        <v>32</v>
      </c>
      <c r="D18" s="135">
        <v>3</v>
      </c>
      <c r="E18" s="135" t="s">
        <v>32</v>
      </c>
      <c r="F18" s="135">
        <v>3</v>
      </c>
      <c r="G18" s="136">
        <v>9</v>
      </c>
      <c r="H18" s="136">
        <v>74</v>
      </c>
      <c r="I18" s="136">
        <v>2020</v>
      </c>
      <c r="J18" s="161"/>
      <c r="K18" s="161"/>
      <c r="L18" s="145" t="s">
        <v>866</v>
      </c>
      <c r="M18" s="142">
        <v>2022</v>
      </c>
      <c r="N18" s="142">
        <v>1</v>
      </c>
      <c r="O18" s="142" t="s">
        <v>70</v>
      </c>
      <c r="P18" s="142" t="s">
        <v>35</v>
      </c>
      <c r="Q18" s="25"/>
      <c r="R18" s="142" t="s">
        <v>30</v>
      </c>
      <c r="S18" s="142" t="s">
        <v>30</v>
      </c>
      <c r="T18" s="142" t="s">
        <v>71</v>
      </c>
      <c r="U18" s="25" t="s">
        <v>37</v>
      </c>
      <c r="V18" s="25">
        <v>37</v>
      </c>
      <c r="W18" s="142">
        <v>4</v>
      </c>
      <c r="X18" s="140">
        <v>6</v>
      </c>
      <c r="Y18" s="142">
        <v>6</v>
      </c>
      <c r="Z18" s="142">
        <v>0</v>
      </c>
      <c r="AA18" s="142">
        <v>2</v>
      </c>
      <c r="AC18" s="150">
        <v>1</v>
      </c>
      <c r="AD18" s="150">
        <v>4</v>
      </c>
      <c r="AE18" s="150">
        <v>1</v>
      </c>
      <c r="AF18" s="150">
        <v>0</v>
      </c>
      <c r="AG18" s="150">
        <v>0</v>
      </c>
      <c r="AH18" s="142">
        <v>1</v>
      </c>
      <c r="AI18" s="142">
        <v>4</v>
      </c>
      <c r="AJ18" s="142">
        <v>1</v>
      </c>
      <c r="AK18" s="142">
        <v>0</v>
      </c>
      <c r="AL18" s="142">
        <v>0</v>
      </c>
      <c r="AM18" s="140">
        <f t="shared" si="0"/>
        <v>6</v>
      </c>
      <c r="AN18" s="142" t="s">
        <v>867</v>
      </c>
      <c r="AO18" s="142">
        <v>0</v>
      </c>
      <c r="AP18" s="142">
        <v>1</v>
      </c>
    </row>
    <row r="19" spans="1:42">
      <c r="B19" s="134" t="s">
        <v>67</v>
      </c>
      <c r="C19" s="135" t="s">
        <v>32</v>
      </c>
      <c r="D19" s="135">
        <v>3</v>
      </c>
      <c r="E19" s="135" t="s">
        <v>32</v>
      </c>
      <c r="F19" s="135">
        <v>3</v>
      </c>
      <c r="G19" s="136">
        <v>9</v>
      </c>
      <c r="H19" s="136">
        <v>74</v>
      </c>
      <c r="I19" s="136">
        <v>2020</v>
      </c>
      <c r="J19" s="161"/>
      <c r="K19" s="161"/>
      <c r="L19" s="145" t="s">
        <v>868</v>
      </c>
      <c r="M19" s="142">
        <v>2021</v>
      </c>
      <c r="N19" s="142">
        <v>2</v>
      </c>
      <c r="O19" s="142" t="s">
        <v>72</v>
      </c>
      <c r="P19" s="142" t="s">
        <v>35</v>
      </c>
      <c r="Q19" s="25"/>
      <c r="R19" s="142" t="s">
        <v>30</v>
      </c>
      <c r="S19" s="142" t="s">
        <v>30</v>
      </c>
      <c r="T19" s="142" t="s">
        <v>73</v>
      </c>
      <c r="U19" s="25" t="s">
        <v>47</v>
      </c>
      <c r="V19" s="25">
        <v>14</v>
      </c>
      <c r="W19" s="142">
        <v>5</v>
      </c>
      <c r="X19" s="140">
        <v>13</v>
      </c>
      <c r="Y19" s="142">
        <v>12</v>
      </c>
      <c r="Z19" s="142">
        <v>1</v>
      </c>
      <c r="AA19" s="142">
        <v>1</v>
      </c>
      <c r="AC19" s="150">
        <v>3</v>
      </c>
      <c r="AD19" s="150">
        <v>8</v>
      </c>
      <c r="AE19" s="150">
        <v>0</v>
      </c>
      <c r="AF19" s="150">
        <v>0</v>
      </c>
      <c r="AG19" s="150">
        <v>1</v>
      </c>
      <c r="AH19" s="142">
        <v>3</v>
      </c>
      <c r="AI19" s="142">
        <v>8</v>
      </c>
      <c r="AJ19" s="142">
        <v>1</v>
      </c>
      <c r="AK19" s="142">
        <v>0</v>
      </c>
      <c r="AL19" s="142">
        <v>1</v>
      </c>
      <c r="AM19" s="140">
        <f t="shared" si="0"/>
        <v>13</v>
      </c>
      <c r="AN19" s="143" t="s">
        <v>831</v>
      </c>
      <c r="AO19" s="143"/>
      <c r="AP19" s="143" t="s">
        <v>831</v>
      </c>
    </row>
    <row r="20" spans="1:42">
      <c r="A20" s="142">
        <v>1</v>
      </c>
      <c r="B20" s="134" t="s">
        <v>67</v>
      </c>
      <c r="C20" s="135" t="s">
        <v>32</v>
      </c>
      <c r="D20" s="135">
        <v>3</v>
      </c>
      <c r="E20" s="135" t="s">
        <v>32</v>
      </c>
      <c r="F20" s="135">
        <v>3</v>
      </c>
      <c r="G20" s="136">
        <v>9</v>
      </c>
      <c r="H20" s="136">
        <v>74</v>
      </c>
      <c r="I20" s="136">
        <v>2020</v>
      </c>
      <c r="J20" s="161"/>
      <c r="K20" s="161"/>
      <c r="L20" s="145" t="s">
        <v>869</v>
      </c>
      <c r="M20" s="142">
        <v>2021</v>
      </c>
      <c r="N20" s="142">
        <v>2</v>
      </c>
      <c r="O20" s="142" t="s">
        <v>74</v>
      </c>
      <c r="P20" s="142" t="s">
        <v>35</v>
      </c>
      <c r="Q20" s="25"/>
      <c r="R20" s="142" t="s">
        <v>30</v>
      </c>
      <c r="S20" s="142" t="s">
        <v>30</v>
      </c>
      <c r="T20" s="142" t="s">
        <v>75</v>
      </c>
      <c r="U20" s="25" t="s">
        <v>47</v>
      </c>
      <c r="V20" s="25">
        <v>2</v>
      </c>
      <c r="W20" s="142">
        <v>5</v>
      </c>
      <c r="X20" s="140">
        <v>17</v>
      </c>
      <c r="Y20" s="142">
        <v>6</v>
      </c>
      <c r="Z20" s="142">
        <v>12</v>
      </c>
      <c r="AA20" s="142">
        <v>7</v>
      </c>
      <c r="AB20" s="53">
        <v>1</v>
      </c>
      <c r="AC20" s="53">
        <v>0</v>
      </c>
      <c r="AD20" s="53">
        <v>6</v>
      </c>
      <c r="AE20" s="53">
        <v>0</v>
      </c>
      <c r="AF20" s="53">
        <v>0</v>
      </c>
      <c r="AG20" s="53">
        <v>0</v>
      </c>
      <c r="AH20" s="142">
        <v>0</v>
      </c>
      <c r="AI20" s="142">
        <v>15</v>
      </c>
      <c r="AJ20" s="142">
        <v>1</v>
      </c>
      <c r="AK20" s="142">
        <v>0</v>
      </c>
      <c r="AL20" s="142">
        <v>1</v>
      </c>
      <c r="AM20" s="140">
        <f t="shared" si="0"/>
        <v>17</v>
      </c>
      <c r="AN20" s="142" t="s">
        <v>826</v>
      </c>
      <c r="AO20" s="142">
        <v>0</v>
      </c>
      <c r="AP20" s="142">
        <v>0</v>
      </c>
    </row>
    <row r="21" spans="1:42">
      <c r="B21" s="134" t="s">
        <v>67</v>
      </c>
      <c r="C21" s="135" t="s">
        <v>32</v>
      </c>
      <c r="D21" s="135">
        <v>3</v>
      </c>
      <c r="E21" s="135" t="s">
        <v>32</v>
      </c>
      <c r="F21" s="135">
        <v>3</v>
      </c>
      <c r="G21" s="136">
        <v>9</v>
      </c>
      <c r="H21" s="136">
        <v>74</v>
      </c>
      <c r="I21" s="136">
        <v>2020</v>
      </c>
      <c r="J21" s="161"/>
      <c r="L21" s="145" t="s">
        <v>870</v>
      </c>
      <c r="M21" s="142">
        <v>2020</v>
      </c>
      <c r="N21" s="142">
        <v>3</v>
      </c>
      <c r="O21" s="142" t="s">
        <v>76</v>
      </c>
      <c r="P21" s="142" t="s">
        <v>35</v>
      </c>
      <c r="Q21" s="142" t="s">
        <v>77</v>
      </c>
      <c r="R21" s="142" t="s">
        <v>30</v>
      </c>
      <c r="S21" s="142" t="s">
        <v>30</v>
      </c>
      <c r="T21" s="142" t="s">
        <v>78</v>
      </c>
      <c r="V21" s="25" t="s">
        <v>822</v>
      </c>
      <c r="W21" s="142">
        <v>2</v>
      </c>
      <c r="X21" s="140">
        <v>6</v>
      </c>
      <c r="Y21" s="142">
        <v>6</v>
      </c>
      <c r="Z21" s="142">
        <v>0</v>
      </c>
      <c r="AA21" s="142">
        <v>1</v>
      </c>
      <c r="AC21" s="150">
        <v>0</v>
      </c>
      <c r="AD21" s="150">
        <v>3</v>
      </c>
      <c r="AE21" s="150">
        <v>1</v>
      </c>
      <c r="AF21" s="150">
        <v>0</v>
      </c>
      <c r="AG21" s="150">
        <v>2</v>
      </c>
      <c r="AH21" s="142">
        <v>0</v>
      </c>
      <c r="AI21" s="142">
        <v>3</v>
      </c>
      <c r="AJ21" s="142">
        <v>1</v>
      </c>
      <c r="AK21" s="142">
        <v>0</v>
      </c>
      <c r="AL21" s="142">
        <v>2</v>
      </c>
      <c r="AM21" s="140">
        <f t="shared" si="0"/>
        <v>6</v>
      </c>
      <c r="AN21" s="142" t="s">
        <v>823</v>
      </c>
      <c r="AO21" s="142">
        <v>0</v>
      </c>
      <c r="AP21" s="142">
        <v>2</v>
      </c>
    </row>
    <row r="22" spans="1:42">
      <c r="A22" s="142">
        <v>1</v>
      </c>
      <c r="B22" s="134" t="s">
        <v>67</v>
      </c>
      <c r="C22" s="135" t="s">
        <v>32</v>
      </c>
      <c r="D22" s="135">
        <v>3</v>
      </c>
      <c r="E22" s="135" t="s">
        <v>32</v>
      </c>
      <c r="F22" s="135">
        <v>3</v>
      </c>
      <c r="G22" s="136">
        <v>9</v>
      </c>
      <c r="H22" s="136">
        <v>74</v>
      </c>
      <c r="I22" s="136">
        <v>2020</v>
      </c>
      <c r="J22" s="161"/>
      <c r="K22" s="162"/>
      <c r="L22" s="145" t="s">
        <v>871</v>
      </c>
      <c r="M22" s="142">
        <v>2020</v>
      </c>
      <c r="N22" s="142">
        <v>3</v>
      </c>
      <c r="O22" s="142" t="s">
        <v>79</v>
      </c>
      <c r="P22" s="142" t="s">
        <v>35</v>
      </c>
      <c r="Q22" s="142" t="s">
        <v>80</v>
      </c>
      <c r="R22" s="142" t="s">
        <v>30</v>
      </c>
      <c r="S22" s="142" t="s">
        <v>30</v>
      </c>
      <c r="T22" s="163" t="s">
        <v>81</v>
      </c>
      <c r="V22" s="25" t="s">
        <v>822</v>
      </c>
      <c r="W22" s="142">
        <v>8</v>
      </c>
      <c r="X22" s="140">
        <v>48</v>
      </c>
      <c r="Y22" s="142">
        <v>41</v>
      </c>
      <c r="Z22" s="142">
        <v>7</v>
      </c>
      <c r="AA22" s="142">
        <v>13</v>
      </c>
      <c r="AH22" s="142">
        <v>28</v>
      </c>
      <c r="AI22" s="142">
        <v>15</v>
      </c>
      <c r="AJ22" s="142">
        <v>3</v>
      </c>
      <c r="AK22" s="142">
        <v>1</v>
      </c>
      <c r="AL22" s="142">
        <v>1</v>
      </c>
      <c r="AM22" s="140">
        <f t="shared" si="0"/>
        <v>48</v>
      </c>
      <c r="AN22" s="142" t="s">
        <v>823</v>
      </c>
      <c r="AO22" s="142">
        <v>0</v>
      </c>
      <c r="AP22" s="142">
        <v>2</v>
      </c>
    </row>
    <row r="23" spans="1:42" s="25" customFormat="1" ht="13" customHeight="1">
      <c r="B23" s="134" t="s">
        <v>872</v>
      </c>
      <c r="C23" s="135" t="s">
        <v>85</v>
      </c>
      <c r="D23" s="135" t="s">
        <v>85</v>
      </c>
      <c r="E23" s="135" t="s">
        <v>85</v>
      </c>
      <c r="F23" s="135" t="s">
        <v>85</v>
      </c>
      <c r="G23" s="136">
        <v>35</v>
      </c>
      <c r="H23" s="136">
        <v>74</v>
      </c>
      <c r="I23" s="136">
        <v>2013</v>
      </c>
      <c r="J23" s="136"/>
      <c r="K23" s="144"/>
      <c r="L23" s="145"/>
      <c r="M23" s="25">
        <v>2022</v>
      </c>
      <c r="N23" s="25">
        <v>1</v>
      </c>
      <c r="O23" s="25" t="s">
        <v>82</v>
      </c>
      <c r="P23" s="25" t="s">
        <v>28</v>
      </c>
      <c r="R23" s="25" t="s">
        <v>30</v>
      </c>
      <c r="S23" s="25" t="s">
        <v>30</v>
      </c>
      <c r="T23" s="25" t="s">
        <v>83</v>
      </c>
      <c r="U23" s="25" t="s">
        <v>84</v>
      </c>
      <c r="V23" s="25">
        <v>53</v>
      </c>
      <c r="W23" s="142">
        <v>0</v>
      </c>
      <c r="X23" s="140">
        <v>1</v>
      </c>
      <c r="Y23" s="142">
        <v>1</v>
      </c>
      <c r="Z23" s="142">
        <v>0</v>
      </c>
      <c r="AA23" s="142">
        <v>0</v>
      </c>
      <c r="AB23" s="142"/>
      <c r="AC23" s="150">
        <v>0</v>
      </c>
      <c r="AD23" s="150">
        <v>0</v>
      </c>
      <c r="AE23" s="150">
        <v>0</v>
      </c>
      <c r="AF23" s="150">
        <v>0</v>
      </c>
      <c r="AG23" s="150">
        <v>1</v>
      </c>
      <c r="AH23" s="142">
        <v>0</v>
      </c>
      <c r="AI23" s="142">
        <v>0</v>
      </c>
      <c r="AJ23" s="142">
        <v>0</v>
      </c>
      <c r="AK23" s="142">
        <v>0</v>
      </c>
      <c r="AL23" s="142">
        <v>1</v>
      </c>
      <c r="AM23" s="140">
        <f t="shared" si="0"/>
        <v>1</v>
      </c>
      <c r="AN23" s="143" t="s">
        <v>831</v>
      </c>
      <c r="AO23" s="143" t="s">
        <v>831</v>
      </c>
      <c r="AP23" s="143" t="s">
        <v>831</v>
      </c>
    </row>
    <row r="24" spans="1:42" s="25" customFormat="1">
      <c r="A24" s="142">
        <v>1</v>
      </c>
      <c r="B24" s="134" t="s">
        <v>872</v>
      </c>
      <c r="C24" s="135" t="s">
        <v>85</v>
      </c>
      <c r="D24" s="135" t="s">
        <v>85</v>
      </c>
      <c r="E24" s="135" t="s">
        <v>85</v>
      </c>
      <c r="F24" s="135" t="s">
        <v>85</v>
      </c>
      <c r="G24" s="136">
        <v>35</v>
      </c>
      <c r="H24" s="136">
        <v>74</v>
      </c>
      <c r="I24" s="136">
        <v>2013</v>
      </c>
      <c r="J24" s="136"/>
      <c r="K24" s="136"/>
      <c r="L24" s="145" t="s">
        <v>873</v>
      </c>
      <c r="M24" s="25">
        <v>2021</v>
      </c>
      <c r="N24" s="25">
        <v>2</v>
      </c>
      <c r="O24" s="25" t="s">
        <v>86</v>
      </c>
      <c r="P24" s="25" t="s">
        <v>35</v>
      </c>
      <c r="R24" s="25" t="s">
        <v>30</v>
      </c>
      <c r="S24" s="25" t="s">
        <v>30</v>
      </c>
      <c r="T24" s="142" t="s">
        <v>87</v>
      </c>
      <c r="U24" s="25" t="s">
        <v>874</v>
      </c>
      <c r="V24" s="25" t="s">
        <v>831</v>
      </c>
      <c r="W24" s="25">
        <v>0</v>
      </c>
      <c r="X24" s="140">
        <v>6</v>
      </c>
      <c r="Y24" s="25">
        <v>2</v>
      </c>
      <c r="Z24" s="25">
        <v>4</v>
      </c>
      <c r="AA24" s="25">
        <v>5</v>
      </c>
      <c r="AC24" s="150"/>
      <c r="AD24" s="150"/>
      <c r="AE24" s="150"/>
      <c r="AF24" s="150"/>
      <c r="AG24" s="150"/>
      <c r="AH24" s="25">
        <v>0</v>
      </c>
      <c r="AI24" s="25">
        <v>3</v>
      </c>
      <c r="AJ24" s="25">
        <v>1</v>
      </c>
      <c r="AK24" s="25">
        <v>1</v>
      </c>
      <c r="AL24" s="25">
        <v>1</v>
      </c>
      <c r="AM24" s="140">
        <f t="shared" si="0"/>
        <v>6</v>
      </c>
      <c r="AN24" s="25" t="s">
        <v>826</v>
      </c>
      <c r="AO24" s="25">
        <v>0</v>
      </c>
      <c r="AP24" s="25">
        <v>0</v>
      </c>
    </row>
    <row r="25" spans="1:42" s="25" customFormat="1">
      <c r="A25" s="142">
        <v>1</v>
      </c>
      <c r="B25" s="134" t="s">
        <v>872</v>
      </c>
      <c r="C25" s="135" t="s">
        <v>85</v>
      </c>
      <c r="D25" s="135" t="s">
        <v>85</v>
      </c>
      <c r="E25" s="135" t="s">
        <v>85</v>
      </c>
      <c r="F25" s="135" t="s">
        <v>85</v>
      </c>
      <c r="G25" s="136">
        <v>35</v>
      </c>
      <c r="H25" s="136">
        <v>74</v>
      </c>
      <c r="I25" s="136">
        <v>2013</v>
      </c>
      <c r="J25" s="136"/>
      <c r="K25" s="136"/>
      <c r="L25" s="145" t="s">
        <v>875</v>
      </c>
      <c r="M25" s="25">
        <v>2020</v>
      </c>
      <c r="N25" s="25">
        <v>3</v>
      </c>
      <c r="O25" s="25" t="s">
        <v>88</v>
      </c>
      <c r="P25" s="25" t="s">
        <v>35</v>
      </c>
      <c r="R25" s="25" t="s">
        <v>30</v>
      </c>
      <c r="S25" s="25" t="s">
        <v>30</v>
      </c>
      <c r="T25" s="25" t="s">
        <v>89</v>
      </c>
      <c r="U25" s="25" t="s">
        <v>84</v>
      </c>
      <c r="V25" s="25">
        <v>87</v>
      </c>
      <c r="W25" s="25">
        <v>1</v>
      </c>
      <c r="X25" s="140">
        <v>3</v>
      </c>
      <c r="Y25" s="25">
        <v>2</v>
      </c>
      <c r="Z25" s="25">
        <v>1</v>
      </c>
      <c r="AA25" s="25">
        <v>3</v>
      </c>
      <c r="AC25" s="150"/>
      <c r="AD25" s="150"/>
      <c r="AE25" s="150"/>
      <c r="AF25" s="150"/>
      <c r="AG25" s="150"/>
      <c r="AH25" s="25">
        <v>0</v>
      </c>
      <c r="AI25" s="25">
        <v>1</v>
      </c>
      <c r="AJ25" s="25">
        <v>0</v>
      </c>
      <c r="AK25" s="25">
        <v>2</v>
      </c>
      <c r="AL25" s="25">
        <v>0</v>
      </c>
      <c r="AM25" s="140">
        <f t="shared" si="0"/>
        <v>3</v>
      </c>
      <c r="AN25" s="25" t="s">
        <v>826</v>
      </c>
      <c r="AO25" s="25">
        <v>0</v>
      </c>
      <c r="AP25" s="25">
        <v>0</v>
      </c>
    </row>
    <row r="26" spans="1:42" s="25" customFormat="1" ht="43.5">
      <c r="B26" s="134" t="s">
        <v>872</v>
      </c>
      <c r="C26" s="135" t="s">
        <v>85</v>
      </c>
      <c r="D26" s="135" t="s">
        <v>85</v>
      </c>
      <c r="E26" s="135" t="s">
        <v>85</v>
      </c>
      <c r="F26" s="135" t="s">
        <v>85</v>
      </c>
      <c r="G26" s="136">
        <v>35</v>
      </c>
      <c r="H26" s="136">
        <v>74</v>
      </c>
      <c r="I26" s="136">
        <v>2013</v>
      </c>
      <c r="J26" s="136"/>
      <c r="K26" s="144"/>
      <c r="L26" s="164" t="s">
        <v>876</v>
      </c>
      <c r="M26" s="25">
        <v>2019</v>
      </c>
      <c r="N26" s="25">
        <v>4</v>
      </c>
      <c r="O26" s="25" t="s">
        <v>90</v>
      </c>
      <c r="P26" s="25" t="s">
        <v>28</v>
      </c>
      <c r="R26" s="25" t="s">
        <v>30</v>
      </c>
      <c r="S26" s="25" t="s">
        <v>30</v>
      </c>
      <c r="T26" s="25" t="s">
        <v>91</v>
      </c>
      <c r="U26" s="25" t="s">
        <v>84</v>
      </c>
      <c r="W26" s="25">
        <v>3</v>
      </c>
      <c r="X26" s="140">
        <v>4</v>
      </c>
      <c r="Y26" s="142">
        <v>4</v>
      </c>
      <c r="Z26" s="142">
        <v>0</v>
      </c>
      <c r="AA26" s="142">
        <v>1</v>
      </c>
      <c r="AB26" s="142"/>
      <c r="AC26" s="150">
        <v>4</v>
      </c>
      <c r="AD26" s="150">
        <v>0</v>
      </c>
      <c r="AE26" s="150">
        <v>0</v>
      </c>
      <c r="AF26" s="150">
        <v>0</v>
      </c>
      <c r="AG26" s="150">
        <v>0</v>
      </c>
      <c r="AH26" s="142">
        <v>4</v>
      </c>
      <c r="AI26" s="142">
        <v>0</v>
      </c>
      <c r="AJ26" s="142">
        <v>0</v>
      </c>
      <c r="AK26" s="142">
        <v>0</v>
      </c>
      <c r="AL26" s="142">
        <v>0</v>
      </c>
      <c r="AM26" s="140">
        <f t="shared" si="0"/>
        <v>4</v>
      </c>
      <c r="AN26" s="25">
        <v>0</v>
      </c>
      <c r="AO26" s="25">
        <v>0</v>
      </c>
      <c r="AP26" s="25">
        <v>0</v>
      </c>
    </row>
    <row r="27" spans="1:42" s="25" customFormat="1">
      <c r="A27" s="142">
        <v>1</v>
      </c>
      <c r="B27" s="134" t="s">
        <v>872</v>
      </c>
      <c r="C27" s="135" t="s">
        <v>85</v>
      </c>
      <c r="D27" s="135" t="s">
        <v>85</v>
      </c>
      <c r="E27" s="135" t="s">
        <v>85</v>
      </c>
      <c r="F27" s="135" t="s">
        <v>85</v>
      </c>
      <c r="G27" s="136">
        <v>35</v>
      </c>
      <c r="H27" s="136">
        <v>74</v>
      </c>
      <c r="I27" s="136">
        <v>2013</v>
      </c>
      <c r="J27" s="136"/>
      <c r="K27" s="136"/>
      <c r="L27" s="145" t="s">
        <v>877</v>
      </c>
      <c r="M27" s="25">
        <v>2018</v>
      </c>
      <c r="N27" s="25">
        <v>5</v>
      </c>
      <c r="O27" s="25" t="s">
        <v>92</v>
      </c>
      <c r="P27" s="25" t="s">
        <v>35</v>
      </c>
      <c r="R27" s="25" t="s">
        <v>30</v>
      </c>
      <c r="S27" s="25" t="s">
        <v>30</v>
      </c>
      <c r="T27" s="25" t="s">
        <v>93</v>
      </c>
      <c r="U27" s="25" t="s">
        <v>84</v>
      </c>
      <c r="V27" s="25">
        <v>74</v>
      </c>
      <c r="W27" s="25">
        <v>1</v>
      </c>
      <c r="X27" s="140">
        <v>3</v>
      </c>
      <c r="Y27" s="25">
        <v>1</v>
      </c>
      <c r="Z27" s="25">
        <v>2</v>
      </c>
      <c r="AA27" s="25">
        <v>3</v>
      </c>
      <c r="AC27" s="150"/>
      <c r="AD27" s="150"/>
      <c r="AE27" s="150"/>
      <c r="AF27" s="150"/>
      <c r="AG27" s="150"/>
      <c r="AH27" s="25">
        <v>0</v>
      </c>
      <c r="AI27" s="25">
        <v>3</v>
      </c>
      <c r="AJ27" s="25">
        <v>0</v>
      </c>
      <c r="AK27" s="25">
        <v>0</v>
      </c>
      <c r="AL27" s="25">
        <v>0</v>
      </c>
      <c r="AM27" s="140">
        <f t="shared" si="0"/>
        <v>3</v>
      </c>
      <c r="AN27" s="25" t="s">
        <v>826</v>
      </c>
      <c r="AP27" s="25">
        <v>0</v>
      </c>
    </row>
    <row r="28" spans="1:42" s="25" customFormat="1">
      <c r="B28" s="134" t="s">
        <v>872</v>
      </c>
      <c r="C28" s="135" t="s">
        <v>85</v>
      </c>
      <c r="D28" s="135" t="s">
        <v>85</v>
      </c>
      <c r="E28" s="135" t="s">
        <v>85</v>
      </c>
      <c r="F28" s="135" t="s">
        <v>85</v>
      </c>
      <c r="G28" s="136">
        <v>35</v>
      </c>
      <c r="H28" s="136">
        <v>74</v>
      </c>
      <c r="I28" s="136">
        <v>2013</v>
      </c>
      <c r="J28" s="136"/>
      <c r="K28" s="136"/>
      <c r="L28" s="145" t="s">
        <v>878</v>
      </c>
      <c r="M28" s="25">
        <v>2017</v>
      </c>
      <c r="N28" s="25">
        <v>6</v>
      </c>
      <c r="O28" s="25" t="s">
        <v>879</v>
      </c>
      <c r="P28" s="25" t="s">
        <v>35</v>
      </c>
      <c r="R28" s="25" t="s">
        <v>30</v>
      </c>
      <c r="S28" s="25" t="s">
        <v>30</v>
      </c>
      <c r="T28" s="142" t="s">
        <v>95</v>
      </c>
      <c r="U28" s="25" t="s">
        <v>84</v>
      </c>
      <c r="V28" s="25">
        <v>118</v>
      </c>
      <c r="W28" s="25">
        <v>1</v>
      </c>
      <c r="X28" s="140">
        <v>1</v>
      </c>
      <c r="Y28" s="25">
        <v>0</v>
      </c>
      <c r="Z28" s="25">
        <v>1</v>
      </c>
      <c r="AA28" s="25">
        <v>1</v>
      </c>
      <c r="AC28" s="150">
        <v>0</v>
      </c>
      <c r="AD28" s="150">
        <v>0</v>
      </c>
      <c r="AE28" s="150">
        <v>0</v>
      </c>
      <c r="AF28" s="150">
        <v>0</v>
      </c>
      <c r="AG28" s="150">
        <v>0</v>
      </c>
      <c r="AH28" s="25">
        <v>0</v>
      </c>
      <c r="AI28" s="25">
        <v>1</v>
      </c>
      <c r="AJ28" s="25">
        <v>0</v>
      </c>
      <c r="AK28" s="25">
        <v>0</v>
      </c>
      <c r="AL28" s="25">
        <v>0</v>
      </c>
      <c r="AM28" s="140">
        <f t="shared" si="0"/>
        <v>1</v>
      </c>
      <c r="AN28" s="25" t="s">
        <v>826</v>
      </c>
      <c r="AP28" s="25">
        <v>0</v>
      </c>
    </row>
    <row r="29" spans="1:42">
      <c r="A29" s="142">
        <v>1</v>
      </c>
      <c r="B29" s="134" t="s">
        <v>96</v>
      </c>
      <c r="C29" s="135" t="s">
        <v>32</v>
      </c>
      <c r="D29" s="135">
        <v>1</v>
      </c>
      <c r="E29" s="135" t="s">
        <v>32</v>
      </c>
      <c r="F29" s="135">
        <v>6</v>
      </c>
      <c r="G29" s="136">
        <v>79</v>
      </c>
      <c r="H29" s="136">
        <v>74</v>
      </c>
      <c r="I29" s="136">
        <v>2013</v>
      </c>
      <c r="J29" s="144"/>
      <c r="K29" s="144"/>
      <c r="L29" s="145" t="s">
        <v>880</v>
      </c>
      <c r="M29" s="142">
        <v>2022</v>
      </c>
      <c r="N29" s="142">
        <v>1</v>
      </c>
      <c r="O29" s="142" t="s">
        <v>97</v>
      </c>
      <c r="P29" s="142" t="s">
        <v>28</v>
      </c>
      <c r="Q29" s="25"/>
      <c r="R29" s="142" t="s">
        <v>30</v>
      </c>
      <c r="S29" s="142" t="s">
        <v>30</v>
      </c>
      <c r="T29" s="142" t="s">
        <v>98</v>
      </c>
      <c r="U29" s="25" t="s">
        <v>47</v>
      </c>
      <c r="V29" s="25">
        <v>11</v>
      </c>
      <c r="W29" s="142">
        <v>5</v>
      </c>
      <c r="X29" s="140">
        <v>17</v>
      </c>
      <c r="Y29" s="142">
        <v>12</v>
      </c>
      <c r="Z29" s="142">
        <v>5</v>
      </c>
      <c r="AA29" s="142">
        <v>6</v>
      </c>
      <c r="AH29" s="142">
        <v>0</v>
      </c>
      <c r="AI29" s="142">
        <v>17</v>
      </c>
      <c r="AJ29" s="142">
        <v>0</v>
      </c>
      <c r="AK29" s="142">
        <v>0</v>
      </c>
      <c r="AL29" s="142">
        <v>0</v>
      </c>
      <c r="AM29" s="140">
        <f t="shared" si="0"/>
        <v>17</v>
      </c>
      <c r="AN29" s="142" t="s">
        <v>826</v>
      </c>
      <c r="AO29" s="142">
        <v>0</v>
      </c>
      <c r="AP29" s="142">
        <v>0</v>
      </c>
    </row>
    <row r="30" spans="1:42">
      <c r="B30" s="134" t="s">
        <v>96</v>
      </c>
      <c r="C30" s="135" t="s">
        <v>32</v>
      </c>
      <c r="D30" s="135">
        <v>1</v>
      </c>
      <c r="E30" s="135" t="s">
        <v>32</v>
      </c>
      <c r="F30" s="135">
        <v>6</v>
      </c>
      <c r="G30" s="136">
        <v>79</v>
      </c>
      <c r="H30" s="136">
        <v>74</v>
      </c>
      <c r="I30" s="136">
        <v>2013</v>
      </c>
      <c r="J30" s="144"/>
      <c r="K30" s="144"/>
      <c r="L30" s="145" t="s">
        <v>881</v>
      </c>
      <c r="M30" s="142">
        <v>2022</v>
      </c>
      <c r="N30" s="142">
        <v>1</v>
      </c>
      <c r="O30" s="142" t="s">
        <v>99</v>
      </c>
      <c r="P30" s="142" t="s">
        <v>35</v>
      </c>
      <c r="Q30" s="25"/>
      <c r="R30" s="142" t="s">
        <v>30</v>
      </c>
      <c r="S30" s="142" t="s">
        <v>30</v>
      </c>
      <c r="T30" s="142" t="s">
        <v>100</v>
      </c>
      <c r="U30" s="25" t="s">
        <v>101</v>
      </c>
      <c r="V30" s="25">
        <v>37</v>
      </c>
      <c r="W30" s="142">
        <v>3</v>
      </c>
      <c r="X30" s="140">
        <v>7</v>
      </c>
      <c r="Y30" s="142">
        <v>7</v>
      </c>
      <c r="Z30" s="142">
        <v>0</v>
      </c>
      <c r="AA30" s="142">
        <v>4</v>
      </c>
      <c r="AC30" s="150">
        <v>0</v>
      </c>
      <c r="AD30" s="150">
        <v>5</v>
      </c>
      <c r="AE30" s="150">
        <v>0</v>
      </c>
      <c r="AF30" s="150">
        <v>2</v>
      </c>
      <c r="AG30" s="150">
        <v>0</v>
      </c>
      <c r="AH30" s="142">
        <v>0</v>
      </c>
      <c r="AI30" s="142">
        <v>5</v>
      </c>
      <c r="AJ30" s="142">
        <v>0</v>
      </c>
      <c r="AK30" s="142">
        <v>2</v>
      </c>
      <c r="AL30" s="142">
        <v>0</v>
      </c>
      <c r="AM30" s="140">
        <f t="shared" si="0"/>
        <v>7</v>
      </c>
      <c r="AN30" s="142" t="s">
        <v>823</v>
      </c>
      <c r="AO30" s="142">
        <v>0</v>
      </c>
      <c r="AP30" s="142">
        <v>0</v>
      </c>
    </row>
    <row r="31" spans="1:42">
      <c r="B31" s="134" t="s">
        <v>96</v>
      </c>
      <c r="C31" s="135" t="s">
        <v>32</v>
      </c>
      <c r="D31" s="135">
        <v>1</v>
      </c>
      <c r="E31" s="135" t="s">
        <v>32</v>
      </c>
      <c r="F31" s="135">
        <v>6</v>
      </c>
      <c r="G31" s="136">
        <v>79</v>
      </c>
      <c r="H31" s="136">
        <v>74</v>
      </c>
      <c r="I31" s="136">
        <v>2013</v>
      </c>
      <c r="J31" s="144"/>
      <c r="K31" s="144"/>
      <c r="L31" s="145" t="s">
        <v>882</v>
      </c>
      <c r="M31" s="142">
        <v>2022</v>
      </c>
      <c r="N31" s="142">
        <v>1</v>
      </c>
      <c r="O31" s="142" t="s">
        <v>883</v>
      </c>
      <c r="P31" s="142" t="s">
        <v>28</v>
      </c>
      <c r="Q31" s="25"/>
      <c r="R31" s="142" t="s">
        <v>39</v>
      </c>
      <c r="S31" s="142" t="s">
        <v>884</v>
      </c>
      <c r="T31" s="142" t="s">
        <v>102</v>
      </c>
      <c r="U31" s="25" t="s">
        <v>101</v>
      </c>
      <c r="V31" s="25">
        <v>24</v>
      </c>
      <c r="W31" s="142">
        <v>1</v>
      </c>
      <c r="X31" s="140">
        <v>2</v>
      </c>
      <c r="Y31" s="142">
        <v>0</v>
      </c>
      <c r="Z31" s="142">
        <v>2</v>
      </c>
      <c r="AA31" s="142">
        <v>1</v>
      </c>
      <c r="AC31" s="150">
        <v>0</v>
      </c>
      <c r="AD31" s="150">
        <v>0</v>
      </c>
      <c r="AE31" s="150">
        <v>0</v>
      </c>
      <c r="AF31" s="150">
        <v>0</v>
      </c>
      <c r="AG31" s="150">
        <v>0</v>
      </c>
      <c r="AH31" s="142">
        <v>0</v>
      </c>
      <c r="AI31" s="142">
        <v>2</v>
      </c>
      <c r="AJ31" s="142">
        <v>0</v>
      </c>
      <c r="AK31" s="142">
        <v>0</v>
      </c>
      <c r="AL31" s="142">
        <v>0</v>
      </c>
      <c r="AM31" s="140">
        <f t="shared" si="0"/>
        <v>2</v>
      </c>
      <c r="AN31" s="142" t="s">
        <v>826</v>
      </c>
      <c r="AO31" s="142">
        <v>0</v>
      </c>
      <c r="AP31" s="142">
        <v>0</v>
      </c>
    </row>
    <row r="32" spans="1:42">
      <c r="A32" s="142">
        <v>1</v>
      </c>
      <c r="B32" s="134" t="s">
        <v>96</v>
      </c>
      <c r="C32" s="135" t="s">
        <v>32</v>
      </c>
      <c r="D32" s="135">
        <v>1</v>
      </c>
      <c r="E32" s="135" t="s">
        <v>32</v>
      </c>
      <c r="F32" s="135">
        <v>6</v>
      </c>
      <c r="G32" s="136">
        <v>79</v>
      </c>
      <c r="H32" s="136">
        <v>74</v>
      </c>
      <c r="I32" s="136">
        <v>2013</v>
      </c>
      <c r="J32" s="144"/>
      <c r="K32" s="144"/>
      <c r="L32" s="145" t="s">
        <v>885</v>
      </c>
      <c r="M32" s="142">
        <v>2021</v>
      </c>
      <c r="N32" s="142">
        <v>2</v>
      </c>
      <c r="O32" s="142" t="s">
        <v>103</v>
      </c>
      <c r="P32" s="142" t="s">
        <v>35</v>
      </c>
      <c r="Q32" s="25"/>
      <c r="R32" s="142" t="s">
        <v>30</v>
      </c>
      <c r="S32" s="142" t="s">
        <v>30</v>
      </c>
      <c r="T32" s="142" t="s">
        <v>104</v>
      </c>
      <c r="U32" s="25" t="s">
        <v>101</v>
      </c>
      <c r="V32" s="25">
        <v>22</v>
      </c>
      <c r="W32" s="142">
        <v>7</v>
      </c>
      <c r="X32" s="140">
        <v>45</v>
      </c>
      <c r="Y32" s="142">
        <v>27</v>
      </c>
      <c r="Z32" s="142">
        <v>18</v>
      </c>
      <c r="AA32" s="142">
        <v>25</v>
      </c>
      <c r="AH32" s="142">
        <v>0</v>
      </c>
      <c r="AI32" s="142">
        <v>38</v>
      </c>
      <c r="AJ32" s="142">
        <v>0</v>
      </c>
      <c r="AK32" s="142">
        <v>4</v>
      </c>
      <c r="AL32" s="142">
        <v>3</v>
      </c>
      <c r="AM32" s="140">
        <f t="shared" si="0"/>
        <v>45</v>
      </c>
      <c r="AN32" s="142" t="s">
        <v>826</v>
      </c>
      <c r="AO32" s="142">
        <v>0</v>
      </c>
      <c r="AP32" s="142">
        <v>0</v>
      </c>
    </row>
    <row r="33" spans="1:42">
      <c r="A33" s="142">
        <v>1</v>
      </c>
      <c r="B33" s="134" t="s">
        <v>96</v>
      </c>
      <c r="C33" s="135" t="s">
        <v>32</v>
      </c>
      <c r="D33" s="135">
        <v>1</v>
      </c>
      <c r="E33" s="135" t="s">
        <v>32</v>
      </c>
      <c r="F33" s="135">
        <v>6</v>
      </c>
      <c r="G33" s="136">
        <v>79</v>
      </c>
      <c r="H33" s="136">
        <v>74</v>
      </c>
      <c r="I33" s="136">
        <v>2013</v>
      </c>
      <c r="J33" s="144"/>
      <c r="K33" s="144"/>
      <c r="L33" s="145" t="s">
        <v>886</v>
      </c>
      <c r="M33" s="142">
        <v>2021</v>
      </c>
      <c r="N33" s="142">
        <v>2</v>
      </c>
      <c r="O33" s="142" t="s">
        <v>105</v>
      </c>
      <c r="P33" s="142" t="s">
        <v>28</v>
      </c>
      <c r="Q33" s="25"/>
      <c r="R33" s="142" t="s">
        <v>30</v>
      </c>
      <c r="S33" s="142" t="s">
        <v>30</v>
      </c>
      <c r="T33" s="142" t="s">
        <v>106</v>
      </c>
      <c r="U33" s="25" t="s">
        <v>107</v>
      </c>
      <c r="V33" s="25" t="s">
        <v>107</v>
      </c>
      <c r="W33" s="142">
        <v>3</v>
      </c>
      <c r="X33" s="140">
        <v>4</v>
      </c>
      <c r="Y33" s="142">
        <v>3</v>
      </c>
      <c r="Z33" s="142">
        <v>1</v>
      </c>
      <c r="AA33" s="142">
        <v>3</v>
      </c>
      <c r="AH33" s="142">
        <v>0</v>
      </c>
      <c r="AI33" s="142">
        <v>2</v>
      </c>
      <c r="AJ33" s="142">
        <v>1</v>
      </c>
      <c r="AK33" s="142">
        <v>1</v>
      </c>
      <c r="AL33" s="142">
        <v>0</v>
      </c>
      <c r="AM33" s="140">
        <f t="shared" si="0"/>
        <v>4</v>
      </c>
      <c r="AN33" s="142" t="s">
        <v>826</v>
      </c>
      <c r="AO33" s="142">
        <v>0</v>
      </c>
      <c r="AP33" s="142">
        <v>0</v>
      </c>
    </row>
    <row r="34" spans="1:42">
      <c r="A34" s="142">
        <v>1</v>
      </c>
      <c r="B34" s="134" t="s">
        <v>96</v>
      </c>
      <c r="C34" s="135" t="s">
        <v>32</v>
      </c>
      <c r="D34" s="135">
        <v>1</v>
      </c>
      <c r="E34" s="135" t="s">
        <v>32</v>
      </c>
      <c r="F34" s="135">
        <v>6</v>
      </c>
      <c r="G34" s="136">
        <v>79</v>
      </c>
      <c r="H34" s="136">
        <v>74</v>
      </c>
      <c r="I34" s="136">
        <v>2013</v>
      </c>
      <c r="J34" s="144"/>
      <c r="K34" s="144"/>
      <c r="L34" s="145" t="s">
        <v>887</v>
      </c>
      <c r="M34" s="142">
        <v>2021</v>
      </c>
      <c r="N34" s="142">
        <v>2</v>
      </c>
      <c r="O34" s="142" t="s">
        <v>108</v>
      </c>
      <c r="P34" s="142" t="s">
        <v>35</v>
      </c>
      <c r="Q34" s="25"/>
      <c r="R34" s="142" t="s">
        <v>30</v>
      </c>
      <c r="S34" s="142" t="s">
        <v>30</v>
      </c>
      <c r="T34" s="142" t="s">
        <v>109</v>
      </c>
      <c r="U34" s="25" t="s">
        <v>47</v>
      </c>
      <c r="V34" s="25">
        <v>20</v>
      </c>
      <c r="W34" s="142">
        <v>2</v>
      </c>
      <c r="X34" s="140">
        <v>5</v>
      </c>
      <c r="Y34" s="142">
        <v>4</v>
      </c>
      <c r="Z34" s="142">
        <v>1</v>
      </c>
      <c r="AA34" s="142">
        <v>1</v>
      </c>
      <c r="AH34" s="142">
        <v>0</v>
      </c>
      <c r="AI34" s="142">
        <v>4</v>
      </c>
      <c r="AJ34" s="142">
        <v>1</v>
      </c>
      <c r="AK34" s="142">
        <v>0</v>
      </c>
      <c r="AL34" s="142">
        <v>0</v>
      </c>
      <c r="AM34" s="140">
        <f t="shared" si="0"/>
        <v>5</v>
      </c>
      <c r="AN34" s="142" t="s">
        <v>826</v>
      </c>
      <c r="AO34" s="142">
        <v>0</v>
      </c>
      <c r="AP34" s="142">
        <v>0</v>
      </c>
    </row>
    <row r="35" spans="1:42">
      <c r="A35" s="142">
        <v>1</v>
      </c>
      <c r="B35" s="134" t="s">
        <v>96</v>
      </c>
      <c r="C35" s="135" t="s">
        <v>32</v>
      </c>
      <c r="D35" s="135">
        <v>1</v>
      </c>
      <c r="E35" s="135" t="s">
        <v>32</v>
      </c>
      <c r="F35" s="135">
        <v>6</v>
      </c>
      <c r="G35" s="136">
        <v>79</v>
      </c>
      <c r="H35" s="136">
        <v>74</v>
      </c>
      <c r="I35" s="136">
        <v>2013</v>
      </c>
      <c r="J35" s="144"/>
      <c r="K35" s="144"/>
      <c r="L35" s="145" t="s">
        <v>888</v>
      </c>
      <c r="M35" s="142">
        <v>2020</v>
      </c>
      <c r="N35" s="142">
        <v>3</v>
      </c>
      <c r="O35" s="142" t="s">
        <v>110</v>
      </c>
      <c r="P35" s="142" t="s">
        <v>28</v>
      </c>
      <c r="Q35" s="142" t="s">
        <v>111</v>
      </c>
      <c r="R35" s="142" t="s">
        <v>30</v>
      </c>
      <c r="S35" s="142" t="s">
        <v>30</v>
      </c>
      <c r="T35" s="142" t="s">
        <v>112</v>
      </c>
      <c r="V35" s="25" t="s">
        <v>822</v>
      </c>
      <c r="W35" s="142">
        <v>9</v>
      </c>
      <c r="X35" s="140">
        <v>32</v>
      </c>
      <c r="Y35" s="142">
        <v>30</v>
      </c>
      <c r="Z35" s="142">
        <v>2</v>
      </c>
      <c r="AA35" s="142">
        <v>22</v>
      </c>
      <c r="AH35" s="142">
        <v>0</v>
      </c>
      <c r="AI35" s="142">
        <v>25</v>
      </c>
      <c r="AJ35" s="142">
        <v>1</v>
      </c>
      <c r="AK35" s="142">
        <v>2</v>
      </c>
      <c r="AL35" s="142">
        <v>4</v>
      </c>
      <c r="AM35" s="140">
        <f t="shared" si="0"/>
        <v>32</v>
      </c>
      <c r="AN35" s="142" t="s">
        <v>823</v>
      </c>
      <c r="AO35" s="142">
        <v>0</v>
      </c>
      <c r="AP35" s="142">
        <v>2</v>
      </c>
    </row>
    <row r="36" spans="1:42">
      <c r="A36" s="142">
        <v>1</v>
      </c>
      <c r="B36" s="134" t="s">
        <v>96</v>
      </c>
      <c r="C36" s="135" t="s">
        <v>32</v>
      </c>
      <c r="D36" s="135">
        <v>1</v>
      </c>
      <c r="E36" s="135" t="s">
        <v>32</v>
      </c>
      <c r="F36" s="135">
        <v>6</v>
      </c>
      <c r="G36" s="136">
        <v>79</v>
      </c>
      <c r="H36" s="136">
        <v>74</v>
      </c>
      <c r="I36" s="136">
        <v>2013</v>
      </c>
      <c r="J36" s="144"/>
      <c r="K36" s="144"/>
      <c r="L36" s="145" t="s">
        <v>889</v>
      </c>
      <c r="M36" s="142">
        <v>2020</v>
      </c>
      <c r="N36" s="142">
        <v>3</v>
      </c>
      <c r="O36" s="142" t="s">
        <v>113</v>
      </c>
      <c r="P36" s="142" t="s">
        <v>35</v>
      </c>
      <c r="Q36" s="25"/>
      <c r="R36" s="142" t="s">
        <v>30</v>
      </c>
      <c r="S36" s="142" t="s">
        <v>30</v>
      </c>
      <c r="T36" s="142" t="s">
        <v>114</v>
      </c>
      <c r="U36" s="25" t="s">
        <v>101</v>
      </c>
      <c r="V36" s="25">
        <v>24</v>
      </c>
      <c r="W36" s="142">
        <v>8</v>
      </c>
      <c r="X36" s="140">
        <v>14</v>
      </c>
      <c r="Y36" s="142">
        <v>3</v>
      </c>
      <c r="Z36" s="142">
        <v>11</v>
      </c>
      <c r="AA36" s="142">
        <v>1</v>
      </c>
      <c r="AH36" s="142">
        <v>0</v>
      </c>
      <c r="AI36" s="142">
        <v>14</v>
      </c>
      <c r="AJ36" s="142">
        <v>0</v>
      </c>
      <c r="AK36" s="142">
        <v>0</v>
      </c>
      <c r="AL36" s="142">
        <v>0</v>
      </c>
      <c r="AM36" s="140">
        <f t="shared" si="0"/>
        <v>14</v>
      </c>
      <c r="AN36" s="142" t="s">
        <v>826</v>
      </c>
      <c r="AO36" s="142">
        <v>0</v>
      </c>
      <c r="AP36" s="142">
        <v>0</v>
      </c>
    </row>
    <row r="37" spans="1:42">
      <c r="A37" s="142">
        <v>1</v>
      </c>
      <c r="B37" s="134" t="s">
        <v>96</v>
      </c>
      <c r="C37" s="135" t="s">
        <v>32</v>
      </c>
      <c r="D37" s="135">
        <v>1</v>
      </c>
      <c r="E37" s="135" t="s">
        <v>32</v>
      </c>
      <c r="F37" s="135">
        <v>6</v>
      </c>
      <c r="G37" s="136">
        <v>79</v>
      </c>
      <c r="H37" s="136">
        <v>74</v>
      </c>
      <c r="I37" s="136">
        <v>2013</v>
      </c>
      <c r="J37" s="144"/>
      <c r="K37" s="144"/>
      <c r="L37" s="145" t="s">
        <v>890</v>
      </c>
      <c r="M37" s="142">
        <v>2020</v>
      </c>
      <c r="N37" s="142">
        <v>3</v>
      </c>
      <c r="O37" s="142" t="s">
        <v>115</v>
      </c>
      <c r="P37" s="142" t="s">
        <v>35</v>
      </c>
      <c r="Q37" s="25"/>
      <c r="R37" s="142" t="s">
        <v>39</v>
      </c>
      <c r="S37" s="142" t="s">
        <v>891</v>
      </c>
      <c r="T37" s="142" t="s">
        <v>116</v>
      </c>
      <c r="U37" s="25" t="s">
        <v>101</v>
      </c>
      <c r="V37" s="25">
        <v>30</v>
      </c>
      <c r="W37" s="142">
        <v>3</v>
      </c>
      <c r="X37" s="140">
        <v>8</v>
      </c>
      <c r="Y37" s="142">
        <v>5</v>
      </c>
      <c r="Z37" s="142">
        <v>3</v>
      </c>
      <c r="AA37" s="142">
        <v>4</v>
      </c>
      <c r="AH37" s="142">
        <v>0</v>
      </c>
      <c r="AI37" s="142">
        <v>6</v>
      </c>
      <c r="AJ37" s="142">
        <v>1</v>
      </c>
      <c r="AK37" s="142">
        <v>1</v>
      </c>
      <c r="AL37" s="142">
        <v>0</v>
      </c>
      <c r="AM37" s="140">
        <f t="shared" si="0"/>
        <v>8</v>
      </c>
      <c r="AN37" s="142" t="s">
        <v>826</v>
      </c>
      <c r="AP37" s="142">
        <v>0</v>
      </c>
    </row>
    <row r="38" spans="1:42" ht="62">
      <c r="B38" s="134" t="s">
        <v>96</v>
      </c>
      <c r="C38" s="135" t="s">
        <v>32</v>
      </c>
      <c r="D38" s="135">
        <v>1</v>
      </c>
      <c r="E38" s="135" t="s">
        <v>32</v>
      </c>
      <c r="F38" s="135">
        <v>6</v>
      </c>
      <c r="G38" s="136">
        <v>79</v>
      </c>
      <c r="H38" s="136">
        <v>74</v>
      </c>
      <c r="I38" s="136">
        <v>2013</v>
      </c>
      <c r="J38" s="144"/>
      <c r="K38" s="151" t="s">
        <v>892</v>
      </c>
      <c r="L38" s="145" t="s">
        <v>893</v>
      </c>
      <c r="M38" s="142">
        <v>2019</v>
      </c>
      <c r="N38" s="142">
        <v>4</v>
      </c>
      <c r="O38" s="142" t="s">
        <v>117</v>
      </c>
      <c r="P38" s="142" t="s">
        <v>35</v>
      </c>
      <c r="Q38" s="25"/>
      <c r="R38" s="142" t="s">
        <v>30</v>
      </c>
      <c r="S38" s="142" t="s">
        <v>30</v>
      </c>
      <c r="T38" s="142" t="s">
        <v>118</v>
      </c>
      <c r="U38" s="25" t="s">
        <v>84</v>
      </c>
      <c r="V38" s="25">
        <v>56</v>
      </c>
      <c r="W38" s="142">
        <v>5</v>
      </c>
      <c r="X38" s="140">
        <v>19</v>
      </c>
      <c r="Y38" s="142">
        <v>0</v>
      </c>
      <c r="Z38" s="142">
        <v>19</v>
      </c>
      <c r="AA38" s="142">
        <v>10</v>
      </c>
      <c r="AC38" s="150">
        <v>0</v>
      </c>
      <c r="AD38" s="150">
        <v>0</v>
      </c>
      <c r="AE38" s="150">
        <v>0</v>
      </c>
      <c r="AF38" s="150">
        <v>0</v>
      </c>
      <c r="AG38" s="150">
        <v>0</v>
      </c>
      <c r="AH38" s="142">
        <v>3</v>
      </c>
      <c r="AI38" s="142">
        <v>9</v>
      </c>
      <c r="AJ38" s="142">
        <v>3</v>
      </c>
      <c r="AK38" s="142">
        <v>1</v>
      </c>
      <c r="AL38" s="142">
        <v>3</v>
      </c>
      <c r="AM38" s="140">
        <f t="shared" si="0"/>
        <v>19</v>
      </c>
      <c r="AN38" s="142" t="s">
        <v>826</v>
      </c>
      <c r="AP38" s="142">
        <v>0</v>
      </c>
    </row>
    <row r="39" spans="1:42">
      <c r="A39" s="142">
        <v>1</v>
      </c>
      <c r="B39" s="134" t="s">
        <v>96</v>
      </c>
      <c r="C39" s="135" t="s">
        <v>32</v>
      </c>
      <c r="D39" s="135">
        <v>1</v>
      </c>
      <c r="E39" s="135" t="s">
        <v>32</v>
      </c>
      <c r="F39" s="135">
        <v>6</v>
      </c>
      <c r="G39" s="136">
        <v>79</v>
      </c>
      <c r="H39" s="136">
        <v>74</v>
      </c>
      <c r="I39" s="136">
        <v>2013</v>
      </c>
      <c r="J39" s="144"/>
      <c r="K39" s="144"/>
      <c r="L39" s="145" t="s">
        <v>894</v>
      </c>
      <c r="M39" s="142">
        <v>2019</v>
      </c>
      <c r="N39" s="142">
        <v>4</v>
      </c>
      <c r="O39" s="142" t="s">
        <v>895</v>
      </c>
      <c r="P39" s="142" t="s">
        <v>35</v>
      </c>
      <c r="Q39" s="142" t="s">
        <v>119</v>
      </c>
      <c r="R39" s="142" t="s">
        <v>30</v>
      </c>
      <c r="S39" s="142" t="s">
        <v>30</v>
      </c>
      <c r="T39" s="142" t="s">
        <v>120</v>
      </c>
      <c r="V39" s="25" t="s">
        <v>822</v>
      </c>
      <c r="W39" s="142">
        <v>4</v>
      </c>
      <c r="X39" s="140">
        <v>15</v>
      </c>
      <c r="Y39" s="142">
        <v>12</v>
      </c>
      <c r="Z39" s="142">
        <v>3</v>
      </c>
      <c r="AA39" s="142">
        <v>2</v>
      </c>
      <c r="AH39" s="142">
        <v>0</v>
      </c>
      <c r="AI39" s="142">
        <v>10</v>
      </c>
      <c r="AJ39" s="142">
        <v>2</v>
      </c>
      <c r="AK39" s="142">
        <v>0</v>
      </c>
      <c r="AL39" s="142">
        <v>3</v>
      </c>
      <c r="AM39" s="140">
        <f t="shared" si="0"/>
        <v>15</v>
      </c>
      <c r="AN39" s="142" t="s">
        <v>823</v>
      </c>
      <c r="AP39" s="142">
        <v>1.75</v>
      </c>
    </row>
    <row r="40" spans="1:42">
      <c r="A40" s="142">
        <v>1</v>
      </c>
      <c r="B40" s="134" t="s">
        <v>96</v>
      </c>
      <c r="C40" s="135" t="s">
        <v>32</v>
      </c>
      <c r="D40" s="135">
        <v>1</v>
      </c>
      <c r="E40" s="135" t="s">
        <v>32</v>
      </c>
      <c r="F40" s="135">
        <v>6</v>
      </c>
      <c r="G40" s="136">
        <v>79</v>
      </c>
      <c r="H40" s="136">
        <v>74</v>
      </c>
      <c r="I40" s="136">
        <v>2013</v>
      </c>
      <c r="J40" s="144"/>
      <c r="K40" s="144"/>
      <c r="L40" s="145" t="s">
        <v>896</v>
      </c>
      <c r="M40" s="142">
        <v>2019</v>
      </c>
      <c r="N40" s="142">
        <v>4</v>
      </c>
      <c r="O40" s="142" t="s">
        <v>121</v>
      </c>
      <c r="P40" s="142" t="s">
        <v>35</v>
      </c>
      <c r="Q40" s="25"/>
      <c r="R40" s="142" t="s">
        <v>30</v>
      </c>
      <c r="S40" s="142" t="s">
        <v>30</v>
      </c>
      <c r="T40" s="142" t="s">
        <v>102</v>
      </c>
      <c r="U40" s="25" t="s">
        <v>101</v>
      </c>
      <c r="V40" s="25">
        <v>24</v>
      </c>
      <c r="W40" s="142">
        <v>6</v>
      </c>
      <c r="X40" s="140">
        <v>16</v>
      </c>
      <c r="Y40" s="142">
        <v>6</v>
      </c>
      <c r="Z40" s="142">
        <v>10</v>
      </c>
      <c r="AA40" s="142">
        <v>6</v>
      </c>
      <c r="AH40" s="142">
        <v>1</v>
      </c>
      <c r="AI40" s="142">
        <v>13</v>
      </c>
      <c r="AJ40" s="142">
        <v>0</v>
      </c>
      <c r="AK40" s="142">
        <v>0</v>
      </c>
      <c r="AL40" s="142">
        <v>2</v>
      </c>
      <c r="AM40" s="140">
        <f t="shared" si="0"/>
        <v>16</v>
      </c>
      <c r="AN40" s="142" t="s">
        <v>837</v>
      </c>
      <c r="AP40" s="142">
        <v>1</v>
      </c>
    </row>
    <row r="41" spans="1:42">
      <c r="A41" s="142">
        <v>1</v>
      </c>
      <c r="B41" s="134" t="s">
        <v>96</v>
      </c>
      <c r="C41" s="135" t="s">
        <v>32</v>
      </c>
      <c r="D41" s="135">
        <v>1</v>
      </c>
      <c r="E41" s="135" t="s">
        <v>32</v>
      </c>
      <c r="F41" s="135">
        <v>6</v>
      </c>
      <c r="G41" s="136">
        <v>79</v>
      </c>
      <c r="H41" s="136">
        <v>74</v>
      </c>
      <c r="I41" s="136">
        <v>2013</v>
      </c>
      <c r="J41" s="144"/>
      <c r="L41" s="145" t="s">
        <v>897</v>
      </c>
      <c r="M41" s="142">
        <v>2018</v>
      </c>
      <c r="N41" s="142">
        <v>5</v>
      </c>
      <c r="O41" s="142" t="s">
        <v>122</v>
      </c>
      <c r="P41" s="142" t="s">
        <v>35</v>
      </c>
      <c r="Q41" s="142" t="s">
        <v>123</v>
      </c>
      <c r="R41" s="142" t="s">
        <v>54</v>
      </c>
      <c r="S41" s="142" t="s">
        <v>54</v>
      </c>
      <c r="T41" s="142" t="s">
        <v>124</v>
      </c>
      <c r="V41" s="25" t="s">
        <v>822</v>
      </c>
      <c r="W41" s="142">
        <v>12</v>
      </c>
      <c r="X41" s="140">
        <v>16</v>
      </c>
      <c r="Y41" s="142">
        <v>13</v>
      </c>
      <c r="Z41" s="142">
        <v>3</v>
      </c>
      <c r="AA41" s="142">
        <v>2</v>
      </c>
      <c r="AH41" s="142">
        <v>13</v>
      </c>
      <c r="AI41" s="142">
        <v>1</v>
      </c>
      <c r="AJ41" s="142">
        <v>0</v>
      </c>
      <c r="AK41" s="142">
        <v>1</v>
      </c>
      <c r="AL41" s="142">
        <v>1</v>
      </c>
      <c r="AM41" s="140">
        <f t="shared" si="0"/>
        <v>16</v>
      </c>
      <c r="AN41" s="142" t="s">
        <v>826</v>
      </c>
      <c r="AO41" s="142">
        <v>2</v>
      </c>
      <c r="AP41" s="142">
        <v>0</v>
      </c>
    </row>
    <row r="42" spans="1:42">
      <c r="A42" s="142">
        <v>1</v>
      </c>
      <c r="B42" s="134" t="s">
        <v>96</v>
      </c>
      <c r="C42" s="135" t="s">
        <v>32</v>
      </c>
      <c r="D42" s="135">
        <v>1</v>
      </c>
      <c r="E42" s="135" t="s">
        <v>32</v>
      </c>
      <c r="F42" s="135">
        <v>6</v>
      </c>
      <c r="G42" s="136">
        <v>79</v>
      </c>
      <c r="H42" s="136">
        <v>74</v>
      </c>
      <c r="I42" s="136">
        <v>2013</v>
      </c>
      <c r="J42" s="144"/>
      <c r="K42" s="144"/>
      <c r="L42" s="145" t="s">
        <v>898</v>
      </c>
      <c r="M42" s="142">
        <v>2018</v>
      </c>
      <c r="N42" s="142">
        <v>5</v>
      </c>
      <c r="O42" s="142" t="s">
        <v>125</v>
      </c>
      <c r="P42" s="142" t="s">
        <v>35</v>
      </c>
      <c r="Q42" s="25"/>
      <c r="R42" s="142" t="s">
        <v>54</v>
      </c>
      <c r="S42" s="142" t="s">
        <v>54</v>
      </c>
      <c r="T42" s="142" t="s">
        <v>102</v>
      </c>
      <c r="U42" s="25" t="s">
        <v>101</v>
      </c>
      <c r="V42" s="25">
        <v>24</v>
      </c>
      <c r="W42" s="142">
        <v>14</v>
      </c>
      <c r="X42" s="140">
        <v>38</v>
      </c>
      <c r="Y42" s="142">
        <v>34</v>
      </c>
      <c r="Z42" s="142">
        <v>4</v>
      </c>
      <c r="AA42" s="142">
        <v>5</v>
      </c>
      <c r="AH42" s="142">
        <v>0</v>
      </c>
      <c r="AI42" s="142">
        <v>34</v>
      </c>
      <c r="AJ42" s="142">
        <v>0</v>
      </c>
      <c r="AK42" s="142">
        <v>3</v>
      </c>
      <c r="AL42" s="142">
        <v>1</v>
      </c>
      <c r="AM42" s="140">
        <f t="shared" si="0"/>
        <v>38</v>
      </c>
      <c r="AN42" s="142" t="s">
        <v>826</v>
      </c>
      <c r="AP42" s="142">
        <v>0</v>
      </c>
    </row>
    <row r="43" spans="1:42">
      <c r="A43" s="142">
        <v>1</v>
      </c>
      <c r="B43" s="134" t="s">
        <v>96</v>
      </c>
      <c r="C43" s="135" t="s">
        <v>32</v>
      </c>
      <c r="D43" s="135">
        <v>1</v>
      </c>
      <c r="E43" s="135" t="s">
        <v>32</v>
      </c>
      <c r="F43" s="135">
        <v>6</v>
      </c>
      <c r="G43" s="136">
        <v>79</v>
      </c>
      <c r="H43" s="136">
        <v>74</v>
      </c>
      <c r="I43" s="136">
        <v>2013</v>
      </c>
      <c r="J43" s="144"/>
      <c r="K43" s="144"/>
      <c r="L43" s="145" t="s">
        <v>899</v>
      </c>
      <c r="M43" s="142">
        <v>2018</v>
      </c>
      <c r="N43" s="142">
        <v>5</v>
      </c>
      <c r="O43" s="142" t="s">
        <v>126</v>
      </c>
      <c r="P43" s="142" t="s">
        <v>35</v>
      </c>
      <c r="Q43" s="25"/>
      <c r="R43" s="142" t="s">
        <v>39</v>
      </c>
      <c r="S43" s="142" t="s">
        <v>900</v>
      </c>
      <c r="T43" s="142" t="s">
        <v>127</v>
      </c>
      <c r="U43" s="25" t="s">
        <v>107</v>
      </c>
      <c r="V43" s="25" t="s">
        <v>107</v>
      </c>
      <c r="W43" s="142">
        <v>6</v>
      </c>
      <c r="X43" s="140">
        <v>13</v>
      </c>
      <c r="Y43" s="142">
        <v>5</v>
      </c>
      <c r="Z43" s="142">
        <v>8</v>
      </c>
      <c r="AA43" s="142">
        <v>2</v>
      </c>
      <c r="AH43" s="142">
        <v>0</v>
      </c>
      <c r="AI43" s="142">
        <v>8</v>
      </c>
      <c r="AJ43" s="142">
        <v>0</v>
      </c>
      <c r="AK43" s="142">
        <v>3</v>
      </c>
      <c r="AL43" s="142">
        <v>2</v>
      </c>
      <c r="AM43" s="140">
        <f t="shared" si="0"/>
        <v>13</v>
      </c>
      <c r="AN43" s="142" t="s">
        <v>826</v>
      </c>
      <c r="AP43" s="142">
        <v>0</v>
      </c>
    </row>
    <row r="44" spans="1:42">
      <c r="B44" s="134" t="s">
        <v>96</v>
      </c>
      <c r="C44" s="135" t="s">
        <v>32</v>
      </c>
      <c r="D44" s="135">
        <v>1</v>
      </c>
      <c r="E44" s="135" t="s">
        <v>32</v>
      </c>
      <c r="F44" s="135">
        <v>6</v>
      </c>
      <c r="G44" s="136">
        <v>79</v>
      </c>
      <c r="H44" s="136">
        <v>74</v>
      </c>
      <c r="I44" s="136">
        <v>2013</v>
      </c>
      <c r="J44" s="144"/>
      <c r="K44" s="144"/>
      <c r="L44" s="145" t="s">
        <v>901</v>
      </c>
      <c r="M44" s="142">
        <v>2017</v>
      </c>
      <c r="N44" s="142">
        <v>6</v>
      </c>
      <c r="O44" s="142" t="s">
        <v>902</v>
      </c>
      <c r="P44" s="142" t="s">
        <v>35</v>
      </c>
      <c r="Q44" s="25"/>
      <c r="R44" s="142" t="s">
        <v>39</v>
      </c>
      <c r="S44" s="142" t="s">
        <v>903</v>
      </c>
      <c r="T44" s="142" t="s">
        <v>114</v>
      </c>
      <c r="U44" s="25" t="s">
        <v>101</v>
      </c>
      <c r="V44" s="25">
        <v>24</v>
      </c>
      <c r="W44" s="142">
        <v>1</v>
      </c>
      <c r="X44" s="140">
        <v>3</v>
      </c>
      <c r="Y44" s="142">
        <v>3</v>
      </c>
      <c r="Z44" s="142">
        <v>0</v>
      </c>
      <c r="AA44" s="142">
        <v>2</v>
      </c>
      <c r="AC44" s="150">
        <v>1</v>
      </c>
      <c r="AD44" s="150">
        <v>1</v>
      </c>
      <c r="AE44" s="150">
        <v>0</v>
      </c>
      <c r="AF44" s="150">
        <v>0</v>
      </c>
      <c r="AG44" s="150">
        <v>1</v>
      </c>
      <c r="AH44" s="142">
        <v>1</v>
      </c>
      <c r="AI44" s="142">
        <v>1</v>
      </c>
      <c r="AJ44" s="142">
        <v>0</v>
      </c>
      <c r="AK44" s="142">
        <v>0</v>
      </c>
      <c r="AL44" s="142">
        <v>1</v>
      </c>
      <c r="AM44" s="140">
        <f t="shared" si="0"/>
        <v>3</v>
      </c>
      <c r="AN44" s="142" t="s">
        <v>826</v>
      </c>
      <c r="AP44" s="142">
        <v>0</v>
      </c>
    </row>
    <row r="45" spans="1:42">
      <c r="A45" s="142">
        <v>1</v>
      </c>
      <c r="B45" s="134" t="s">
        <v>96</v>
      </c>
      <c r="C45" s="135" t="s">
        <v>32</v>
      </c>
      <c r="D45" s="135">
        <v>1</v>
      </c>
      <c r="E45" s="135" t="s">
        <v>32</v>
      </c>
      <c r="F45" s="135">
        <v>6</v>
      </c>
      <c r="G45" s="136">
        <v>79</v>
      </c>
      <c r="H45" s="136">
        <v>74</v>
      </c>
      <c r="I45" s="136">
        <v>2013</v>
      </c>
      <c r="K45" s="144"/>
      <c r="L45" s="145" t="s">
        <v>904</v>
      </c>
      <c r="M45" s="142">
        <v>2017</v>
      </c>
      <c r="N45" s="142">
        <v>6</v>
      </c>
      <c r="O45" s="142" t="s">
        <v>905</v>
      </c>
      <c r="P45" s="142" t="s">
        <v>35</v>
      </c>
      <c r="Q45" s="25"/>
      <c r="R45" s="142" t="s">
        <v>30</v>
      </c>
      <c r="S45" s="142" t="s">
        <v>30</v>
      </c>
      <c r="T45" s="142" t="s">
        <v>130</v>
      </c>
      <c r="U45" s="25" t="s">
        <v>47</v>
      </c>
      <c r="V45" s="25">
        <v>17</v>
      </c>
      <c r="W45" s="142">
        <v>6</v>
      </c>
      <c r="X45" s="140">
        <v>14</v>
      </c>
      <c r="Y45" s="142">
        <v>3</v>
      </c>
      <c r="Z45" s="142">
        <v>11</v>
      </c>
      <c r="AA45" s="142">
        <v>4</v>
      </c>
      <c r="AH45" s="142">
        <v>2</v>
      </c>
      <c r="AI45" s="142">
        <v>9</v>
      </c>
      <c r="AJ45" s="142">
        <v>0</v>
      </c>
      <c r="AK45" s="142">
        <v>2</v>
      </c>
      <c r="AL45" s="142">
        <v>1</v>
      </c>
      <c r="AM45" s="140">
        <f t="shared" si="0"/>
        <v>14</v>
      </c>
      <c r="AN45" s="143" t="s">
        <v>831</v>
      </c>
      <c r="AO45" s="143"/>
      <c r="AP45" s="143" t="s">
        <v>831</v>
      </c>
    </row>
    <row r="46" spans="1:42" s="25" customFormat="1">
      <c r="B46" s="134" t="s">
        <v>131</v>
      </c>
      <c r="C46" s="135" t="s">
        <v>32</v>
      </c>
      <c r="D46" s="135">
        <v>4</v>
      </c>
      <c r="E46" s="135" t="s">
        <v>32</v>
      </c>
      <c r="F46" s="135">
        <v>11</v>
      </c>
      <c r="G46" s="136">
        <v>94</v>
      </c>
      <c r="H46" s="136">
        <v>79</v>
      </c>
      <c r="I46" s="136">
        <v>2010</v>
      </c>
      <c r="J46" s="136"/>
      <c r="K46" s="136"/>
      <c r="L46" s="145" t="s">
        <v>906</v>
      </c>
      <c r="M46" s="25">
        <v>2022</v>
      </c>
      <c r="N46" s="25">
        <v>1</v>
      </c>
      <c r="O46" s="142" t="s">
        <v>132</v>
      </c>
      <c r="P46" s="25" t="s">
        <v>35</v>
      </c>
      <c r="R46" s="25" t="s">
        <v>30</v>
      </c>
      <c r="S46" s="25" t="s">
        <v>30</v>
      </c>
      <c r="T46" s="25" t="s">
        <v>133</v>
      </c>
      <c r="U46" s="25" t="s">
        <v>84</v>
      </c>
      <c r="V46" s="25">
        <v>74</v>
      </c>
      <c r="W46" s="25">
        <v>0</v>
      </c>
      <c r="X46" s="140">
        <v>3</v>
      </c>
      <c r="Y46" s="25">
        <v>3</v>
      </c>
      <c r="Z46" s="25">
        <v>0</v>
      </c>
      <c r="AA46" s="25">
        <v>1</v>
      </c>
      <c r="AC46" s="150">
        <v>0</v>
      </c>
      <c r="AD46" s="150">
        <v>1</v>
      </c>
      <c r="AE46" s="150">
        <v>2</v>
      </c>
      <c r="AF46" s="150">
        <v>0</v>
      </c>
      <c r="AG46" s="150">
        <v>0</v>
      </c>
      <c r="AH46" s="25">
        <v>0</v>
      </c>
      <c r="AI46" s="25">
        <v>1</v>
      </c>
      <c r="AJ46" s="25">
        <v>2</v>
      </c>
      <c r="AK46" s="25">
        <v>0</v>
      </c>
      <c r="AL46" s="25">
        <v>0</v>
      </c>
      <c r="AM46" s="140">
        <f t="shared" si="0"/>
        <v>3</v>
      </c>
      <c r="AN46" s="25" t="s">
        <v>826</v>
      </c>
      <c r="AP46" s="25">
        <v>0</v>
      </c>
    </row>
    <row r="47" spans="1:42" s="25" customFormat="1" ht="31">
      <c r="A47" s="142">
        <v>1</v>
      </c>
      <c r="B47" s="134" t="s">
        <v>131</v>
      </c>
      <c r="C47" s="135" t="s">
        <v>32</v>
      </c>
      <c r="D47" s="135">
        <v>4</v>
      </c>
      <c r="E47" s="135" t="s">
        <v>32</v>
      </c>
      <c r="F47" s="135">
        <v>11</v>
      </c>
      <c r="G47" s="136">
        <v>94</v>
      </c>
      <c r="H47" s="136">
        <v>79</v>
      </c>
      <c r="I47" s="136">
        <v>2010</v>
      </c>
      <c r="J47" s="136"/>
      <c r="K47" s="151" t="s">
        <v>907</v>
      </c>
      <c r="L47" s="145" t="s">
        <v>908</v>
      </c>
      <c r="M47" s="25">
        <v>2022</v>
      </c>
      <c r="N47" s="25">
        <v>1</v>
      </c>
      <c r="O47" s="142" t="s">
        <v>134</v>
      </c>
      <c r="P47" s="25" t="s">
        <v>28</v>
      </c>
      <c r="R47" s="142" t="s">
        <v>39</v>
      </c>
      <c r="S47" s="25" t="s">
        <v>884</v>
      </c>
      <c r="T47" s="142" t="s">
        <v>135</v>
      </c>
      <c r="U47" s="25" t="s">
        <v>47</v>
      </c>
      <c r="V47" s="25">
        <v>17</v>
      </c>
      <c r="W47" s="25">
        <v>4</v>
      </c>
      <c r="X47" s="140">
        <v>9</v>
      </c>
      <c r="Y47" s="25">
        <v>7</v>
      </c>
      <c r="Z47" s="25">
        <v>2</v>
      </c>
      <c r="AA47" s="25">
        <v>5</v>
      </c>
      <c r="AC47" s="150"/>
      <c r="AD47" s="150"/>
      <c r="AE47" s="150"/>
      <c r="AF47" s="150"/>
      <c r="AG47" s="150"/>
      <c r="AH47" s="25">
        <v>0</v>
      </c>
      <c r="AI47" s="25">
        <v>6</v>
      </c>
      <c r="AJ47" s="25">
        <v>0</v>
      </c>
      <c r="AK47" s="25">
        <v>3</v>
      </c>
      <c r="AL47" s="25">
        <v>0</v>
      </c>
      <c r="AM47" s="140">
        <f t="shared" si="0"/>
        <v>9</v>
      </c>
      <c r="AN47" s="25" t="s">
        <v>826</v>
      </c>
      <c r="AP47" s="25">
        <v>0</v>
      </c>
    </row>
    <row r="48" spans="1:42" ht="31">
      <c r="A48" s="142">
        <v>1</v>
      </c>
      <c r="B48" s="134" t="s">
        <v>131</v>
      </c>
      <c r="C48" s="135" t="s">
        <v>32</v>
      </c>
      <c r="D48" s="135">
        <v>4</v>
      </c>
      <c r="E48" s="135" t="s">
        <v>32</v>
      </c>
      <c r="F48" s="135">
        <v>11</v>
      </c>
      <c r="G48" s="136">
        <v>94</v>
      </c>
      <c r="H48" s="136">
        <v>79</v>
      </c>
      <c r="I48" s="136">
        <v>2010</v>
      </c>
      <c r="J48" s="144"/>
      <c r="K48" s="151" t="s">
        <v>909</v>
      </c>
      <c r="L48" s="145" t="s">
        <v>910</v>
      </c>
      <c r="M48" s="142">
        <v>2021</v>
      </c>
      <c r="N48" s="142">
        <v>2</v>
      </c>
      <c r="O48" s="142" t="s">
        <v>911</v>
      </c>
      <c r="P48" s="142" t="s">
        <v>28</v>
      </c>
      <c r="Q48" s="25"/>
      <c r="R48" s="142" t="s">
        <v>30</v>
      </c>
      <c r="S48" s="142" t="s">
        <v>30</v>
      </c>
      <c r="T48" s="142" t="s">
        <v>136</v>
      </c>
      <c r="U48" s="25" t="s">
        <v>84</v>
      </c>
      <c r="V48" s="25">
        <v>47</v>
      </c>
      <c r="W48" s="142">
        <v>2</v>
      </c>
      <c r="X48" s="140">
        <v>15</v>
      </c>
      <c r="Y48" s="142">
        <v>8</v>
      </c>
      <c r="Z48" s="142">
        <v>7</v>
      </c>
      <c r="AA48" s="142">
        <v>3</v>
      </c>
      <c r="AH48" s="142">
        <v>12</v>
      </c>
      <c r="AI48" s="142">
        <v>2</v>
      </c>
      <c r="AJ48" s="142">
        <v>0</v>
      </c>
      <c r="AK48" s="142">
        <v>0</v>
      </c>
      <c r="AL48" s="142">
        <v>1</v>
      </c>
      <c r="AM48" s="140">
        <f t="shared" si="0"/>
        <v>15</v>
      </c>
      <c r="AN48" s="142" t="s">
        <v>826</v>
      </c>
      <c r="AP48" s="142">
        <v>0</v>
      </c>
    </row>
    <row r="49" spans="1:42">
      <c r="A49" s="142">
        <v>1</v>
      </c>
      <c r="B49" s="134" t="s">
        <v>131</v>
      </c>
      <c r="C49" s="135" t="s">
        <v>32</v>
      </c>
      <c r="D49" s="135">
        <v>4</v>
      </c>
      <c r="E49" s="135" t="s">
        <v>32</v>
      </c>
      <c r="F49" s="135">
        <v>11</v>
      </c>
      <c r="G49" s="136">
        <v>94</v>
      </c>
      <c r="H49" s="136">
        <v>79</v>
      </c>
      <c r="I49" s="136">
        <v>2010</v>
      </c>
      <c r="J49" s="144"/>
      <c r="K49" s="144"/>
      <c r="L49" s="145" t="s">
        <v>912</v>
      </c>
      <c r="M49" s="142">
        <v>2021</v>
      </c>
      <c r="N49" s="142">
        <v>2</v>
      </c>
      <c r="O49" s="142" t="s">
        <v>137</v>
      </c>
      <c r="P49" s="142" t="s">
        <v>35</v>
      </c>
      <c r="Q49" s="25"/>
      <c r="R49" s="142" t="s">
        <v>30</v>
      </c>
      <c r="S49" s="142" t="s">
        <v>30</v>
      </c>
      <c r="T49" s="142" t="s">
        <v>913</v>
      </c>
      <c r="U49" s="25" t="s">
        <v>47</v>
      </c>
      <c r="V49" s="25">
        <v>3</v>
      </c>
      <c r="W49" s="142">
        <v>4</v>
      </c>
      <c r="X49" s="140">
        <v>8</v>
      </c>
      <c r="Y49" s="142">
        <v>1</v>
      </c>
      <c r="Z49" s="142">
        <v>3</v>
      </c>
      <c r="AA49" s="142">
        <v>3</v>
      </c>
      <c r="AH49" s="142">
        <v>3</v>
      </c>
      <c r="AI49" s="142">
        <v>2</v>
      </c>
      <c r="AJ49" s="142">
        <v>1</v>
      </c>
      <c r="AK49" s="142">
        <v>2</v>
      </c>
      <c r="AL49" s="142">
        <v>0</v>
      </c>
      <c r="AM49" s="140">
        <f t="shared" si="0"/>
        <v>8</v>
      </c>
      <c r="AN49" s="142" t="s">
        <v>826</v>
      </c>
      <c r="AP49" s="142">
        <v>0</v>
      </c>
    </row>
    <row r="50" spans="1:42">
      <c r="A50" s="142">
        <v>1</v>
      </c>
      <c r="B50" s="134" t="s">
        <v>131</v>
      </c>
      <c r="C50" s="135" t="s">
        <v>32</v>
      </c>
      <c r="D50" s="135">
        <v>4</v>
      </c>
      <c r="E50" s="135" t="s">
        <v>32</v>
      </c>
      <c r="F50" s="135">
        <v>11</v>
      </c>
      <c r="G50" s="136">
        <v>94</v>
      </c>
      <c r="H50" s="136">
        <v>79</v>
      </c>
      <c r="I50" s="136">
        <v>2010</v>
      </c>
      <c r="J50" s="144"/>
      <c r="K50" s="144"/>
      <c r="L50" s="145" t="s">
        <v>914</v>
      </c>
      <c r="M50" s="142">
        <v>2020</v>
      </c>
      <c r="N50" s="142">
        <v>3</v>
      </c>
      <c r="O50" s="142" t="s">
        <v>138</v>
      </c>
      <c r="P50" s="142" t="s">
        <v>28</v>
      </c>
      <c r="Q50" s="25"/>
      <c r="R50" s="142" t="s">
        <v>30</v>
      </c>
      <c r="S50" s="142" t="s">
        <v>30</v>
      </c>
      <c r="T50" s="142" t="s">
        <v>139</v>
      </c>
      <c r="U50" s="25" t="s">
        <v>107</v>
      </c>
      <c r="V50" s="25" t="s">
        <v>107</v>
      </c>
      <c r="W50" s="142">
        <v>9</v>
      </c>
      <c r="X50" s="140">
        <v>36</v>
      </c>
      <c r="Y50" s="142">
        <v>30</v>
      </c>
      <c r="Z50" s="142">
        <v>6</v>
      </c>
      <c r="AA50" s="142">
        <v>9</v>
      </c>
      <c r="AH50" s="142">
        <v>0</v>
      </c>
      <c r="AI50" s="142">
        <v>25</v>
      </c>
      <c r="AJ50" s="142">
        <v>2</v>
      </c>
      <c r="AK50" s="142">
        <v>3</v>
      </c>
      <c r="AL50" s="142">
        <v>6</v>
      </c>
      <c r="AM50" s="140">
        <f t="shared" si="0"/>
        <v>36</v>
      </c>
      <c r="AN50" s="142" t="s">
        <v>826</v>
      </c>
      <c r="AP50" s="142">
        <v>0</v>
      </c>
    </row>
    <row r="51" spans="1:42">
      <c r="B51" s="134" t="s">
        <v>131</v>
      </c>
      <c r="C51" s="135" t="s">
        <v>32</v>
      </c>
      <c r="D51" s="135">
        <v>4</v>
      </c>
      <c r="E51" s="135" t="s">
        <v>32</v>
      </c>
      <c r="F51" s="135">
        <v>11</v>
      </c>
      <c r="G51" s="136">
        <v>94</v>
      </c>
      <c r="H51" s="136">
        <v>79</v>
      </c>
      <c r="I51" s="136">
        <v>2010</v>
      </c>
      <c r="J51" s="144"/>
      <c r="K51" s="144"/>
      <c r="L51" s="145" t="s">
        <v>915</v>
      </c>
      <c r="M51" s="142">
        <v>2020</v>
      </c>
      <c r="N51" s="142">
        <v>3</v>
      </c>
      <c r="O51" s="142" t="s">
        <v>916</v>
      </c>
      <c r="P51" s="142" t="s">
        <v>35</v>
      </c>
      <c r="Q51" s="25"/>
      <c r="R51" s="142" t="s">
        <v>30</v>
      </c>
      <c r="S51" s="142" t="s">
        <v>30</v>
      </c>
      <c r="T51" s="142" t="s">
        <v>135</v>
      </c>
      <c r="U51" s="25" t="s">
        <v>47</v>
      </c>
      <c r="V51" s="25">
        <v>17</v>
      </c>
      <c r="W51" s="142">
        <v>0</v>
      </c>
      <c r="X51" s="140">
        <v>1</v>
      </c>
      <c r="Y51" s="142">
        <v>0</v>
      </c>
      <c r="Z51" s="142">
        <v>1</v>
      </c>
      <c r="AA51" s="142">
        <v>0</v>
      </c>
      <c r="AC51" s="150">
        <v>0</v>
      </c>
      <c r="AD51" s="150">
        <v>0</v>
      </c>
      <c r="AE51" s="150">
        <v>0</v>
      </c>
      <c r="AF51" s="150">
        <v>0</v>
      </c>
      <c r="AG51" s="150">
        <v>0</v>
      </c>
      <c r="AH51" s="142">
        <v>0</v>
      </c>
      <c r="AI51" s="142">
        <v>1</v>
      </c>
      <c r="AJ51" s="142">
        <v>0</v>
      </c>
      <c r="AK51" s="142">
        <v>0</v>
      </c>
      <c r="AL51" s="142">
        <v>0</v>
      </c>
      <c r="AM51" s="140">
        <f t="shared" si="0"/>
        <v>1</v>
      </c>
      <c r="AN51" s="142" t="s">
        <v>826</v>
      </c>
      <c r="AP51" s="142">
        <v>0</v>
      </c>
    </row>
    <row r="52" spans="1:42">
      <c r="A52" s="142">
        <v>1</v>
      </c>
      <c r="B52" s="134" t="s">
        <v>131</v>
      </c>
      <c r="C52" s="135" t="s">
        <v>32</v>
      </c>
      <c r="D52" s="135">
        <v>4</v>
      </c>
      <c r="E52" s="135" t="s">
        <v>32</v>
      </c>
      <c r="F52" s="135">
        <v>11</v>
      </c>
      <c r="G52" s="136">
        <v>94</v>
      </c>
      <c r="H52" s="136">
        <v>79</v>
      </c>
      <c r="I52" s="136">
        <v>2010</v>
      </c>
      <c r="J52" s="144"/>
      <c r="K52" s="136"/>
      <c r="L52" s="145" t="s">
        <v>917</v>
      </c>
      <c r="M52" s="142">
        <v>2019</v>
      </c>
      <c r="N52" s="142">
        <v>4</v>
      </c>
      <c r="O52" s="142" t="s">
        <v>918</v>
      </c>
      <c r="P52" s="142" t="s">
        <v>35</v>
      </c>
      <c r="Q52" s="25"/>
      <c r="R52" s="142" t="s">
        <v>30</v>
      </c>
      <c r="S52" s="142" t="s">
        <v>30</v>
      </c>
      <c r="T52" s="142" t="s">
        <v>135</v>
      </c>
      <c r="U52" s="25" t="s">
        <v>47</v>
      </c>
      <c r="V52" s="25">
        <v>17</v>
      </c>
      <c r="W52" s="142">
        <v>5</v>
      </c>
      <c r="X52" s="140">
        <v>21</v>
      </c>
      <c r="Y52" s="142">
        <v>9</v>
      </c>
      <c r="Z52" s="142">
        <v>12</v>
      </c>
      <c r="AA52" s="142">
        <v>14</v>
      </c>
      <c r="AH52" s="142">
        <v>1</v>
      </c>
      <c r="AI52" s="142">
        <v>18</v>
      </c>
      <c r="AJ52" s="142">
        <v>0</v>
      </c>
      <c r="AK52" s="142">
        <v>0</v>
      </c>
      <c r="AL52" s="142">
        <v>2</v>
      </c>
      <c r="AM52" s="140">
        <f t="shared" si="0"/>
        <v>21</v>
      </c>
      <c r="AN52" s="142" t="s">
        <v>826</v>
      </c>
      <c r="AP52" s="142">
        <v>0</v>
      </c>
    </row>
    <row r="53" spans="1:42">
      <c r="A53" s="142">
        <v>1</v>
      </c>
      <c r="B53" s="134" t="s">
        <v>131</v>
      </c>
      <c r="C53" s="135" t="s">
        <v>32</v>
      </c>
      <c r="D53" s="135">
        <v>4</v>
      </c>
      <c r="E53" s="135" t="s">
        <v>32</v>
      </c>
      <c r="F53" s="135">
        <v>11</v>
      </c>
      <c r="G53" s="136">
        <v>94</v>
      </c>
      <c r="H53" s="136">
        <v>79</v>
      </c>
      <c r="I53" s="136">
        <v>2010</v>
      </c>
      <c r="J53" s="144"/>
      <c r="K53" s="144"/>
      <c r="L53" s="145" t="s">
        <v>919</v>
      </c>
      <c r="M53" s="142">
        <v>2019</v>
      </c>
      <c r="N53" s="142">
        <v>4</v>
      </c>
      <c r="O53" s="142" t="s">
        <v>142</v>
      </c>
      <c r="P53" s="142" t="s">
        <v>28</v>
      </c>
      <c r="Q53" s="25"/>
      <c r="R53" s="142" t="s">
        <v>30</v>
      </c>
      <c r="S53" s="142" t="s">
        <v>30</v>
      </c>
      <c r="T53" s="142" t="s">
        <v>143</v>
      </c>
      <c r="U53" s="25" t="s">
        <v>101</v>
      </c>
      <c r="V53" s="25">
        <v>25</v>
      </c>
      <c r="W53" s="142">
        <v>7</v>
      </c>
      <c r="X53" s="140">
        <v>35</v>
      </c>
      <c r="Y53" s="142">
        <v>11</v>
      </c>
      <c r="Z53" s="142">
        <v>24</v>
      </c>
      <c r="AA53" s="142">
        <v>15</v>
      </c>
      <c r="AH53" s="142">
        <v>0</v>
      </c>
      <c r="AI53" s="142">
        <v>22</v>
      </c>
      <c r="AJ53" s="142">
        <v>5</v>
      </c>
      <c r="AK53" s="142">
        <v>0</v>
      </c>
      <c r="AL53" s="142">
        <v>8</v>
      </c>
      <c r="AM53" s="140">
        <f t="shared" si="0"/>
        <v>35</v>
      </c>
      <c r="AN53" s="142" t="s">
        <v>826</v>
      </c>
      <c r="AP53" s="142">
        <v>0</v>
      </c>
    </row>
    <row r="54" spans="1:42" ht="108.5">
      <c r="A54" s="142">
        <v>1</v>
      </c>
      <c r="B54" s="134" t="s">
        <v>131</v>
      </c>
      <c r="C54" s="135" t="s">
        <v>32</v>
      </c>
      <c r="D54" s="135">
        <v>4</v>
      </c>
      <c r="E54" s="135" t="s">
        <v>32</v>
      </c>
      <c r="F54" s="135">
        <v>11</v>
      </c>
      <c r="G54" s="136">
        <v>94</v>
      </c>
      <c r="H54" s="136">
        <v>79</v>
      </c>
      <c r="I54" s="136">
        <v>2010</v>
      </c>
      <c r="J54" s="144"/>
      <c r="K54" s="151" t="s">
        <v>920</v>
      </c>
      <c r="L54" s="145" t="s">
        <v>921</v>
      </c>
      <c r="M54" s="165">
        <v>2018</v>
      </c>
      <c r="N54" s="143">
        <v>6</v>
      </c>
      <c r="O54" s="142" t="s">
        <v>922</v>
      </c>
      <c r="P54" s="142" t="s">
        <v>35</v>
      </c>
      <c r="Q54" s="25"/>
      <c r="R54" s="142" t="s">
        <v>30</v>
      </c>
      <c r="S54" s="142" t="s">
        <v>30</v>
      </c>
      <c r="T54" s="142" t="s">
        <v>913</v>
      </c>
      <c r="U54" s="25" t="s">
        <v>47</v>
      </c>
      <c r="V54" s="25">
        <v>3</v>
      </c>
      <c r="W54" s="142">
        <v>17</v>
      </c>
      <c r="X54" s="140">
        <v>57</v>
      </c>
      <c r="Y54" s="142">
        <v>24</v>
      </c>
      <c r="Z54" s="142">
        <v>33</v>
      </c>
      <c r="AA54" s="142">
        <v>21</v>
      </c>
      <c r="AH54" s="142">
        <v>2</v>
      </c>
      <c r="AI54" s="142">
        <v>36</v>
      </c>
      <c r="AJ54" s="142">
        <v>5</v>
      </c>
      <c r="AK54" s="142">
        <v>4</v>
      </c>
      <c r="AL54" s="142">
        <v>10</v>
      </c>
      <c r="AM54" s="140">
        <f t="shared" si="0"/>
        <v>57</v>
      </c>
      <c r="AN54" s="142" t="s">
        <v>826</v>
      </c>
      <c r="AO54" s="142">
        <v>1</v>
      </c>
      <c r="AP54" s="142">
        <v>0</v>
      </c>
    </row>
    <row r="55" spans="1:42" ht="62">
      <c r="A55" s="142">
        <v>1</v>
      </c>
      <c r="B55" s="134" t="s">
        <v>131</v>
      </c>
      <c r="C55" s="135" t="s">
        <v>32</v>
      </c>
      <c r="D55" s="135">
        <v>4</v>
      </c>
      <c r="E55" s="135" t="s">
        <v>32</v>
      </c>
      <c r="F55" s="135">
        <v>11</v>
      </c>
      <c r="G55" s="136">
        <v>94</v>
      </c>
      <c r="H55" s="136">
        <v>79</v>
      </c>
      <c r="I55" s="136">
        <v>2010</v>
      </c>
      <c r="J55" s="166"/>
      <c r="K55" s="151" t="s">
        <v>923</v>
      </c>
      <c r="L55" s="145" t="s">
        <v>924</v>
      </c>
      <c r="M55" s="165">
        <v>2018</v>
      </c>
      <c r="N55" s="143" t="s">
        <v>925</v>
      </c>
      <c r="O55" s="142" t="s">
        <v>144</v>
      </c>
      <c r="P55" s="142" t="s">
        <v>35</v>
      </c>
      <c r="Q55" s="25"/>
      <c r="R55" s="142" t="s">
        <v>30</v>
      </c>
      <c r="S55" s="142" t="s">
        <v>30</v>
      </c>
      <c r="T55" s="142" t="s">
        <v>145</v>
      </c>
      <c r="U55" s="25" t="s">
        <v>47</v>
      </c>
      <c r="V55" s="25">
        <v>6</v>
      </c>
      <c r="W55" s="142">
        <v>17</v>
      </c>
      <c r="X55" s="140">
        <v>111</v>
      </c>
      <c r="Y55" s="165">
        <v>14</v>
      </c>
      <c r="Z55" s="142">
        <v>97</v>
      </c>
      <c r="AA55" s="142">
        <v>40</v>
      </c>
      <c r="AH55" s="142">
        <v>6</v>
      </c>
      <c r="AI55" s="142">
        <v>74</v>
      </c>
      <c r="AJ55" s="142">
        <v>6</v>
      </c>
      <c r="AK55" s="142">
        <v>6</v>
      </c>
      <c r="AL55" s="142">
        <v>19</v>
      </c>
      <c r="AM55" s="140">
        <f t="shared" si="0"/>
        <v>111</v>
      </c>
      <c r="AN55" s="142" t="s">
        <v>826</v>
      </c>
      <c r="AP55" s="142">
        <v>0</v>
      </c>
    </row>
    <row r="56" spans="1:42">
      <c r="B56" s="134" t="s">
        <v>131</v>
      </c>
      <c r="C56" s="135" t="s">
        <v>32</v>
      </c>
      <c r="D56" s="135">
        <v>4</v>
      </c>
      <c r="E56" s="135" t="s">
        <v>32</v>
      </c>
      <c r="F56" s="135">
        <v>11</v>
      </c>
      <c r="G56" s="136">
        <v>94</v>
      </c>
      <c r="H56" s="136">
        <v>79</v>
      </c>
      <c r="I56" s="136">
        <v>2010</v>
      </c>
      <c r="J56" s="144"/>
      <c r="K56" s="144"/>
      <c r="L56" s="145" t="s">
        <v>926</v>
      </c>
      <c r="M56" s="142">
        <v>2016</v>
      </c>
      <c r="N56" s="142">
        <v>7</v>
      </c>
      <c r="O56" s="142" t="s">
        <v>927</v>
      </c>
      <c r="P56" s="142" t="s">
        <v>35</v>
      </c>
      <c r="Q56" s="25"/>
      <c r="R56" s="142" t="s">
        <v>30</v>
      </c>
      <c r="S56" s="142" t="s">
        <v>30</v>
      </c>
      <c r="T56" s="142" t="s">
        <v>147</v>
      </c>
      <c r="U56" s="25" t="s">
        <v>47</v>
      </c>
      <c r="V56" s="25">
        <v>14</v>
      </c>
      <c r="W56" s="142">
        <v>5</v>
      </c>
      <c r="X56" s="140">
        <v>17</v>
      </c>
      <c r="Y56" s="142">
        <v>0</v>
      </c>
      <c r="Z56" s="142">
        <v>17</v>
      </c>
      <c r="AA56" s="142">
        <v>9</v>
      </c>
      <c r="AC56" s="150">
        <v>0</v>
      </c>
      <c r="AD56" s="150">
        <v>0</v>
      </c>
      <c r="AE56" s="150">
        <v>0</v>
      </c>
      <c r="AF56" s="150">
        <v>0</v>
      </c>
      <c r="AG56" s="150">
        <v>0</v>
      </c>
      <c r="AH56" s="142">
        <v>1</v>
      </c>
      <c r="AI56" s="142">
        <v>13</v>
      </c>
      <c r="AJ56" s="142">
        <v>2</v>
      </c>
      <c r="AK56" s="142">
        <v>0</v>
      </c>
      <c r="AL56" s="142">
        <v>1</v>
      </c>
      <c r="AM56" s="140">
        <f t="shared" si="0"/>
        <v>17</v>
      </c>
      <c r="AN56" s="142" t="s">
        <v>826</v>
      </c>
      <c r="AP56" s="142">
        <v>0</v>
      </c>
    </row>
    <row r="57" spans="1:42">
      <c r="A57" s="142">
        <v>1</v>
      </c>
      <c r="B57" s="134" t="s">
        <v>131</v>
      </c>
      <c r="C57" s="135" t="s">
        <v>32</v>
      </c>
      <c r="D57" s="135">
        <v>4</v>
      </c>
      <c r="E57" s="135" t="s">
        <v>32</v>
      </c>
      <c r="F57" s="135">
        <v>11</v>
      </c>
      <c r="G57" s="136">
        <v>94</v>
      </c>
      <c r="H57" s="136">
        <v>79</v>
      </c>
      <c r="I57" s="136">
        <v>2010</v>
      </c>
      <c r="J57" s="144"/>
      <c r="K57" s="144" t="s">
        <v>928</v>
      </c>
      <c r="L57" s="145" t="s">
        <v>929</v>
      </c>
      <c r="M57" s="142">
        <v>2015</v>
      </c>
      <c r="N57" s="142">
        <v>8</v>
      </c>
      <c r="O57" s="142" t="s">
        <v>930</v>
      </c>
      <c r="P57" s="142" t="s">
        <v>35</v>
      </c>
      <c r="Q57" s="25"/>
      <c r="R57" s="142" t="s">
        <v>30</v>
      </c>
      <c r="S57" s="142" t="s">
        <v>30</v>
      </c>
      <c r="T57" s="142" t="s">
        <v>59</v>
      </c>
      <c r="U57" s="25" t="s">
        <v>101</v>
      </c>
      <c r="V57" s="25">
        <v>37</v>
      </c>
      <c r="W57" s="142">
        <v>4</v>
      </c>
      <c r="X57" s="140">
        <v>24</v>
      </c>
      <c r="Y57" s="142">
        <v>11</v>
      </c>
      <c r="Z57" s="142">
        <v>13</v>
      </c>
      <c r="AA57" s="142">
        <v>3</v>
      </c>
      <c r="AH57" s="142">
        <v>3</v>
      </c>
      <c r="AI57" s="142">
        <v>18</v>
      </c>
      <c r="AJ57" s="142">
        <v>2</v>
      </c>
      <c r="AK57" s="142">
        <v>0</v>
      </c>
      <c r="AL57" s="142">
        <v>1</v>
      </c>
      <c r="AM57" s="140">
        <f t="shared" si="0"/>
        <v>24</v>
      </c>
      <c r="AN57" s="142" t="s">
        <v>826</v>
      </c>
      <c r="AP57" s="142">
        <v>0</v>
      </c>
    </row>
    <row r="58" spans="1:42" ht="46.5">
      <c r="A58" s="142">
        <v>1</v>
      </c>
      <c r="B58" s="134" t="s">
        <v>131</v>
      </c>
      <c r="C58" s="135" t="s">
        <v>32</v>
      </c>
      <c r="D58" s="135">
        <v>4</v>
      </c>
      <c r="E58" s="135" t="s">
        <v>32</v>
      </c>
      <c r="F58" s="135">
        <v>11</v>
      </c>
      <c r="G58" s="136">
        <v>94</v>
      </c>
      <c r="H58" s="136">
        <v>79</v>
      </c>
      <c r="I58" s="136">
        <v>2010</v>
      </c>
      <c r="J58" s="144"/>
      <c r="K58" s="144" t="s">
        <v>931</v>
      </c>
      <c r="L58" s="145" t="s">
        <v>932</v>
      </c>
      <c r="M58" s="142">
        <v>2018</v>
      </c>
      <c r="N58" s="142">
        <v>5</v>
      </c>
      <c r="O58" s="142" t="s">
        <v>149</v>
      </c>
      <c r="P58" s="142" t="s">
        <v>35</v>
      </c>
      <c r="Q58" s="25"/>
      <c r="R58" s="142" t="s">
        <v>30</v>
      </c>
      <c r="S58" s="142" t="s">
        <v>30</v>
      </c>
      <c r="T58" s="142" t="s">
        <v>150</v>
      </c>
      <c r="U58" s="25" t="s">
        <v>101</v>
      </c>
      <c r="V58" s="25">
        <v>32</v>
      </c>
      <c r="W58" s="142">
        <v>2</v>
      </c>
      <c r="X58" s="140">
        <v>6</v>
      </c>
      <c r="Y58" s="142">
        <v>3</v>
      </c>
      <c r="Z58" s="142">
        <v>3</v>
      </c>
      <c r="AA58" s="142">
        <v>0</v>
      </c>
      <c r="AH58" s="142">
        <v>1</v>
      </c>
      <c r="AI58" s="142">
        <v>4</v>
      </c>
      <c r="AJ58" s="142">
        <v>0</v>
      </c>
      <c r="AK58" s="142">
        <v>0</v>
      </c>
      <c r="AL58" s="142">
        <v>1</v>
      </c>
      <c r="AM58" s="140">
        <f t="shared" si="0"/>
        <v>6</v>
      </c>
      <c r="AN58" s="142" t="s">
        <v>826</v>
      </c>
      <c r="AP58" s="142">
        <v>0</v>
      </c>
    </row>
    <row r="59" spans="1:42">
      <c r="A59" s="142">
        <v>1</v>
      </c>
      <c r="B59" s="134" t="s">
        <v>131</v>
      </c>
      <c r="C59" s="135" t="s">
        <v>32</v>
      </c>
      <c r="D59" s="135">
        <v>4</v>
      </c>
      <c r="E59" s="135" t="s">
        <v>32</v>
      </c>
      <c r="F59" s="135">
        <v>11</v>
      </c>
      <c r="G59" s="136">
        <v>94</v>
      </c>
      <c r="H59" s="136">
        <v>79</v>
      </c>
      <c r="I59" s="136">
        <v>2010</v>
      </c>
      <c r="J59" s="144"/>
      <c r="K59" s="155" t="s">
        <v>933</v>
      </c>
      <c r="L59" s="155" t="s">
        <v>934</v>
      </c>
      <c r="M59" s="142">
        <v>2018</v>
      </c>
      <c r="N59" s="142">
        <v>5</v>
      </c>
      <c r="O59" s="142" t="s">
        <v>151</v>
      </c>
      <c r="P59" s="142" t="s">
        <v>35</v>
      </c>
      <c r="Q59" s="25"/>
      <c r="R59" s="142" t="s">
        <v>30</v>
      </c>
      <c r="S59" s="142" t="s">
        <v>30</v>
      </c>
      <c r="T59" s="142" t="s">
        <v>833</v>
      </c>
      <c r="U59" s="25" t="s">
        <v>47</v>
      </c>
      <c r="V59" s="25">
        <v>3</v>
      </c>
      <c r="W59" s="142">
        <v>4</v>
      </c>
      <c r="X59" s="140">
        <v>9</v>
      </c>
      <c r="Y59" s="142">
        <v>4</v>
      </c>
      <c r="Z59" s="142">
        <v>5</v>
      </c>
      <c r="AA59" s="142">
        <v>0</v>
      </c>
      <c r="AH59" s="142">
        <v>4</v>
      </c>
      <c r="AI59" s="142">
        <v>2</v>
      </c>
      <c r="AJ59" s="142">
        <v>0</v>
      </c>
      <c r="AK59" s="142">
        <v>0</v>
      </c>
      <c r="AL59" s="142">
        <v>3</v>
      </c>
      <c r="AM59" s="140">
        <f t="shared" si="0"/>
        <v>9</v>
      </c>
      <c r="AN59" s="142" t="s">
        <v>826</v>
      </c>
      <c r="AO59" s="142">
        <v>0</v>
      </c>
      <c r="AP59" s="142">
        <v>0</v>
      </c>
    </row>
    <row r="60" spans="1:42">
      <c r="A60" s="142">
        <v>1</v>
      </c>
      <c r="B60" s="134" t="s">
        <v>152</v>
      </c>
      <c r="C60" s="135" t="s">
        <v>32</v>
      </c>
      <c r="D60" s="135">
        <v>34</v>
      </c>
      <c r="E60" s="135" t="s">
        <v>32</v>
      </c>
      <c r="F60" s="135">
        <v>31</v>
      </c>
      <c r="G60" s="136">
        <v>97</v>
      </c>
      <c r="H60" s="136">
        <v>82</v>
      </c>
      <c r="I60" s="136">
        <v>2014</v>
      </c>
      <c r="J60" s="144"/>
      <c r="K60" s="144" t="s">
        <v>935</v>
      </c>
      <c r="L60" s="145" t="s">
        <v>936</v>
      </c>
      <c r="M60" s="142">
        <v>2022</v>
      </c>
      <c r="N60" s="142">
        <v>1</v>
      </c>
      <c r="O60" s="142" t="s">
        <v>153</v>
      </c>
      <c r="P60" s="142" t="s">
        <v>28</v>
      </c>
      <c r="Q60" s="25"/>
      <c r="R60" s="142" t="s">
        <v>30</v>
      </c>
      <c r="S60" s="142" t="s">
        <v>30</v>
      </c>
      <c r="T60" s="142" t="s">
        <v>833</v>
      </c>
      <c r="U60" s="25" t="s">
        <v>47</v>
      </c>
      <c r="V60" s="25">
        <v>3</v>
      </c>
      <c r="W60" s="142">
        <v>6</v>
      </c>
      <c r="X60" s="140">
        <v>7</v>
      </c>
      <c r="Y60" s="142">
        <v>6</v>
      </c>
      <c r="Z60" s="142">
        <v>1</v>
      </c>
      <c r="AA60" s="142">
        <v>5</v>
      </c>
      <c r="AH60" s="142">
        <v>0</v>
      </c>
      <c r="AI60" s="142">
        <v>5</v>
      </c>
      <c r="AJ60" s="142">
        <v>0</v>
      </c>
      <c r="AK60" s="142">
        <v>2</v>
      </c>
      <c r="AL60" s="142">
        <v>0</v>
      </c>
      <c r="AM60" s="140">
        <f t="shared" si="0"/>
        <v>7</v>
      </c>
      <c r="AN60" s="142">
        <v>0</v>
      </c>
      <c r="AO60" s="142">
        <v>0</v>
      </c>
      <c r="AP60" s="142">
        <v>0</v>
      </c>
    </row>
    <row r="61" spans="1:42">
      <c r="A61" s="142">
        <v>1</v>
      </c>
      <c r="B61" s="134" t="s">
        <v>152</v>
      </c>
      <c r="C61" s="135" t="s">
        <v>32</v>
      </c>
      <c r="D61" s="135">
        <v>34</v>
      </c>
      <c r="E61" s="135" t="s">
        <v>32</v>
      </c>
      <c r="F61" s="135">
        <v>31</v>
      </c>
      <c r="G61" s="136">
        <v>97</v>
      </c>
      <c r="H61" s="136">
        <v>82</v>
      </c>
      <c r="I61" s="136">
        <v>2014</v>
      </c>
      <c r="J61" s="144"/>
      <c r="K61" s="144"/>
      <c r="L61" s="145" t="s">
        <v>851</v>
      </c>
      <c r="M61" s="142">
        <v>2021</v>
      </c>
      <c r="N61" s="142">
        <v>2</v>
      </c>
      <c r="O61" s="142" t="s">
        <v>154</v>
      </c>
      <c r="P61" s="142" t="s">
        <v>28</v>
      </c>
      <c r="Q61" s="25"/>
      <c r="R61" s="142" t="s">
        <v>30</v>
      </c>
      <c r="S61" s="142" t="s">
        <v>30</v>
      </c>
      <c r="T61" s="142" t="s">
        <v>104</v>
      </c>
      <c r="U61" s="25" t="s">
        <v>101</v>
      </c>
      <c r="V61" s="25">
        <v>22</v>
      </c>
      <c r="W61" s="142">
        <v>10</v>
      </c>
      <c r="X61" s="140">
        <v>30</v>
      </c>
      <c r="Y61" s="142">
        <v>27</v>
      </c>
      <c r="Z61" s="142">
        <v>3</v>
      </c>
      <c r="AA61" s="142">
        <v>14</v>
      </c>
      <c r="AH61" s="142">
        <v>1</v>
      </c>
      <c r="AI61" s="142">
        <v>23</v>
      </c>
      <c r="AJ61" s="142">
        <v>0</v>
      </c>
      <c r="AK61" s="142">
        <v>1</v>
      </c>
      <c r="AL61" s="142">
        <v>5</v>
      </c>
      <c r="AM61" s="140">
        <f t="shared" si="0"/>
        <v>30</v>
      </c>
      <c r="AN61" s="142" t="s">
        <v>826</v>
      </c>
      <c r="AP61" s="142">
        <v>0</v>
      </c>
    </row>
    <row r="62" spans="1:42">
      <c r="A62" s="142">
        <v>1</v>
      </c>
      <c r="B62" s="134" t="s">
        <v>152</v>
      </c>
      <c r="C62" s="135" t="s">
        <v>32</v>
      </c>
      <c r="D62" s="135">
        <v>34</v>
      </c>
      <c r="E62" s="135" t="s">
        <v>32</v>
      </c>
      <c r="F62" s="135">
        <v>31</v>
      </c>
      <c r="G62" s="136">
        <v>97</v>
      </c>
      <c r="H62" s="136">
        <v>82</v>
      </c>
      <c r="I62" s="136">
        <v>2014</v>
      </c>
      <c r="J62" s="144"/>
      <c r="K62" s="144"/>
      <c r="L62" s="145" t="s">
        <v>937</v>
      </c>
      <c r="M62" s="142">
        <v>2020</v>
      </c>
      <c r="N62" s="142">
        <v>3</v>
      </c>
      <c r="O62" s="142" t="s">
        <v>155</v>
      </c>
      <c r="P62" s="142" t="s">
        <v>28</v>
      </c>
      <c r="Q62" s="25"/>
      <c r="R62" s="142" t="s">
        <v>156</v>
      </c>
      <c r="S62" s="142" t="s">
        <v>156</v>
      </c>
      <c r="T62" s="142" t="s">
        <v>157</v>
      </c>
      <c r="U62" s="25" t="s">
        <v>47</v>
      </c>
      <c r="V62" s="25">
        <v>10</v>
      </c>
      <c r="W62" s="142">
        <v>10</v>
      </c>
      <c r="X62" s="140">
        <v>14</v>
      </c>
      <c r="Y62" s="142">
        <v>13</v>
      </c>
      <c r="Z62" s="142">
        <v>1</v>
      </c>
      <c r="AA62" s="142">
        <v>4</v>
      </c>
      <c r="AH62" s="142">
        <v>12</v>
      </c>
      <c r="AI62" s="142">
        <v>1</v>
      </c>
      <c r="AJ62" s="142">
        <v>0</v>
      </c>
      <c r="AK62" s="142">
        <v>0</v>
      </c>
      <c r="AL62" s="142">
        <v>1</v>
      </c>
      <c r="AM62" s="140">
        <f t="shared" si="0"/>
        <v>14</v>
      </c>
      <c r="AN62" s="142" t="s">
        <v>826</v>
      </c>
      <c r="AP62" s="142">
        <v>0</v>
      </c>
    </row>
    <row r="63" spans="1:42" ht="46.5">
      <c r="A63" s="142">
        <v>1</v>
      </c>
      <c r="B63" s="134" t="s">
        <v>152</v>
      </c>
      <c r="C63" s="135" t="s">
        <v>32</v>
      </c>
      <c r="D63" s="135">
        <v>34</v>
      </c>
      <c r="E63" s="135" t="s">
        <v>32</v>
      </c>
      <c r="F63" s="135">
        <v>31</v>
      </c>
      <c r="G63" s="136">
        <v>97</v>
      </c>
      <c r="H63" s="136">
        <v>82</v>
      </c>
      <c r="I63" s="136">
        <v>2014</v>
      </c>
      <c r="J63" s="144"/>
      <c r="K63" s="144" t="s">
        <v>938</v>
      </c>
      <c r="L63" s="145" t="s">
        <v>939</v>
      </c>
      <c r="M63" s="142">
        <v>2019</v>
      </c>
      <c r="N63" s="142">
        <v>4</v>
      </c>
      <c r="O63" s="142" t="s">
        <v>158</v>
      </c>
      <c r="P63" s="142" t="s">
        <v>28</v>
      </c>
      <c r="Q63" s="25"/>
      <c r="R63" s="142" t="s">
        <v>30</v>
      </c>
      <c r="S63" s="142" t="s">
        <v>30</v>
      </c>
      <c r="T63" s="142" t="s">
        <v>159</v>
      </c>
      <c r="U63" s="25" t="s">
        <v>84</v>
      </c>
      <c r="V63" s="25">
        <v>53</v>
      </c>
      <c r="W63" s="142">
        <v>1</v>
      </c>
      <c r="X63" s="140">
        <v>10</v>
      </c>
      <c r="Y63" s="142">
        <v>3</v>
      </c>
      <c r="Z63" s="142">
        <v>7</v>
      </c>
      <c r="AA63" s="142">
        <v>3</v>
      </c>
      <c r="AH63" s="142">
        <v>4</v>
      </c>
      <c r="AI63" s="142">
        <v>4</v>
      </c>
      <c r="AJ63" s="142">
        <v>0</v>
      </c>
      <c r="AK63" s="142">
        <v>0</v>
      </c>
      <c r="AL63" s="142">
        <v>2</v>
      </c>
      <c r="AM63" s="140">
        <f t="shared" si="0"/>
        <v>10</v>
      </c>
      <c r="AN63" s="142" t="s">
        <v>826</v>
      </c>
      <c r="AP63" s="142">
        <v>0</v>
      </c>
    </row>
    <row r="64" spans="1:42">
      <c r="A64" s="142">
        <v>1</v>
      </c>
      <c r="B64" s="134" t="s">
        <v>152</v>
      </c>
      <c r="C64" s="135" t="s">
        <v>32</v>
      </c>
      <c r="D64" s="135">
        <v>34</v>
      </c>
      <c r="E64" s="135" t="s">
        <v>32</v>
      </c>
      <c r="F64" s="135">
        <v>31</v>
      </c>
      <c r="G64" s="136">
        <v>97</v>
      </c>
      <c r="H64" s="136">
        <v>82</v>
      </c>
      <c r="I64" s="136">
        <v>2014</v>
      </c>
      <c r="J64" s="144"/>
      <c r="K64" s="144"/>
      <c r="L64" s="145" t="s">
        <v>940</v>
      </c>
      <c r="M64" s="142">
        <v>2017</v>
      </c>
      <c r="N64" s="142">
        <v>6</v>
      </c>
      <c r="O64" s="142" t="s">
        <v>941</v>
      </c>
      <c r="P64" s="142" t="s">
        <v>35</v>
      </c>
      <c r="Q64" s="25"/>
      <c r="R64" s="142" t="s">
        <v>30</v>
      </c>
      <c r="S64" s="142" t="s">
        <v>30</v>
      </c>
      <c r="T64" s="142" t="s">
        <v>114</v>
      </c>
      <c r="U64" s="25" t="s">
        <v>101</v>
      </c>
      <c r="V64" s="25">
        <v>24</v>
      </c>
      <c r="W64" s="142">
        <v>9</v>
      </c>
      <c r="X64" s="140">
        <v>69</v>
      </c>
      <c r="Y64" s="142">
        <v>2</v>
      </c>
      <c r="Z64" s="142">
        <v>67</v>
      </c>
      <c r="AA64" s="142">
        <v>22</v>
      </c>
      <c r="AH64" s="142">
        <v>10</v>
      </c>
      <c r="AI64" s="142">
        <v>39</v>
      </c>
      <c r="AJ64" s="142">
        <v>2</v>
      </c>
      <c r="AK64" s="142">
        <v>5</v>
      </c>
      <c r="AL64" s="142">
        <v>13</v>
      </c>
      <c r="AM64" s="140">
        <v>69</v>
      </c>
      <c r="AN64" s="142" t="s">
        <v>826</v>
      </c>
      <c r="AP64" s="142">
        <v>0</v>
      </c>
    </row>
    <row r="65" spans="1:42">
      <c r="A65" s="142">
        <v>1</v>
      </c>
      <c r="B65" s="134" t="s">
        <v>152</v>
      </c>
      <c r="C65" s="135" t="s">
        <v>32</v>
      </c>
      <c r="D65" s="135">
        <v>34</v>
      </c>
      <c r="E65" s="135" t="s">
        <v>32</v>
      </c>
      <c r="F65" s="135">
        <v>31</v>
      </c>
      <c r="G65" s="136">
        <v>97</v>
      </c>
      <c r="H65" s="136">
        <v>82</v>
      </c>
      <c r="I65" s="136">
        <v>2014</v>
      </c>
      <c r="J65" s="144"/>
      <c r="K65" s="144"/>
      <c r="L65" s="145" t="s">
        <v>942</v>
      </c>
      <c r="M65" s="142">
        <v>2017</v>
      </c>
      <c r="N65" s="142">
        <v>6</v>
      </c>
      <c r="O65" s="142" t="s">
        <v>943</v>
      </c>
      <c r="P65" s="142" t="s">
        <v>28</v>
      </c>
      <c r="Q65" s="25"/>
      <c r="R65" s="142" t="s">
        <v>156</v>
      </c>
      <c r="S65" s="142" t="s">
        <v>156</v>
      </c>
      <c r="T65" s="163" t="s">
        <v>162</v>
      </c>
      <c r="U65" s="25" t="s">
        <v>84</v>
      </c>
      <c r="V65" s="25">
        <v>51</v>
      </c>
      <c r="W65" s="142">
        <v>8</v>
      </c>
      <c r="X65" s="140">
        <v>29</v>
      </c>
      <c r="Y65" s="142">
        <v>11</v>
      </c>
      <c r="Z65" s="142">
        <v>18</v>
      </c>
      <c r="AA65" s="142">
        <v>8</v>
      </c>
      <c r="AH65" s="142">
        <v>4</v>
      </c>
      <c r="AI65" s="142">
        <v>18</v>
      </c>
      <c r="AJ65" s="142">
        <v>2</v>
      </c>
      <c r="AK65" s="142">
        <v>2</v>
      </c>
      <c r="AL65" s="142">
        <v>3</v>
      </c>
      <c r="AM65" s="140">
        <v>29</v>
      </c>
    </row>
    <row r="66" spans="1:42" s="25" customFormat="1">
      <c r="A66" s="142">
        <v>1</v>
      </c>
      <c r="B66" s="134" t="s">
        <v>152</v>
      </c>
      <c r="C66" s="135" t="s">
        <v>32</v>
      </c>
      <c r="D66" s="135">
        <v>34</v>
      </c>
      <c r="E66" s="135" t="s">
        <v>32</v>
      </c>
      <c r="F66" s="135">
        <v>31</v>
      </c>
      <c r="G66" s="136">
        <v>97</v>
      </c>
      <c r="H66" s="136">
        <v>82</v>
      </c>
      <c r="I66" s="136">
        <v>2014</v>
      </c>
      <c r="J66" s="136"/>
      <c r="K66" s="136"/>
      <c r="L66" s="149" t="s">
        <v>944</v>
      </c>
      <c r="M66" s="25">
        <v>2014</v>
      </c>
      <c r="O66" s="25" t="s">
        <v>163</v>
      </c>
      <c r="P66" s="25" t="s">
        <v>35</v>
      </c>
      <c r="R66" s="25" t="s">
        <v>156</v>
      </c>
      <c r="S66" s="25" t="s">
        <v>156</v>
      </c>
      <c r="T66" s="25" t="s">
        <v>164</v>
      </c>
      <c r="U66" s="25" t="s">
        <v>84</v>
      </c>
      <c r="V66" s="25">
        <v>57</v>
      </c>
      <c r="W66" s="25">
        <v>21</v>
      </c>
      <c r="X66" s="25">
        <v>149</v>
      </c>
      <c r="Y66" s="25">
        <v>31</v>
      </c>
      <c r="Z66" s="25">
        <v>118</v>
      </c>
      <c r="AA66" s="25">
        <v>42</v>
      </c>
      <c r="AH66" s="25">
        <v>18</v>
      </c>
      <c r="AI66" s="25">
        <v>97</v>
      </c>
      <c r="AJ66" s="25">
        <v>4</v>
      </c>
      <c r="AK66" s="25">
        <v>12</v>
      </c>
      <c r="AL66" s="25">
        <v>18</v>
      </c>
      <c r="AM66" s="25">
        <v>149</v>
      </c>
    </row>
    <row r="67" spans="1:42" ht="46.5">
      <c r="A67" s="142">
        <v>1</v>
      </c>
      <c r="B67" s="134" t="s">
        <v>152</v>
      </c>
      <c r="C67" s="135" t="s">
        <v>32</v>
      </c>
      <c r="D67" s="135">
        <v>34</v>
      </c>
      <c r="E67" s="135" t="s">
        <v>32</v>
      </c>
      <c r="F67" s="135">
        <v>31</v>
      </c>
      <c r="G67" s="136">
        <v>97</v>
      </c>
      <c r="H67" s="136">
        <v>82</v>
      </c>
      <c r="I67" s="136">
        <v>2014</v>
      </c>
      <c r="J67" s="144"/>
      <c r="K67" s="144"/>
      <c r="L67" s="144" t="s">
        <v>945</v>
      </c>
      <c r="M67" s="142">
        <v>2018</v>
      </c>
      <c r="O67" s="142" t="s">
        <v>165</v>
      </c>
      <c r="P67" s="142" t="s">
        <v>35</v>
      </c>
      <c r="Q67" s="25"/>
      <c r="R67" s="142" t="s">
        <v>30</v>
      </c>
      <c r="S67" s="142" t="s">
        <v>30</v>
      </c>
      <c r="T67" s="142" t="s">
        <v>946</v>
      </c>
      <c r="U67" s="25" t="s">
        <v>47</v>
      </c>
      <c r="V67" s="25">
        <v>5</v>
      </c>
      <c r="W67" s="142">
        <v>3</v>
      </c>
      <c r="X67" s="140">
        <v>10</v>
      </c>
      <c r="Y67" s="142">
        <v>8</v>
      </c>
      <c r="Z67" s="142">
        <v>2</v>
      </c>
      <c r="AA67" s="142">
        <v>1</v>
      </c>
      <c r="AH67" s="142">
        <v>0</v>
      </c>
      <c r="AI67" s="142">
        <v>5</v>
      </c>
      <c r="AJ67" s="142">
        <v>3</v>
      </c>
      <c r="AK67" s="142">
        <v>2</v>
      </c>
      <c r="AL67" s="142">
        <v>0</v>
      </c>
      <c r="AM67" s="140">
        <f t="shared" si="0"/>
        <v>10</v>
      </c>
      <c r="AN67" s="142" t="s">
        <v>837</v>
      </c>
      <c r="AO67" s="142">
        <v>0</v>
      </c>
      <c r="AP67" s="142">
        <v>1</v>
      </c>
    </row>
    <row r="68" spans="1:42" ht="31">
      <c r="A68" s="142">
        <v>1</v>
      </c>
      <c r="B68" s="134" t="s">
        <v>166</v>
      </c>
      <c r="C68" s="135" t="s">
        <v>85</v>
      </c>
      <c r="D68" s="135" t="s">
        <v>85</v>
      </c>
      <c r="E68" s="135" t="s">
        <v>33</v>
      </c>
      <c r="F68" s="135" t="s">
        <v>33</v>
      </c>
      <c r="G68" s="136">
        <v>65</v>
      </c>
      <c r="H68" s="136">
        <v>97</v>
      </c>
      <c r="I68" s="136">
        <v>2012</v>
      </c>
      <c r="J68" s="144"/>
      <c r="K68" s="144" t="s">
        <v>947</v>
      </c>
      <c r="L68" s="145" t="s">
        <v>948</v>
      </c>
      <c r="M68" s="142">
        <v>2022</v>
      </c>
      <c r="N68" s="142">
        <v>1</v>
      </c>
      <c r="O68" s="142" t="s">
        <v>949</v>
      </c>
      <c r="P68" s="142" t="s">
        <v>43</v>
      </c>
      <c r="Q68" s="25"/>
      <c r="R68" s="142" t="s">
        <v>30</v>
      </c>
      <c r="S68" s="142" t="s">
        <v>30</v>
      </c>
      <c r="T68" s="142" t="s">
        <v>104</v>
      </c>
      <c r="U68" s="25" t="s">
        <v>101</v>
      </c>
      <c r="V68" s="25">
        <v>22</v>
      </c>
      <c r="W68" s="142">
        <v>3</v>
      </c>
      <c r="X68" s="140">
        <v>12</v>
      </c>
      <c r="Y68" s="142">
        <v>11</v>
      </c>
      <c r="Z68" s="142">
        <v>1</v>
      </c>
      <c r="AA68" s="142">
        <v>4</v>
      </c>
      <c r="AH68" s="142">
        <v>0</v>
      </c>
      <c r="AI68" s="142">
        <v>10</v>
      </c>
      <c r="AJ68" s="142">
        <v>0</v>
      </c>
      <c r="AK68" s="142">
        <v>1</v>
      </c>
      <c r="AL68" s="142">
        <v>1</v>
      </c>
      <c r="AM68" s="140">
        <f t="shared" si="0"/>
        <v>12</v>
      </c>
      <c r="AN68" s="142">
        <v>0</v>
      </c>
      <c r="AP68" s="142">
        <v>0</v>
      </c>
    </row>
    <row r="69" spans="1:42">
      <c r="A69" s="142">
        <v>1</v>
      </c>
      <c r="B69" s="134" t="s">
        <v>166</v>
      </c>
      <c r="C69" s="135" t="s">
        <v>85</v>
      </c>
      <c r="D69" s="135" t="s">
        <v>85</v>
      </c>
      <c r="E69" s="135" t="s">
        <v>33</v>
      </c>
      <c r="F69" s="135" t="s">
        <v>33</v>
      </c>
      <c r="G69" s="136">
        <v>65</v>
      </c>
      <c r="H69" s="136">
        <v>97</v>
      </c>
      <c r="I69" s="136">
        <v>2012</v>
      </c>
      <c r="J69" s="144"/>
      <c r="K69" s="144"/>
      <c r="L69" s="145" t="s">
        <v>950</v>
      </c>
      <c r="M69" s="142">
        <v>2021</v>
      </c>
      <c r="N69" s="142">
        <v>2</v>
      </c>
      <c r="O69" s="142" t="s">
        <v>168</v>
      </c>
      <c r="P69" s="142" t="s">
        <v>28</v>
      </c>
      <c r="Q69" s="25"/>
      <c r="R69" s="142" t="s">
        <v>30</v>
      </c>
      <c r="S69" s="142" t="s">
        <v>30</v>
      </c>
      <c r="T69" s="142" t="s">
        <v>169</v>
      </c>
      <c r="U69" s="25" t="s">
        <v>84</v>
      </c>
      <c r="V69" s="25">
        <v>82</v>
      </c>
      <c r="W69" s="142">
        <v>15</v>
      </c>
      <c r="X69" s="140">
        <v>43</v>
      </c>
      <c r="Y69" s="142">
        <v>27</v>
      </c>
      <c r="Z69" s="142">
        <v>16</v>
      </c>
      <c r="AA69" s="142">
        <v>22</v>
      </c>
      <c r="AH69" s="142">
        <v>0</v>
      </c>
      <c r="AI69" s="142">
        <v>40</v>
      </c>
      <c r="AJ69" s="142">
        <v>0</v>
      </c>
      <c r="AK69" s="142">
        <v>1</v>
      </c>
      <c r="AL69" s="142">
        <v>2</v>
      </c>
      <c r="AM69" s="140">
        <f t="shared" ref="AM69:AM114" si="1">SUM(AH69:AL69)</f>
        <v>43</v>
      </c>
      <c r="AN69" s="142">
        <v>0</v>
      </c>
      <c r="AP69" s="142">
        <v>0</v>
      </c>
    </row>
    <row r="70" spans="1:42" ht="46.5">
      <c r="B70" s="134" t="s">
        <v>166</v>
      </c>
      <c r="C70" s="135" t="s">
        <v>85</v>
      </c>
      <c r="D70" s="135" t="s">
        <v>85</v>
      </c>
      <c r="E70" s="135" t="s">
        <v>33</v>
      </c>
      <c r="F70" s="135" t="s">
        <v>33</v>
      </c>
      <c r="G70" s="136">
        <v>65</v>
      </c>
      <c r="H70" s="136">
        <v>97</v>
      </c>
      <c r="I70" s="136">
        <v>2012</v>
      </c>
      <c r="J70" s="144"/>
      <c r="K70" s="144" t="s">
        <v>951</v>
      </c>
      <c r="L70" s="145" t="s">
        <v>952</v>
      </c>
      <c r="M70" s="142">
        <v>2020</v>
      </c>
      <c r="N70" s="142">
        <v>3</v>
      </c>
      <c r="O70" s="142" t="s">
        <v>170</v>
      </c>
      <c r="P70" s="142" t="s">
        <v>43</v>
      </c>
      <c r="R70" s="142" t="s">
        <v>30</v>
      </c>
      <c r="S70" s="142" t="s">
        <v>30</v>
      </c>
      <c r="T70" s="142" t="s">
        <v>171</v>
      </c>
      <c r="U70" s="25" t="s">
        <v>101</v>
      </c>
      <c r="V70" s="25">
        <v>22</v>
      </c>
      <c r="W70" s="142">
        <v>1</v>
      </c>
      <c r="X70" s="140">
        <v>3</v>
      </c>
      <c r="Y70" s="142">
        <v>0</v>
      </c>
      <c r="Z70" s="142">
        <v>3</v>
      </c>
      <c r="AA70" s="142">
        <v>1</v>
      </c>
      <c r="AC70" s="150">
        <v>0</v>
      </c>
      <c r="AD70" s="150">
        <v>0</v>
      </c>
      <c r="AE70" s="150">
        <v>0</v>
      </c>
      <c r="AF70" s="150">
        <v>0</v>
      </c>
      <c r="AG70" s="150">
        <v>0</v>
      </c>
      <c r="AH70" s="142">
        <v>0</v>
      </c>
      <c r="AI70" s="142">
        <v>2</v>
      </c>
      <c r="AJ70" s="142">
        <v>0</v>
      </c>
      <c r="AK70" s="142">
        <v>0</v>
      </c>
      <c r="AL70" s="142">
        <v>1</v>
      </c>
      <c r="AM70" s="140">
        <f t="shared" si="1"/>
        <v>3</v>
      </c>
      <c r="AN70" s="142">
        <v>0</v>
      </c>
      <c r="AP70" s="142">
        <v>0</v>
      </c>
    </row>
    <row r="71" spans="1:42">
      <c r="A71" s="142">
        <v>1</v>
      </c>
      <c r="B71" s="134" t="s">
        <v>166</v>
      </c>
      <c r="C71" s="135" t="s">
        <v>85</v>
      </c>
      <c r="D71" s="135" t="s">
        <v>85</v>
      </c>
      <c r="E71" s="135" t="s">
        <v>33</v>
      </c>
      <c r="F71" s="135" t="s">
        <v>33</v>
      </c>
      <c r="G71" s="136">
        <v>65</v>
      </c>
      <c r="H71" s="136">
        <v>97</v>
      </c>
      <c r="I71" s="136">
        <v>2012</v>
      </c>
      <c r="J71" s="144"/>
      <c r="K71" s="144"/>
      <c r="L71" s="145" t="s">
        <v>953</v>
      </c>
      <c r="M71" s="142">
        <v>2019</v>
      </c>
      <c r="N71" s="142">
        <v>4</v>
      </c>
      <c r="O71" s="142" t="s">
        <v>172</v>
      </c>
      <c r="P71" s="142" t="s">
        <v>43</v>
      </c>
      <c r="R71" s="142" t="s">
        <v>30</v>
      </c>
      <c r="S71" s="142" t="s">
        <v>30</v>
      </c>
      <c r="T71" s="142" t="s">
        <v>954</v>
      </c>
      <c r="U71" s="25" t="s">
        <v>47</v>
      </c>
      <c r="V71" s="25">
        <v>9</v>
      </c>
      <c r="W71" s="142">
        <v>2</v>
      </c>
      <c r="X71" s="140">
        <v>3</v>
      </c>
      <c r="Y71" s="142">
        <v>1</v>
      </c>
      <c r="Z71" s="142">
        <v>2</v>
      </c>
      <c r="AA71" s="142">
        <v>0</v>
      </c>
      <c r="AH71" s="142">
        <v>1</v>
      </c>
      <c r="AI71" s="142">
        <v>2</v>
      </c>
      <c r="AJ71" s="142">
        <v>0</v>
      </c>
      <c r="AK71" s="142">
        <v>0</v>
      </c>
      <c r="AL71" s="142">
        <v>0</v>
      </c>
      <c r="AM71" s="140">
        <f t="shared" si="1"/>
        <v>3</v>
      </c>
      <c r="AN71" s="142">
        <v>0</v>
      </c>
      <c r="AP71" s="142">
        <v>0</v>
      </c>
    </row>
    <row r="72" spans="1:42" ht="31">
      <c r="A72" s="142">
        <v>1</v>
      </c>
      <c r="B72" s="134" t="s">
        <v>166</v>
      </c>
      <c r="C72" s="135" t="s">
        <v>85</v>
      </c>
      <c r="D72" s="135" t="s">
        <v>85</v>
      </c>
      <c r="E72" s="135" t="s">
        <v>33</v>
      </c>
      <c r="F72" s="135" t="s">
        <v>33</v>
      </c>
      <c r="G72" s="136">
        <v>65</v>
      </c>
      <c r="H72" s="136">
        <v>97</v>
      </c>
      <c r="I72" s="136">
        <v>2012</v>
      </c>
      <c r="J72" s="144"/>
      <c r="K72" s="144" t="s">
        <v>955</v>
      </c>
      <c r="L72" s="145" t="s">
        <v>956</v>
      </c>
      <c r="M72" s="142">
        <v>2018</v>
      </c>
      <c r="N72" s="142">
        <v>4</v>
      </c>
      <c r="O72" s="142" t="s">
        <v>173</v>
      </c>
      <c r="P72" s="142" t="s">
        <v>35</v>
      </c>
      <c r="R72" s="142" t="s">
        <v>30</v>
      </c>
      <c r="S72" s="142" t="s">
        <v>30</v>
      </c>
      <c r="T72" s="142" t="s">
        <v>174</v>
      </c>
      <c r="U72" s="25" t="s">
        <v>101</v>
      </c>
      <c r="V72" s="25">
        <v>32</v>
      </c>
      <c r="W72" s="142">
        <v>3</v>
      </c>
      <c r="X72" s="140">
        <v>7</v>
      </c>
      <c r="Y72" s="142">
        <v>2</v>
      </c>
      <c r="Z72" s="142">
        <v>5</v>
      </c>
      <c r="AA72" s="142">
        <v>6</v>
      </c>
      <c r="AH72" s="142">
        <v>0</v>
      </c>
      <c r="AI72" s="142">
        <v>5</v>
      </c>
      <c r="AJ72" s="142">
        <v>0</v>
      </c>
      <c r="AK72" s="142">
        <v>0</v>
      </c>
      <c r="AL72" s="142">
        <v>2</v>
      </c>
      <c r="AM72" s="140">
        <f t="shared" si="1"/>
        <v>7</v>
      </c>
      <c r="AN72" s="142">
        <v>0</v>
      </c>
      <c r="AP72" s="142">
        <v>0</v>
      </c>
    </row>
    <row r="73" spans="1:42" ht="31">
      <c r="B73" s="134" t="s">
        <v>166</v>
      </c>
      <c r="C73" s="135" t="s">
        <v>85</v>
      </c>
      <c r="D73" s="135" t="s">
        <v>85</v>
      </c>
      <c r="E73" s="135" t="s">
        <v>33</v>
      </c>
      <c r="F73" s="135" t="s">
        <v>33</v>
      </c>
      <c r="G73" s="136">
        <v>65</v>
      </c>
      <c r="H73" s="136">
        <v>97</v>
      </c>
      <c r="I73" s="136">
        <v>2012</v>
      </c>
      <c r="J73" s="167"/>
      <c r="K73" s="168" t="s">
        <v>957</v>
      </c>
      <c r="L73" s="145" t="s">
        <v>958</v>
      </c>
      <c r="M73" s="142">
        <v>2016</v>
      </c>
      <c r="N73" s="142">
        <v>5</v>
      </c>
      <c r="O73" s="142" t="s">
        <v>176</v>
      </c>
      <c r="P73" s="142" t="s">
        <v>35</v>
      </c>
      <c r="R73" s="142" t="s">
        <v>30</v>
      </c>
      <c r="S73" s="142" t="s">
        <v>30</v>
      </c>
      <c r="T73" s="142" t="s">
        <v>959</v>
      </c>
      <c r="U73" s="25" t="s">
        <v>84</v>
      </c>
      <c r="V73" s="25">
        <v>41</v>
      </c>
      <c r="W73" s="142">
        <v>8</v>
      </c>
      <c r="X73" s="140">
        <v>22</v>
      </c>
      <c r="Y73" s="142">
        <v>0</v>
      </c>
      <c r="Z73" s="142">
        <v>22</v>
      </c>
      <c r="AA73" s="142">
        <v>17</v>
      </c>
      <c r="AC73" s="150">
        <v>0</v>
      </c>
      <c r="AD73" s="150">
        <v>0</v>
      </c>
      <c r="AE73" s="150">
        <v>0</v>
      </c>
      <c r="AF73" s="150">
        <v>0</v>
      </c>
      <c r="AG73" s="150">
        <v>0</v>
      </c>
      <c r="AH73" s="142">
        <v>0</v>
      </c>
      <c r="AI73" s="142">
        <v>11</v>
      </c>
      <c r="AJ73" s="142">
        <v>7</v>
      </c>
      <c r="AK73" s="142">
        <v>1</v>
      </c>
      <c r="AL73" s="142">
        <v>3</v>
      </c>
      <c r="AM73" s="140">
        <f t="shared" si="1"/>
        <v>22</v>
      </c>
      <c r="AN73" s="142">
        <v>0</v>
      </c>
      <c r="AP73" s="142">
        <v>0</v>
      </c>
    </row>
    <row r="74" spans="1:42" ht="46.5">
      <c r="B74" s="134" t="s">
        <v>166</v>
      </c>
      <c r="C74" s="135" t="s">
        <v>85</v>
      </c>
      <c r="D74" s="135" t="s">
        <v>85</v>
      </c>
      <c r="E74" s="135" t="s">
        <v>33</v>
      </c>
      <c r="F74" s="135" t="s">
        <v>33</v>
      </c>
      <c r="G74" s="136">
        <v>65</v>
      </c>
      <c r="H74" s="136">
        <v>97</v>
      </c>
      <c r="I74" s="136">
        <v>2012</v>
      </c>
      <c r="J74" s="144"/>
      <c r="K74" s="144" t="s">
        <v>960</v>
      </c>
      <c r="L74" s="145" t="s">
        <v>961</v>
      </c>
      <c r="M74" s="142">
        <v>2017</v>
      </c>
      <c r="N74" s="142">
        <v>6</v>
      </c>
      <c r="O74" s="142" t="s">
        <v>962</v>
      </c>
      <c r="P74" s="142" t="s">
        <v>28</v>
      </c>
      <c r="R74" s="142" t="s">
        <v>30</v>
      </c>
      <c r="S74" s="142" t="s">
        <v>30</v>
      </c>
      <c r="T74" s="142" t="s">
        <v>177</v>
      </c>
      <c r="U74" s="25" t="s">
        <v>84</v>
      </c>
      <c r="V74" s="25">
        <v>64</v>
      </c>
      <c r="W74" s="142">
        <v>1</v>
      </c>
      <c r="X74" s="140">
        <v>5</v>
      </c>
      <c r="Y74" s="142">
        <v>0</v>
      </c>
      <c r="Z74" s="142">
        <v>5</v>
      </c>
      <c r="AA74" s="142">
        <v>5</v>
      </c>
      <c r="AC74" s="150">
        <v>0</v>
      </c>
      <c r="AD74" s="150">
        <v>0</v>
      </c>
      <c r="AE74" s="150">
        <v>0</v>
      </c>
      <c r="AF74" s="150">
        <v>0</v>
      </c>
      <c r="AG74" s="150">
        <v>0</v>
      </c>
      <c r="AH74" s="142">
        <v>0</v>
      </c>
      <c r="AI74" s="142">
        <v>0</v>
      </c>
      <c r="AJ74" s="142">
        <v>2</v>
      </c>
      <c r="AK74" s="142">
        <v>2</v>
      </c>
      <c r="AL74" s="142">
        <v>1</v>
      </c>
      <c r="AM74" s="140">
        <f t="shared" si="1"/>
        <v>5</v>
      </c>
      <c r="AN74" s="142">
        <v>0</v>
      </c>
      <c r="AP74" s="142">
        <v>0</v>
      </c>
    </row>
    <row r="75" spans="1:42" ht="62">
      <c r="B75" s="134" t="s">
        <v>166</v>
      </c>
      <c r="C75" s="135" t="s">
        <v>85</v>
      </c>
      <c r="D75" s="135" t="s">
        <v>85</v>
      </c>
      <c r="E75" s="135" t="s">
        <v>33</v>
      </c>
      <c r="F75" s="135" t="s">
        <v>33</v>
      </c>
      <c r="G75" s="136">
        <v>65</v>
      </c>
      <c r="H75" s="136">
        <v>97</v>
      </c>
      <c r="I75" s="136">
        <v>2012</v>
      </c>
      <c r="J75" s="144"/>
      <c r="K75" s="144" t="s">
        <v>963</v>
      </c>
      <c r="L75" s="169" t="s">
        <v>964</v>
      </c>
      <c r="M75" s="142">
        <v>2017</v>
      </c>
      <c r="N75" s="142">
        <v>6</v>
      </c>
      <c r="O75" s="142" t="s">
        <v>965</v>
      </c>
      <c r="P75" s="142" t="s">
        <v>35</v>
      </c>
      <c r="R75" s="142" t="s">
        <v>30</v>
      </c>
      <c r="S75" s="142" t="s">
        <v>30</v>
      </c>
      <c r="T75" s="142" t="s">
        <v>966</v>
      </c>
      <c r="U75" s="25" t="s">
        <v>84</v>
      </c>
      <c r="V75" s="25">
        <v>56</v>
      </c>
      <c r="W75" s="142">
        <v>1</v>
      </c>
      <c r="X75" s="140">
        <v>1</v>
      </c>
      <c r="Y75" s="142">
        <v>0</v>
      </c>
      <c r="Z75" s="142">
        <v>1</v>
      </c>
      <c r="AA75" s="142">
        <v>1</v>
      </c>
      <c r="AC75" s="150">
        <v>0</v>
      </c>
      <c r="AD75" s="150">
        <v>0</v>
      </c>
      <c r="AE75" s="150">
        <v>0</v>
      </c>
      <c r="AF75" s="150">
        <v>0</v>
      </c>
      <c r="AG75" s="150">
        <v>0</v>
      </c>
      <c r="AH75" s="142">
        <v>0</v>
      </c>
      <c r="AI75" s="142">
        <v>0</v>
      </c>
      <c r="AJ75" s="142">
        <v>0</v>
      </c>
      <c r="AK75" s="142">
        <v>1</v>
      </c>
      <c r="AL75" s="142">
        <v>0</v>
      </c>
      <c r="AM75" s="140">
        <f t="shared" si="1"/>
        <v>1</v>
      </c>
      <c r="AN75" s="142">
        <v>0</v>
      </c>
      <c r="AP75" s="142">
        <v>0</v>
      </c>
    </row>
    <row r="76" spans="1:42">
      <c r="A76" s="142">
        <v>1</v>
      </c>
      <c r="B76" s="134" t="s">
        <v>179</v>
      </c>
      <c r="C76" s="135" t="s">
        <v>32</v>
      </c>
      <c r="D76" s="135">
        <v>16</v>
      </c>
      <c r="E76" s="135" t="s">
        <v>32</v>
      </c>
      <c r="F76" s="135">
        <v>14</v>
      </c>
      <c r="G76" s="136">
        <v>29</v>
      </c>
      <c r="H76" s="136">
        <v>74</v>
      </c>
      <c r="I76" s="136">
        <v>2014</v>
      </c>
      <c r="J76" s="144"/>
      <c r="K76" s="170"/>
      <c r="L76" s="142" t="s">
        <v>967</v>
      </c>
      <c r="M76" s="142">
        <v>2022</v>
      </c>
      <c r="N76" s="142">
        <v>1</v>
      </c>
      <c r="O76" s="142" t="s">
        <v>180</v>
      </c>
      <c r="P76" s="142" t="s">
        <v>28</v>
      </c>
      <c r="R76" s="142" t="s">
        <v>30</v>
      </c>
      <c r="S76" s="142" t="s">
        <v>30</v>
      </c>
      <c r="T76" s="142" t="s">
        <v>181</v>
      </c>
      <c r="U76" s="25" t="s">
        <v>101</v>
      </c>
      <c r="V76" s="25">
        <v>33</v>
      </c>
      <c r="W76" s="142">
        <v>2</v>
      </c>
      <c r="X76" s="140">
        <v>6</v>
      </c>
      <c r="Y76" s="142">
        <v>5</v>
      </c>
      <c r="Z76" s="142">
        <v>1</v>
      </c>
      <c r="AA76" s="142">
        <v>5</v>
      </c>
      <c r="AH76" s="142">
        <v>0</v>
      </c>
      <c r="AI76" s="142">
        <v>2</v>
      </c>
      <c r="AJ76" s="142">
        <v>4</v>
      </c>
      <c r="AK76" s="142">
        <v>0</v>
      </c>
      <c r="AL76" s="142">
        <v>0</v>
      </c>
      <c r="AM76" s="140">
        <f t="shared" si="1"/>
        <v>6</v>
      </c>
    </row>
    <row r="77" spans="1:42" ht="46.5">
      <c r="A77" s="142">
        <v>1</v>
      </c>
      <c r="B77" s="134" t="s">
        <v>179</v>
      </c>
      <c r="C77" s="135" t="s">
        <v>32</v>
      </c>
      <c r="D77" s="135">
        <v>16</v>
      </c>
      <c r="E77" s="135" t="s">
        <v>32</v>
      </c>
      <c r="F77" s="135">
        <v>14</v>
      </c>
      <c r="G77" s="136">
        <v>29</v>
      </c>
      <c r="H77" s="136">
        <v>74</v>
      </c>
      <c r="I77" s="136">
        <v>2014</v>
      </c>
      <c r="J77" s="144"/>
      <c r="K77" s="144" t="s">
        <v>968</v>
      </c>
      <c r="L77" s="142" t="s">
        <v>969</v>
      </c>
      <c r="M77" s="142">
        <v>2021</v>
      </c>
      <c r="N77" s="142">
        <v>2</v>
      </c>
      <c r="O77" s="142" t="s">
        <v>182</v>
      </c>
      <c r="P77" s="142" t="s">
        <v>28</v>
      </c>
      <c r="R77" s="142" t="s">
        <v>30</v>
      </c>
      <c r="S77" s="142" t="s">
        <v>30</v>
      </c>
      <c r="T77" s="142" t="s">
        <v>183</v>
      </c>
      <c r="U77" s="25" t="s">
        <v>84</v>
      </c>
      <c r="V77" s="25">
        <v>101</v>
      </c>
      <c r="W77" s="142">
        <v>1</v>
      </c>
      <c r="X77" s="140">
        <v>2</v>
      </c>
      <c r="Y77" s="142">
        <v>1</v>
      </c>
      <c r="Z77" s="142">
        <v>1</v>
      </c>
      <c r="AA77" s="142">
        <v>2</v>
      </c>
      <c r="AH77" s="142">
        <v>0</v>
      </c>
      <c r="AI77" s="142">
        <v>1</v>
      </c>
      <c r="AJ77" s="142">
        <v>0</v>
      </c>
      <c r="AK77" s="142">
        <v>1</v>
      </c>
      <c r="AL77" s="142">
        <v>0</v>
      </c>
      <c r="AM77" s="140">
        <f t="shared" si="1"/>
        <v>2</v>
      </c>
    </row>
    <row r="78" spans="1:42" ht="31">
      <c r="A78" s="142">
        <v>1</v>
      </c>
      <c r="B78" s="134" t="s">
        <v>179</v>
      </c>
      <c r="C78" s="135" t="s">
        <v>32</v>
      </c>
      <c r="D78" s="135">
        <v>16</v>
      </c>
      <c r="E78" s="135" t="s">
        <v>32</v>
      </c>
      <c r="F78" s="135">
        <v>14</v>
      </c>
      <c r="G78" s="136">
        <v>29</v>
      </c>
      <c r="H78" s="136">
        <v>74</v>
      </c>
      <c r="I78" s="136">
        <v>2014</v>
      </c>
      <c r="J78" s="144"/>
      <c r="K78" s="167" t="s">
        <v>970</v>
      </c>
      <c r="L78" s="142" t="s">
        <v>971</v>
      </c>
      <c r="M78" s="142">
        <v>2018</v>
      </c>
      <c r="N78" s="142">
        <v>3</v>
      </c>
      <c r="O78" s="142" t="s">
        <v>184</v>
      </c>
      <c r="P78" s="142" t="s">
        <v>28</v>
      </c>
      <c r="R78" s="142" t="s">
        <v>30</v>
      </c>
      <c r="S78" s="142" t="s">
        <v>30</v>
      </c>
      <c r="T78" s="142" t="s">
        <v>185</v>
      </c>
      <c r="U78" s="25" t="s">
        <v>84</v>
      </c>
      <c r="V78" s="25">
        <v>68</v>
      </c>
      <c r="W78" s="142">
        <v>2</v>
      </c>
      <c r="X78" s="140">
        <v>25</v>
      </c>
      <c r="Y78" s="142">
        <v>4</v>
      </c>
      <c r="Z78" s="142">
        <v>21</v>
      </c>
      <c r="AA78" s="142">
        <v>5</v>
      </c>
      <c r="AH78" s="142">
        <v>3</v>
      </c>
      <c r="AI78" s="142">
        <v>11</v>
      </c>
      <c r="AJ78" s="142">
        <v>1</v>
      </c>
      <c r="AK78" s="142">
        <v>0</v>
      </c>
      <c r="AL78" s="142">
        <v>10</v>
      </c>
      <c r="AM78" s="140">
        <f t="shared" si="1"/>
        <v>25</v>
      </c>
    </row>
    <row r="79" spans="1:42" ht="77.5">
      <c r="B79" s="134" t="s">
        <v>179</v>
      </c>
      <c r="C79" s="135" t="s">
        <v>32</v>
      </c>
      <c r="D79" s="135">
        <v>16</v>
      </c>
      <c r="E79" s="135" t="s">
        <v>32</v>
      </c>
      <c r="F79" s="135">
        <v>14</v>
      </c>
      <c r="G79" s="136">
        <v>29</v>
      </c>
      <c r="H79" s="136">
        <v>74</v>
      </c>
      <c r="I79" s="136">
        <v>2014</v>
      </c>
      <c r="J79" s="155" t="s">
        <v>972</v>
      </c>
      <c r="K79" s="168" t="s">
        <v>973</v>
      </c>
      <c r="L79" s="156" t="s">
        <v>974</v>
      </c>
      <c r="M79" s="142">
        <v>2020</v>
      </c>
      <c r="N79" s="142">
        <v>3</v>
      </c>
      <c r="O79" s="142" t="s">
        <v>186</v>
      </c>
      <c r="P79" s="142" t="s">
        <v>43</v>
      </c>
      <c r="R79" s="142" t="s">
        <v>30</v>
      </c>
      <c r="S79" s="142" t="s">
        <v>30</v>
      </c>
      <c r="T79" s="142" t="s">
        <v>187</v>
      </c>
      <c r="U79" s="25" t="s">
        <v>84</v>
      </c>
      <c r="V79" s="25">
        <v>85</v>
      </c>
      <c r="W79" s="142">
        <v>0</v>
      </c>
      <c r="X79" s="140">
        <v>1</v>
      </c>
      <c r="Y79" s="142">
        <v>0</v>
      </c>
      <c r="Z79" s="142">
        <v>1</v>
      </c>
      <c r="AA79" s="142">
        <v>0</v>
      </c>
      <c r="AC79" s="150">
        <v>0</v>
      </c>
      <c r="AD79" s="150">
        <v>0</v>
      </c>
      <c r="AE79" s="150">
        <v>0</v>
      </c>
      <c r="AF79" s="150">
        <v>0</v>
      </c>
      <c r="AG79" s="150">
        <v>0</v>
      </c>
      <c r="AH79" s="142">
        <v>0</v>
      </c>
      <c r="AI79" s="142">
        <v>0</v>
      </c>
      <c r="AJ79" s="142">
        <v>1</v>
      </c>
      <c r="AK79" s="142">
        <v>0</v>
      </c>
      <c r="AL79" s="142">
        <v>0</v>
      </c>
      <c r="AM79" s="140">
        <f t="shared" si="1"/>
        <v>1</v>
      </c>
      <c r="AN79" s="143" t="s">
        <v>975</v>
      </c>
      <c r="AO79" s="143"/>
      <c r="AP79" s="143"/>
    </row>
    <row r="80" spans="1:42" ht="62">
      <c r="B80" s="134" t="s">
        <v>179</v>
      </c>
      <c r="C80" s="135" t="s">
        <v>32</v>
      </c>
      <c r="D80" s="135">
        <v>16</v>
      </c>
      <c r="E80" s="135" t="s">
        <v>32</v>
      </c>
      <c r="F80" s="135">
        <v>14</v>
      </c>
      <c r="G80" s="136">
        <v>29</v>
      </c>
      <c r="H80" s="136">
        <v>74</v>
      </c>
      <c r="I80" s="136">
        <v>2014</v>
      </c>
      <c r="J80" s="171" t="s">
        <v>851</v>
      </c>
      <c r="K80" s="168" t="s">
        <v>963</v>
      </c>
      <c r="L80" s="142" t="s">
        <v>976</v>
      </c>
      <c r="M80" s="142">
        <v>2019</v>
      </c>
      <c r="N80" s="142">
        <v>4</v>
      </c>
      <c r="O80" s="142" t="s">
        <v>188</v>
      </c>
      <c r="P80" s="142" t="s">
        <v>43</v>
      </c>
      <c r="R80" s="142" t="s">
        <v>30</v>
      </c>
      <c r="S80" s="142" t="s">
        <v>30</v>
      </c>
      <c r="T80" s="142" t="s">
        <v>181</v>
      </c>
      <c r="U80" s="25" t="s">
        <v>101</v>
      </c>
      <c r="V80" s="25">
        <v>33</v>
      </c>
      <c r="W80" s="142">
        <v>0</v>
      </c>
      <c r="X80" s="140">
        <v>1</v>
      </c>
      <c r="Y80" s="142">
        <v>0</v>
      </c>
      <c r="Z80" s="142">
        <v>1</v>
      </c>
      <c r="AA80" s="142">
        <v>1</v>
      </c>
      <c r="AC80" s="150">
        <v>0</v>
      </c>
      <c r="AD80" s="150">
        <v>0</v>
      </c>
      <c r="AE80" s="150">
        <v>0</v>
      </c>
      <c r="AF80" s="150">
        <v>0</v>
      </c>
      <c r="AG80" s="150">
        <v>0</v>
      </c>
      <c r="AH80" s="142">
        <v>0</v>
      </c>
      <c r="AI80" s="142">
        <v>0</v>
      </c>
      <c r="AJ80" s="142">
        <v>0</v>
      </c>
      <c r="AK80" s="142">
        <v>1</v>
      </c>
      <c r="AL80" s="142">
        <v>0</v>
      </c>
      <c r="AM80" s="140">
        <f t="shared" si="1"/>
        <v>1</v>
      </c>
    </row>
    <row r="81" spans="1:42" ht="77.5">
      <c r="B81" s="134" t="s">
        <v>179</v>
      </c>
      <c r="C81" s="135" t="s">
        <v>32</v>
      </c>
      <c r="D81" s="135">
        <v>16</v>
      </c>
      <c r="E81" s="135" t="s">
        <v>32</v>
      </c>
      <c r="F81" s="135">
        <v>14</v>
      </c>
      <c r="G81" s="136">
        <v>29</v>
      </c>
      <c r="H81" s="136">
        <v>74</v>
      </c>
      <c r="I81" s="136">
        <v>2014</v>
      </c>
      <c r="J81" s="144"/>
      <c r="K81" s="144" t="s">
        <v>977</v>
      </c>
      <c r="L81" s="142" t="s">
        <v>978</v>
      </c>
      <c r="M81" s="142">
        <v>2018</v>
      </c>
      <c r="N81" s="142">
        <v>5</v>
      </c>
      <c r="O81" s="142" t="s">
        <v>189</v>
      </c>
      <c r="P81" s="142" t="s">
        <v>43</v>
      </c>
      <c r="R81" s="142" t="s">
        <v>39</v>
      </c>
      <c r="S81" s="142" t="s">
        <v>30</v>
      </c>
      <c r="T81" s="142" t="s">
        <v>185</v>
      </c>
      <c r="U81" s="25" t="s">
        <v>84</v>
      </c>
      <c r="V81" s="25">
        <v>68</v>
      </c>
      <c r="W81" s="142">
        <v>4</v>
      </c>
      <c r="X81" s="140">
        <v>11</v>
      </c>
      <c r="Y81" s="142">
        <v>2</v>
      </c>
      <c r="Z81" s="142">
        <v>9</v>
      </c>
      <c r="AA81" s="142">
        <v>3</v>
      </c>
      <c r="AC81" s="150">
        <v>1</v>
      </c>
      <c r="AD81" s="150">
        <v>0</v>
      </c>
      <c r="AE81" s="150">
        <v>0</v>
      </c>
      <c r="AF81" s="150">
        <v>1</v>
      </c>
      <c r="AG81" s="150">
        <v>0</v>
      </c>
      <c r="AH81" s="142">
        <v>1</v>
      </c>
      <c r="AI81" s="142">
        <v>2</v>
      </c>
      <c r="AJ81" s="142">
        <v>4</v>
      </c>
      <c r="AK81" s="142">
        <v>3</v>
      </c>
      <c r="AL81" s="142">
        <v>1</v>
      </c>
      <c r="AM81" s="140">
        <f t="shared" si="1"/>
        <v>11</v>
      </c>
      <c r="AP81" s="142">
        <v>3</v>
      </c>
    </row>
    <row r="82" spans="1:42">
      <c r="B82" s="134" t="s">
        <v>179</v>
      </c>
      <c r="C82" s="135" t="s">
        <v>32</v>
      </c>
      <c r="D82" s="135">
        <v>16</v>
      </c>
      <c r="E82" s="135" t="s">
        <v>32</v>
      </c>
      <c r="F82" s="135">
        <v>14</v>
      </c>
      <c r="G82" s="136">
        <v>29</v>
      </c>
      <c r="H82" s="136">
        <v>74</v>
      </c>
      <c r="I82" s="136">
        <v>2014</v>
      </c>
      <c r="J82" s="144"/>
      <c r="K82" s="144"/>
      <c r="L82" s="142" t="s">
        <v>979</v>
      </c>
      <c r="M82" s="142">
        <v>2017</v>
      </c>
      <c r="N82" s="142">
        <v>6</v>
      </c>
      <c r="O82" s="142" t="s">
        <v>980</v>
      </c>
      <c r="P82" s="142" t="s">
        <v>43</v>
      </c>
      <c r="R82" s="142" t="s">
        <v>30</v>
      </c>
      <c r="S82" s="142" t="s">
        <v>30</v>
      </c>
      <c r="T82" s="142" t="s">
        <v>183</v>
      </c>
      <c r="U82" s="25" t="s">
        <v>84</v>
      </c>
      <c r="V82" s="25">
        <v>101</v>
      </c>
      <c r="W82" s="142">
        <v>1</v>
      </c>
      <c r="X82" s="140">
        <v>2</v>
      </c>
      <c r="Y82" s="142">
        <v>0</v>
      </c>
      <c r="Z82" s="142">
        <v>2</v>
      </c>
      <c r="AA82" s="142">
        <v>0</v>
      </c>
      <c r="AC82" s="150">
        <v>0</v>
      </c>
      <c r="AD82" s="150">
        <v>0</v>
      </c>
      <c r="AE82" s="150">
        <v>0</v>
      </c>
      <c r="AF82" s="150">
        <v>0</v>
      </c>
      <c r="AG82" s="150">
        <v>0</v>
      </c>
      <c r="AH82" s="142">
        <v>0</v>
      </c>
      <c r="AI82" s="142">
        <v>1</v>
      </c>
      <c r="AJ82" s="142">
        <v>1</v>
      </c>
      <c r="AK82" s="142">
        <v>0</v>
      </c>
      <c r="AL82" s="142">
        <v>0</v>
      </c>
      <c r="AM82" s="140">
        <f>SUM(AH82:AL82)</f>
        <v>2</v>
      </c>
    </row>
    <row r="83" spans="1:42">
      <c r="B83" s="134" t="s">
        <v>179</v>
      </c>
      <c r="C83" s="135" t="s">
        <v>32</v>
      </c>
      <c r="D83" s="135">
        <v>16</v>
      </c>
      <c r="E83" s="135" t="s">
        <v>32</v>
      </c>
      <c r="F83" s="135">
        <v>14</v>
      </c>
      <c r="G83" s="136">
        <v>29</v>
      </c>
      <c r="H83" s="136">
        <v>74</v>
      </c>
      <c r="I83" s="136">
        <v>2014</v>
      </c>
      <c r="J83" s="144"/>
      <c r="K83" s="144"/>
      <c r="L83" s="155" t="s">
        <v>933</v>
      </c>
      <c r="M83" s="142">
        <v>2015</v>
      </c>
      <c r="N83" s="142">
        <v>6</v>
      </c>
      <c r="O83" s="142" t="s">
        <v>981</v>
      </c>
      <c r="P83" s="142" t="s">
        <v>43</v>
      </c>
      <c r="R83" s="142" t="s">
        <v>30</v>
      </c>
      <c r="S83" s="142" t="s">
        <v>30</v>
      </c>
      <c r="T83" s="142" t="s">
        <v>192</v>
      </c>
      <c r="U83" s="25" t="s">
        <v>84</v>
      </c>
      <c r="V83" s="25">
        <v>85</v>
      </c>
      <c r="W83" s="142">
        <v>12</v>
      </c>
      <c r="X83" s="140">
        <v>42</v>
      </c>
      <c r="Y83" s="142">
        <v>0</v>
      </c>
      <c r="Z83" s="142">
        <v>42</v>
      </c>
      <c r="AA83" s="142">
        <v>1</v>
      </c>
      <c r="AC83" s="150">
        <v>0</v>
      </c>
      <c r="AD83" s="150">
        <v>0</v>
      </c>
      <c r="AE83" s="150">
        <v>0</v>
      </c>
      <c r="AF83" s="150">
        <v>0</v>
      </c>
      <c r="AG83" s="150">
        <v>0</v>
      </c>
      <c r="AH83" s="142">
        <v>3</v>
      </c>
      <c r="AI83" s="142">
        <v>23</v>
      </c>
      <c r="AJ83" s="142">
        <v>4</v>
      </c>
      <c r="AK83" s="142">
        <v>2</v>
      </c>
      <c r="AL83" s="142">
        <v>10</v>
      </c>
      <c r="AM83" s="140">
        <f>SUM(AH83:AL83)</f>
        <v>42</v>
      </c>
      <c r="AN83" s="142">
        <v>0</v>
      </c>
      <c r="AO83" s="142">
        <v>0</v>
      </c>
      <c r="AP83" s="142">
        <v>0</v>
      </c>
    </row>
    <row r="84" spans="1:42">
      <c r="A84" s="142">
        <v>1</v>
      </c>
      <c r="B84" s="134" t="s">
        <v>982</v>
      </c>
      <c r="C84" s="135" t="s">
        <v>85</v>
      </c>
      <c r="D84" s="135" t="s">
        <v>85</v>
      </c>
      <c r="E84" s="135" t="s">
        <v>33</v>
      </c>
      <c r="F84" s="135" t="s">
        <v>33</v>
      </c>
      <c r="G84" s="136">
        <v>47</v>
      </c>
      <c r="H84" s="136">
        <v>74</v>
      </c>
      <c r="I84" s="136">
        <v>2013</v>
      </c>
      <c r="J84" s="144"/>
      <c r="K84" s="144"/>
      <c r="L84" s="142" t="s">
        <v>983</v>
      </c>
      <c r="M84" s="142">
        <v>2022</v>
      </c>
      <c r="N84" s="142">
        <v>1</v>
      </c>
      <c r="O84" s="142" t="s">
        <v>193</v>
      </c>
      <c r="P84" s="142" t="s">
        <v>43</v>
      </c>
      <c r="R84" s="142" t="s">
        <v>30</v>
      </c>
      <c r="S84" s="142" t="s">
        <v>30</v>
      </c>
      <c r="T84" s="142" t="s">
        <v>150</v>
      </c>
      <c r="U84" s="25" t="s">
        <v>101</v>
      </c>
      <c r="V84" s="25">
        <v>35</v>
      </c>
      <c r="W84" s="142">
        <v>1</v>
      </c>
      <c r="X84" s="140">
        <v>2</v>
      </c>
      <c r="Y84" s="142">
        <v>1</v>
      </c>
      <c r="Z84" s="142">
        <v>1</v>
      </c>
      <c r="AA84" s="142">
        <v>0</v>
      </c>
      <c r="AH84" s="142">
        <v>0</v>
      </c>
      <c r="AI84" s="142">
        <v>1</v>
      </c>
      <c r="AJ84" s="142">
        <v>0</v>
      </c>
      <c r="AK84" s="142">
        <v>1</v>
      </c>
      <c r="AL84" s="142">
        <v>0</v>
      </c>
      <c r="AM84" s="140">
        <f t="shared" si="1"/>
        <v>2</v>
      </c>
      <c r="AN84" s="142">
        <v>0</v>
      </c>
      <c r="AP84" s="142">
        <v>0</v>
      </c>
    </row>
    <row r="85" spans="1:42">
      <c r="A85" s="142">
        <v>1</v>
      </c>
      <c r="B85" s="134" t="s">
        <v>982</v>
      </c>
      <c r="C85" s="135" t="s">
        <v>85</v>
      </c>
      <c r="D85" s="135" t="s">
        <v>85</v>
      </c>
      <c r="E85" s="135" t="s">
        <v>33</v>
      </c>
      <c r="F85" s="135" t="s">
        <v>33</v>
      </c>
      <c r="G85" s="136">
        <v>47</v>
      </c>
      <c r="H85" s="136">
        <v>74</v>
      </c>
      <c r="I85" s="136">
        <v>2013</v>
      </c>
      <c r="J85" s="144"/>
      <c r="K85" s="144"/>
      <c r="L85" s="142" t="s">
        <v>984</v>
      </c>
      <c r="M85" s="142">
        <v>2021</v>
      </c>
      <c r="N85" s="142">
        <v>2</v>
      </c>
      <c r="O85" s="142" t="s">
        <v>194</v>
      </c>
      <c r="P85" s="142" t="s">
        <v>28</v>
      </c>
      <c r="R85" s="142" t="s">
        <v>30</v>
      </c>
      <c r="S85" s="142" t="s">
        <v>30</v>
      </c>
      <c r="T85" s="142" t="s">
        <v>985</v>
      </c>
      <c r="U85" s="25" t="s">
        <v>84</v>
      </c>
      <c r="V85" s="25">
        <v>42</v>
      </c>
      <c r="W85" s="142">
        <v>2</v>
      </c>
      <c r="X85" s="140">
        <v>5</v>
      </c>
      <c r="Y85" s="142">
        <v>3</v>
      </c>
      <c r="Z85" s="142">
        <v>2</v>
      </c>
      <c r="AA85" s="142">
        <v>1</v>
      </c>
      <c r="AH85" s="142">
        <v>1</v>
      </c>
      <c r="AI85" s="142">
        <v>4</v>
      </c>
      <c r="AJ85" s="142">
        <v>0</v>
      </c>
      <c r="AK85" s="142">
        <v>0</v>
      </c>
      <c r="AL85" s="142">
        <v>0</v>
      </c>
      <c r="AM85" s="140">
        <f t="shared" si="1"/>
        <v>5</v>
      </c>
      <c r="AN85" s="142">
        <v>0</v>
      </c>
      <c r="AP85" s="142">
        <v>0</v>
      </c>
    </row>
    <row r="86" spans="1:42">
      <c r="B86" s="134" t="s">
        <v>982</v>
      </c>
      <c r="C86" s="135" t="s">
        <v>85</v>
      </c>
      <c r="D86" s="135" t="s">
        <v>85</v>
      </c>
      <c r="E86" s="135" t="s">
        <v>33</v>
      </c>
      <c r="F86" s="135" t="s">
        <v>33</v>
      </c>
      <c r="G86" s="136">
        <v>47</v>
      </c>
      <c r="H86" s="136">
        <v>74</v>
      </c>
      <c r="I86" s="136">
        <v>2013</v>
      </c>
      <c r="J86" s="144"/>
      <c r="K86" s="144"/>
      <c r="L86" s="142" t="s">
        <v>986</v>
      </c>
      <c r="M86" s="142">
        <v>2020</v>
      </c>
      <c r="N86" s="142">
        <v>3</v>
      </c>
      <c r="O86" s="142" t="s">
        <v>195</v>
      </c>
      <c r="P86" s="142" t="s">
        <v>28</v>
      </c>
      <c r="R86" s="142" t="s">
        <v>30</v>
      </c>
      <c r="S86" s="142" t="s">
        <v>30</v>
      </c>
      <c r="T86" s="142" t="s">
        <v>985</v>
      </c>
      <c r="U86" s="25" t="s">
        <v>84</v>
      </c>
      <c r="V86" s="25">
        <v>42</v>
      </c>
      <c r="W86" s="142">
        <v>1</v>
      </c>
      <c r="X86" s="140">
        <v>1</v>
      </c>
      <c r="Y86" s="142">
        <v>0</v>
      </c>
      <c r="Z86" s="142">
        <v>1</v>
      </c>
      <c r="AA86" s="142">
        <v>1</v>
      </c>
      <c r="AC86" s="150">
        <v>0</v>
      </c>
      <c r="AD86" s="150">
        <v>0</v>
      </c>
      <c r="AE86" s="150">
        <v>0</v>
      </c>
      <c r="AF86" s="150">
        <v>0</v>
      </c>
      <c r="AG86" s="150">
        <v>0</v>
      </c>
      <c r="AH86" s="142">
        <v>0</v>
      </c>
      <c r="AI86" s="142">
        <v>1</v>
      </c>
      <c r="AJ86" s="142">
        <v>0</v>
      </c>
      <c r="AK86" s="142">
        <v>0</v>
      </c>
      <c r="AL86" s="142">
        <v>0</v>
      </c>
      <c r="AM86" s="140">
        <f t="shared" si="1"/>
        <v>1</v>
      </c>
      <c r="AN86" s="142">
        <v>0</v>
      </c>
      <c r="AP86" s="142">
        <v>0</v>
      </c>
    </row>
    <row r="87" spans="1:42">
      <c r="A87" s="142">
        <v>1</v>
      </c>
      <c r="B87" s="134" t="s">
        <v>982</v>
      </c>
      <c r="C87" s="135" t="s">
        <v>85</v>
      </c>
      <c r="D87" s="135" t="s">
        <v>85</v>
      </c>
      <c r="E87" s="135" t="s">
        <v>33</v>
      </c>
      <c r="F87" s="135" t="s">
        <v>33</v>
      </c>
      <c r="G87" s="136">
        <v>47</v>
      </c>
      <c r="H87" s="136">
        <v>74</v>
      </c>
      <c r="I87" s="136">
        <v>2013</v>
      </c>
      <c r="J87" s="144"/>
      <c r="K87" s="144"/>
      <c r="L87" s="142" t="s">
        <v>987</v>
      </c>
      <c r="M87" s="142">
        <v>2019</v>
      </c>
      <c r="N87" s="142">
        <v>4</v>
      </c>
      <c r="O87" s="142" t="s">
        <v>196</v>
      </c>
      <c r="P87" s="142" t="s">
        <v>28</v>
      </c>
      <c r="R87" s="142" t="s">
        <v>30</v>
      </c>
      <c r="S87" s="142" t="s">
        <v>30</v>
      </c>
      <c r="T87" s="142" t="s">
        <v>197</v>
      </c>
      <c r="U87" s="25" t="s">
        <v>84</v>
      </c>
      <c r="V87" s="25">
        <v>50</v>
      </c>
      <c r="W87" s="142">
        <v>1</v>
      </c>
      <c r="X87" s="140">
        <v>3</v>
      </c>
      <c r="Y87" s="142">
        <v>1</v>
      </c>
      <c r="Z87" s="142">
        <v>1</v>
      </c>
      <c r="AA87" s="142">
        <v>0</v>
      </c>
      <c r="AH87" s="142">
        <v>0</v>
      </c>
      <c r="AI87" s="142">
        <v>1</v>
      </c>
      <c r="AJ87" s="142">
        <v>1</v>
      </c>
      <c r="AK87" s="142">
        <v>1</v>
      </c>
      <c r="AL87" s="142">
        <v>0</v>
      </c>
      <c r="AM87" s="140">
        <f t="shared" si="1"/>
        <v>3</v>
      </c>
      <c r="AN87" s="142">
        <v>0</v>
      </c>
      <c r="AP87" s="142">
        <v>0</v>
      </c>
    </row>
    <row r="88" spans="1:42">
      <c r="A88" s="142">
        <v>1</v>
      </c>
      <c r="B88" s="134" t="s">
        <v>982</v>
      </c>
      <c r="C88" s="135" t="s">
        <v>85</v>
      </c>
      <c r="D88" s="135" t="s">
        <v>85</v>
      </c>
      <c r="E88" s="135" t="s">
        <v>33</v>
      </c>
      <c r="F88" s="135" t="s">
        <v>33</v>
      </c>
      <c r="G88" s="136">
        <v>47</v>
      </c>
      <c r="H88" s="136">
        <v>74</v>
      </c>
      <c r="I88" s="136">
        <v>2013</v>
      </c>
      <c r="J88" s="144"/>
      <c r="K88" s="144"/>
      <c r="L88" s="142" t="s">
        <v>988</v>
      </c>
      <c r="M88" s="142">
        <v>2018</v>
      </c>
      <c r="N88" s="142">
        <v>5</v>
      </c>
      <c r="O88" s="142" t="s">
        <v>989</v>
      </c>
      <c r="P88" s="142" t="s">
        <v>43</v>
      </c>
      <c r="R88" s="142" t="s">
        <v>30</v>
      </c>
      <c r="S88" s="142" t="s">
        <v>30</v>
      </c>
      <c r="T88" s="142" t="s">
        <v>199</v>
      </c>
      <c r="U88" s="25" t="s">
        <v>47</v>
      </c>
      <c r="V88" s="25">
        <v>10</v>
      </c>
      <c r="W88" s="142">
        <v>4</v>
      </c>
      <c r="X88" s="140">
        <v>6</v>
      </c>
      <c r="Y88" s="142">
        <v>3</v>
      </c>
      <c r="Z88" s="142">
        <v>3</v>
      </c>
      <c r="AA88" s="142">
        <v>0</v>
      </c>
      <c r="AH88" s="142">
        <v>0</v>
      </c>
      <c r="AI88" s="142">
        <v>4</v>
      </c>
      <c r="AJ88" s="142">
        <v>1</v>
      </c>
      <c r="AK88" s="142">
        <v>1</v>
      </c>
      <c r="AL88" s="142">
        <v>0</v>
      </c>
      <c r="AM88" s="140">
        <f t="shared" si="1"/>
        <v>6</v>
      </c>
      <c r="AN88" s="142">
        <v>0</v>
      </c>
      <c r="AP88" s="142">
        <v>0</v>
      </c>
    </row>
    <row r="89" spans="1:42">
      <c r="B89" s="134" t="s">
        <v>200</v>
      </c>
      <c r="C89" s="135" t="s">
        <v>85</v>
      </c>
      <c r="D89" s="135" t="s">
        <v>85</v>
      </c>
      <c r="E89" s="135" t="s">
        <v>33</v>
      </c>
      <c r="F89" s="135" t="s">
        <v>33</v>
      </c>
      <c r="G89" s="136">
        <v>9</v>
      </c>
      <c r="H89" s="136">
        <v>74</v>
      </c>
      <c r="I89" s="136">
        <v>2014</v>
      </c>
      <c r="J89" s="144"/>
      <c r="K89" s="144"/>
      <c r="L89" s="142" t="s">
        <v>990</v>
      </c>
      <c r="M89" s="142">
        <v>2022</v>
      </c>
      <c r="N89" s="142">
        <v>1</v>
      </c>
      <c r="O89" s="142" t="s">
        <v>991</v>
      </c>
      <c r="P89" s="142" t="s">
        <v>43</v>
      </c>
      <c r="R89" s="142" t="s">
        <v>39</v>
      </c>
      <c r="S89" s="142" t="s">
        <v>992</v>
      </c>
      <c r="T89" s="142" t="s">
        <v>201</v>
      </c>
      <c r="U89" s="25" t="s">
        <v>47</v>
      </c>
      <c r="V89" s="25">
        <v>19</v>
      </c>
      <c r="W89" s="142">
        <v>2</v>
      </c>
      <c r="X89" s="140">
        <v>7</v>
      </c>
      <c r="Y89" s="142">
        <v>7</v>
      </c>
      <c r="Z89" s="142">
        <v>0</v>
      </c>
      <c r="AA89" s="142">
        <v>4</v>
      </c>
      <c r="AC89" s="150">
        <v>0</v>
      </c>
      <c r="AD89" s="150">
        <v>1</v>
      </c>
      <c r="AE89" s="150">
        <v>6</v>
      </c>
      <c r="AF89" s="150">
        <v>0</v>
      </c>
      <c r="AG89" s="150">
        <v>0</v>
      </c>
      <c r="AH89" s="142">
        <v>0</v>
      </c>
      <c r="AI89" s="142">
        <v>1</v>
      </c>
      <c r="AJ89" s="142">
        <v>6</v>
      </c>
      <c r="AK89" s="142">
        <v>0</v>
      </c>
      <c r="AL89" s="142">
        <v>0</v>
      </c>
      <c r="AM89" s="140">
        <f t="shared" si="1"/>
        <v>7</v>
      </c>
      <c r="AN89" s="142">
        <v>0</v>
      </c>
      <c r="AP89" s="142">
        <v>0</v>
      </c>
    </row>
    <row r="90" spans="1:42">
      <c r="B90" s="134" t="s">
        <v>200</v>
      </c>
      <c r="C90" s="135" t="s">
        <v>85</v>
      </c>
      <c r="D90" s="135" t="s">
        <v>85</v>
      </c>
      <c r="E90" s="135" t="s">
        <v>33</v>
      </c>
      <c r="F90" s="135" t="s">
        <v>33</v>
      </c>
      <c r="G90" s="136">
        <v>9</v>
      </c>
      <c r="H90" s="136">
        <v>74</v>
      </c>
      <c r="I90" s="136">
        <v>2014</v>
      </c>
      <c r="J90" s="144"/>
      <c r="K90" s="144"/>
      <c r="L90" s="142" t="s">
        <v>993</v>
      </c>
      <c r="M90" s="142">
        <v>2021</v>
      </c>
      <c r="N90" s="142">
        <v>2</v>
      </c>
      <c r="O90" s="142" t="s">
        <v>202</v>
      </c>
      <c r="P90" s="142" t="s">
        <v>43</v>
      </c>
      <c r="R90" s="142" t="s">
        <v>39</v>
      </c>
      <c r="S90" s="142" t="s">
        <v>994</v>
      </c>
      <c r="T90" s="142" t="s">
        <v>203</v>
      </c>
      <c r="U90" s="25" t="s">
        <v>84</v>
      </c>
      <c r="V90" s="25">
        <v>44</v>
      </c>
      <c r="W90" s="142">
        <v>1</v>
      </c>
      <c r="X90" s="140">
        <v>2</v>
      </c>
      <c r="Y90" s="142">
        <v>2</v>
      </c>
      <c r="Z90" s="142">
        <v>0</v>
      </c>
      <c r="AA90" s="142">
        <v>1</v>
      </c>
      <c r="AC90" s="150">
        <v>1</v>
      </c>
      <c r="AD90" s="150">
        <v>0</v>
      </c>
      <c r="AE90" s="150">
        <v>0</v>
      </c>
      <c r="AF90" s="150">
        <v>1</v>
      </c>
      <c r="AG90" s="150">
        <v>0</v>
      </c>
      <c r="AH90" s="142">
        <v>1</v>
      </c>
      <c r="AI90" s="142">
        <v>0</v>
      </c>
      <c r="AJ90" s="142">
        <v>0</v>
      </c>
      <c r="AK90" s="142">
        <v>1</v>
      </c>
      <c r="AL90" s="142">
        <v>0</v>
      </c>
      <c r="AM90" s="140">
        <f t="shared" si="1"/>
        <v>2</v>
      </c>
      <c r="AN90" s="142">
        <v>0</v>
      </c>
      <c r="AP90" s="142">
        <v>0</v>
      </c>
    </row>
    <row r="91" spans="1:42">
      <c r="B91" s="134" t="s">
        <v>200</v>
      </c>
      <c r="C91" s="135" t="s">
        <v>85</v>
      </c>
      <c r="D91" s="135" t="s">
        <v>85</v>
      </c>
      <c r="E91" s="135" t="s">
        <v>33</v>
      </c>
      <c r="F91" s="135" t="s">
        <v>33</v>
      </c>
      <c r="G91" s="136">
        <v>9</v>
      </c>
      <c r="H91" s="136">
        <v>74</v>
      </c>
      <c r="I91" s="136">
        <v>2014</v>
      </c>
      <c r="J91" s="144"/>
      <c r="K91" s="144"/>
      <c r="L91" s="172" t="s">
        <v>995</v>
      </c>
      <c r="M91" s="142">
        <v>2020</v>
      </c>
      <c r="N91" s="142">
        <v>3</v>
      </c>
      <c r="O91" s="142" t="s">
        <v>204</v>
      </c>
      <c r="P91" s="142" t="s">
        <v>28</v>
      </c>
      <c r="R91" s="142" t="s">
        <v>30</v>
      </c>
      <c r="S91" s="142" t="s">
        <v>30</v>
      </c>
      <c r="T91" s="142" t="s">
        <v>996</v>
      </c>
      <c r="U91" s="25" t="s">
        <v>84</v>
      </c>
      <c r="V91" s="25">
        <v>56</v>
      </c>
      <c r="W91" s="142">
        <v>1</v>
      </c>
      <c r="X91" s="140">
        <v>3</v>
      </c>
      <c r="Y91" s="142">
        <v>2</v>
      </c>
      <c r="Z91" s="142">
        <v>1</v>
      </c>
      <c r="AA91" s="142">
        <v>0</v>
      </c>
      <c r="AC91" s="150">
        <v>0</v>
      </c>
      <c r="AD91" s="150">
        <v>0</v>
      </c>
      <c r="AE91" s="150">
        <v>0</v>
      </c>
      <c r="AF91" s="150">
        <v>2</v>
      </c>
      <c r="AG91" s="150">
        <v>0</v>
      </c>
      <c r="AH91" s="142">
        <v>0</v>
      </c>
      <c r="AI91" s="142">
        <v>1</v>
      </c>
      <c r="AJ91" s="142">
        <v>0</v>
      </c>
      <c r="AK91" s="142">
        <v>2</v>
      </c>
      <c r="AL91" s="142">
        <v>0</v>
      </c>
      <c r="AM91" s="140">
        <f t="shared" si="1"/>
        <v>3</v>
      </c>
      <c r="AN91" s="142">
        <v>0</v>
      </c>
      <c r="AP91" s="142">
        <v>0</v>
      </c>
    </row>
    <row r="92" spans="1:42" ht="31">
      <c r="B92" s="134" t="s">
        <v>200</v>
      </c>
      <c r="C92" s="135" t="s">
        <v>85</v>
      </c>
      <c r="D92" s="135" t="s">
        <v>85</v>
      </c>
      <c r="E92" s="135" t="s">
        <v>33</v>
      </c>
      <c r="F92" s="135" t="s">
        <v>33</v>
      </c>
      <c r="G92" s="136">
        <v>9</v>
      </c>
      <c r="H92" s="136">
        <v>74</v>
      </c>
      <c r="I92" s="136">
        <v>2014</v>
      </c>
      <c r="J92" s="144"/>
      <c r="K92" s="144"/>
      <c r="L92" s="144" t="s">
        <v>997</v>
      </c>
      <c r="M92" s="142">
        <v>2016</v>
      </c>
      <c r="N92" s="142">
        <v>5</v>
      </c>
      <c r="O92" s="142" t="s">
        <v>205</v>
      </c>
      <c r="P92" s="142" t="s">
        <v>43</v>
      </c>
      <c r="R92" s="142" t="s">
        <v>30</v>
      </c>
      <c r="S92" s="142" t="s">
        <v>30</v>
      </c>
      <c r="T92" s="142" t="s">
        <v>206</v>
      </c>
      <c r="U92" s="25" t="s">
        <v>47</v>
      </c>
      <c r="V92" s="25">
        <v>19</v>
      </c>
      <c r="W92" s="142">
        <v>9</v>
      </c>
      <c r="X92" s="140">
        <v>16</v>
      </c>
      <c r="Y92" s="142">
        <v>0</v>
      </c>
      <c r="Z92" s="142">
        <v>16</v>
      </c>
      <c r="AA92" s="142">
        <v>4</v>
      </c>
      <c r="AC92" s="150">
        <v>0</v>
      </c>
      <c r="AD92" s="150">
        <v>0</v>
      </c>
      <c r="AE92" s="150">
        <v>0</v>
      </c>
      <c r="AF92" s="150">
        <v>0</v>
      </c>
      <c r="AG92" s="150">
        <v>0</v>
      </c>
      <c r="AH92" s="142">
        <v>9</v>
      </c>
      <c r="AI92" s="142">
        <v>1</v>
      </c>
      <c r="AJ92" s="142">
        <v>1</v>
      </c>
      <c r="AK92" s="142">
        <v>1</v>
      </c>
      <c r="AL92" s="142">
        <v>4</v>
      </c>
      <c r="AM92" s="140">
        <f t="shared" si="1"/>
        <v>16</v>
      </c>
      <c r="AP92" s="142">
        <v>2</v>
      </c>
    </row>
    <row r="93" spans="1:42" ht="31">
      <c r="A93" s="142">
        <v>1</v>
      </c>
      <c r="B93" s="134" t="s">
        <v>200</v>
      </c>
      <c r="C93" s="135" t="s">
        <v>85</v>
      </c>
      <c r="D93" s="135" t="s">
        <v>85</v>
      </c>
      <c r="E93" s="135" t="s">
        <v>33</v>
      </c>
      <c r="F93" s="135" t="s">
        <v>33</v>
      </c>
      <c r="G93" s="136">
        <v>9</v>
      </c>
      <c r="H93" s="136">
        <v>74</v>
      </c>
      <c r="I93" s="136">
        <v>2014</v>
      </c>
      <c r="J93" s="144"/>
      <c r="K93" s="144"/>
      <c r="L93" s="144" t="s">
        <v>998</v>
      </c>
      <c r="M93" s="142">
        <v>2018</v>
      </c>
      <c r="N93" s="142">
        <v>5</v>
      </c>
      <c r="O93" s="142" t="s">
        <v>999</v>
      </c>
      <c r="P93" s="142" t="s">
        <v>28</v>
      </c>
      <c r="R93" s="142" t="s">
        <v>30</v>
      </c>
      <c r="S93" s="142" t="s">
        <v>30</v>
      </c>
      <c r="T93" s="142" t="s">
        <v>207</v>
      </c>
      <c r="U93" s="25" t="s">
        <v>84</v>
      </c>
      <c r="V93" s="25">
        <v>79</v>
      </c>
      <c r="W93" s="142">
        <v>5</v>
      </c>
      <c r="X93" s="140">
        <v>6</v>
      </c>
      <c r="Y93" s="142">
        <v>3</v>
      </c>
      <c r="Z93" s="142">
        <v>3</v>
      </c>
      <c r="AA93" s="142">
        <v>3</v>
      </c>
      <c r="AH93" s="142">
        <v>2</v>
      </c>
      <c r="AI93" s="142">
        <v>2</v>
      </c>
      <c r="AJ93" s="142">
        <v>0</v>
      </c>
      <c r="AK93" s="142">
        <v>0</v>
      </c>
      <c r="AL93" s="142">
        <v>2</v>
      </c>
      <c r="AM93" s="140">
        <f t="shared" si="1"/>
        <v>6</v>
      </c>
      <c r="AN93" s="142">
        <v>0</v>
      </c>
      <c r="AP93" s="142">
        <v>0</v>
      </c>
    </row>
    <row r="94" spans="1:42" ht="43.5">
      <c r="A94" s="142">
        <v>1</v>
      </c>
      <c r="B94" s="134" t="s">
        <v>200</v>
      </c>
      <c r="C94" s="135" t="s">
        <v>85</v>
      </c>
      <c r="D94" s="135" t="s">
        <v>85</v>
      </c>
      <c r="E94" s="135" t="s">
        <v>33</v>
      </c>
      <c r="F94" s="135" t="s">
        <v>33</v>
      </c>
      <c r="G94" s="136">
        <v>9</v>
      </c>
      <c r="H94" s="136">
        <v>74</v>
      </c>
      <c r="I94" s="136">
        <v>2014</v>
      </c>
      <c r="J94" s="144"/>
      <c r="K94" s="160" t="s">
        <v>1000</v>
      </c>
      <c r="L94" s="142" t="s">
        <v>1001</v>
      </c>
      <c r="M94" s="142">
        <v>2017</v>
      </c>
      <c r="N94" s="142">
        <v>6</v>
      </c>
      <c r="O94" s="142" t="s">
        <v>1002</v>
      </c>
      <c r="P94" s="142" t="s">
        <v>43</v>
      </c>
      <c r="R94" s="142" t="s">
        <v>54</v>
      </c>
      <c r="S94" s="142" t="s">
        <v>846</v>
      </c>
      <c r="T94" s="142" t="s">
        <v>996</v>
      </c>
      <c r="U94" s="25" t="s">
        <v>84</v>
      </c>
      <c r="V94" s="25">
        <v>56</v>
      </c>
      <c r="W94" s="142">
        <v>11</v>
      </c>
      <c r="X94" s="140">
        <v>35</v>
      </c>
      <c r="Y94" s="142">
        <v>30</v>
      </c>
      <c r="Z94" s="142">
        <v>5</v>
      </c>
      <c r="AA94" s="142">
        <v>8</v>
      </c>
      <c r="AC94" s="141"/>
      <c r="AD94" s="141"/>
      <c r="AE94" s="141"/>
      <c r="AF94" s="141"/>
      <c r="AG94" s="141"/>
      <c r="AH94" s="142">
        <v>12</v>
      </c>
      <c r="AI94" s="142">
        <v>10</v>
      </c>
      <c r="AJ94" s="142">
        <v>4</v>
      </c>
      <c r="AK94" s="142">
        <v>4</v>
      </c>
      <c r="AL94" s="142">
        <v>5</v>
      </c>
      <c r="AM94" s="140">
        <f t="shared" si="1"/>
        <v>35</v>
      </c>
      <c r="AN94" s="142" t="s">
        <v>1003</v>
      </c>
      <c r="AO94" s="142" t="s">
        <v>1004</v>
      </c>
      <c r="AP94" s="142" t="s">
        <v>1005</v>
      </c>
    </row>
    <row r="95" spans="1:42" s="25" customFormat="1">
      <c r="B95" s="134" t="s">
        <v>1006</v>
      </c>
      <c r="C95" s="136" t="s">
        <v>85</v>
      </c>
      <c r="D95" s="136" t="s">
        <v>85</v>
      </c>
      <c r="E95" s="136" t="s">
        <v>32</v>
      </c>
      <c r="F95" s="136">
        <v>41</v>
      </c>
      <c r="G95" s="136">
        <v>99</v>
      </c>
      <c r="H95" s="136">
        <v>99</v>
      </c>
      <c r="I95" s="136">
        <v>2022</v>
      </c>
      <c r="J95" s="136"/>
      <c r="K95" s="136"/>
      <c r="L95" s="154" t="s">
        <v>1007</v>
      </c>
      <c r="M95" s="25">
        <v>2022</v>
      </c>
      <c r="N95" s="25">
        <v>1</v>
      </c>
      <c r="O95" s="25" t="s">
        <v>209</v>
      </c>
      <c r="P95" s="25" t="s">
        <v>35</v>
      </c>
      <c r="R95" s="25" t="s">
        <v>156</v>
      </c>
      <c r="S95" s="25" t="s">
        <v>156</v>
      </c>
      <c r="T95" s="25" t="s">
        <v>210</v>
      </c>
      <c r="U95" s="25" t="s">
        <v>84</v>
      </c>
      <c r="V95" s="25">
        <v>110</v>
      </c>
      <c r="W95" s="25">
        <v>10</v>
      </c>
      <c r="X95" s="25">
        <v>20</v>
      </c>
      <c r="Y95" s="25">
        <v>20</v>
      </c>
      <c r="Z95" s="25">
        <v>0</v>
      </c>
      <c r="AA95" s="25">
        <v>12</v>
      </c>
      <c r="AC95" s="141">
        <v>16</v>
      </c>
      <c r="AD95" s="141">
        <v>0</v>
      </c>
      <c r="AE95" s="141">
        <v>0</v>
      </c>
      <c r="AF95" s="141">
        <v>0</v>
      </c>
      <c r="AG95" s="141">
        <v>4</v>
      </c>
      <c r="AH95" s="25">
        <v>16</v>
      </c>
      <c r="AI95" s="25">
        <v>0</v>
      </c>
      <c r="AJ95" s="25">
        <v>0</v>
      </c>
      <c r="AK95" s="25">
        <v>0</v>
      </c>
      <c r="AL95" s="25">
        <v>4</v>
      </c>
      <c r="AM95" s="25">
        <f t="shared" si="1"/>
        <v>20</v>
      </c>
      <c r="AN95" s="25" t="s">
        <v>1008</v>
      </c>
      <c r="AO95" s="25" t="s">
        <v>1009</v>
      </c>
      <c r="AP95" s="25" t="s">
        <v>1010</v>
      </c>
    </row>
    <row r="96" spans="1:42" s="25" customFormat="1">
      <c r="B96" s="134" t="s">
        <v>211</v>
      </c>
      <c r="C96" s="136" t="s">
        <v>33</v>
      </c>
      <c r="D96" s="136" t="s">
        <v>33</v>
      </c>
      <c r="E96" s="136" t="s">
        <v>85</v>
      </c>
      <c r="F96" s="136" t="s">
        <v>85</v>
      </c>
      <c r="G96" s="136">
        <v>68</v>
      </c>
      <c r="H96" s="136">
        <v>74</v>
      </c>
      <c r="I96" s="136">
        <v>2009</v>
      </c>
      <c r="J96" s="154" t="s">
        <v>1011</v>
      </c>
      <c r="K96" s="136"/>
      <c r="L96" s="136"/>
      <c r="M96" s="25">
        <v>2021</v>
      </c>
      <c r="N96" s="25">
        <v>2</v>
      </c>
      <c r="O96" s="173" t="s">
        <v>1012</v>
      </c>
      <c r="P96" s="25" t="s">
        <v>35</v>
      </c>
      <c r="R96" s="25" t="s">
        <v>30</v>
      </c>
      <c r="S96" s="25" t="s">
        <v>30</v>
      </c>
      <c r="T96" s="174" t="s">
        <v>213</v>
      </c>
      <c r="U96" s="25" t="s">
        <v>84</v>
      </c>
      <c r="V96" s="25">
        <v>88</v>
      </c>
      <c r="W96" s="25">
        <v>2</v>
      </c>
      <c r="X96" s="25">
        <v>3</v>
      </c>
      <c r="Y96" s="25">
        <v>2</v>
      </c>
      <c r="Z96" s="25">
        <v>1</v>
      </c>
      <c r="AA96" s="25">
        <v>1</v>
      </c>
      <c r="AC96" s="141">
        <v>0</v>
      </c>
      <c r="AD96" s="141">
        <v>0</v>
      </c>
      <c r="AE96" s="141">
        <v>1</v>
      </c>
      <c r="AF96" s="141">
        <v>0</v>
      </c>
      <c r="AG96" s="141">
        <v>1</v>
      </c>
      <c r="AH96" s="25">
        <v>0</v>
      </c>
      <c r="AI96" s="25">
        <v>1</v>
      </c>
      <c r="AJ96" s="25">
        <v>1</v>
      </c>
      <c r="AK96" s="25">
        <v>0</v>
      </c>
      <c r="AL96" s="25">
        <v>1</v>
      </c>
      <c r="AM96" s="25">
        <f t="shared" si="1"/>
        <v>3</v>
      </c>
    </row>
    <row r="97" spans="1:42" s="25" customFormat="1">
      <c r="B97" s="134" t="s">
        <v>211</v>
      </c>
      <c r="C97" s="136" t="s">
        <v>33</v>
      </c>
      <c r="D97" s="136" t="s">
        <v>33</v>
      </c>
      <c r="E97" s="136" t="s">
        <v>85</v>
      </c>
      <c r="F97" s="136" t="s">
        <v>85</v>
      </c>
      <c r="G97" s="136">
        <v>68</v>
      </c>
      <c r="H97" s="136">
        <v>74</v>
      </c>
      <c r="I97" s="136">
        <v>2009</v>
      </c>
      <c r="J97" s="136"/>
      <c r="K97" s="136"/>
      <c r="L97" s="136"/>
      <c r="M97" s="25">
        <v>2020</v>
      </c>
      <c r="N97" s="25">
        <v>3</v>
      </c>
      <c r="O97" s="173" t="s">
        <v>214</v>
      </c>
      <c r="P97" s="25" t="s">
        <v>35</v>
      </c>
      <c r="R97" s="25" t="s">
        <v>30</v>
      </c>
      <c r="S97" s="25" t="s">
        <v>30</v>
      </c>
      <c r="T97" s="174" t="s">
        <v>215</v>
      </c>
      <c r="U97" s="25" t="s">
        <v>37</v>
      </c>
      <c r="V97" s="25">
        <v>29</v>
      </c>
      <c r="W97" s="25">
        <v>10</v>
      </c>
      <c r="X97" s="25">
        <v>28</v>
      </c>
      <c r="Y97" s="25">
        <v>18</v>
      </c>
      <c r="Z97" s="25">
        <v>10</v>
      </c>
      <c r="AA97" s="25">
        <v>2</v>
      </c>
      <c r="AC97" s="141">
        <v>9</v>
      </c>
      <c r="AD97" s="141">
        <v>7</v>
      </c>
      <c r="AE97" s="141">
        <v>1</v>
      </c>
      <c r="AF97" s="141">
        <v>0</v>
      </c>
      <c r="AG97" s="141">
        <v>1</v>
      </c>
      <c r="AH97" s="25">
        <v>13</v>
      </c>
      <c r="AI97" s="25">
        <v>12</v>
      </c>
      <c r="AJ97" s="25">
        <v>1</v>
      </c>
      <c r="AK97" s="25">
        <v>1</v>
      </c>
      <c r="AL97" s="25">
        <v>1</v>
      </c>
      <c r="AM97" s="25">
        <f t="shared" si="1"/>
        <v>28</v>
      </c>
    </row>
    <row r="98" spans="1:42" s="25" customFormat="1">
      <c r="B98" s="134" t="s">
        <v>211</v>
      </c>
      <c r="C98" s="136" t="s">
        <v>33</v>
      </c>
      <c r="D98" s="136" t="s">
        <v>33</v>
      </c>
      <c r="E98" s="136" t="s">
        <v>85</v>
      </c>
      <c r="F98" s="136" t="s">
        <v>85</v>
      </c>
      <c r="G98" s="136">
        <v>68</v>
      </c>
      <c r="H98" s="136">
        <v>74</v>
      </c>
      <c r="I98" s="136">
        <v>2009</v>
      </c>
      <c r="J98" s="136"/>
      <c r="K98" s="136"/>
      <c r="L98" s="136"/>
      <c r="M98" s="25">
        <v>2020</v>
      </c>
      <c r="N98" s="25">
        <v>3</v>
      </c>
      <c r="O98" s="25" t="s">
        <v>216</v>
      </c>
      <c r="P98" s="25" t="s">
        <v>35</v>
      </c>
      <c r="R98" s="25" t="s">
        <v>30</v>
      </c>
      <c r="S98" s="25" t="s">
        <v>30</v>
      </c>
      <c r="T98" s="25" t="s">
        <v>217</v>
      </c>
      <c r="U98" s="25" t="s">
        <v>218</v>
      </c>
      <c r="V98" s="25">
        <v>3</v>
      </c>
      <c r="W98" s="25">
        <v>0</v>
      </c>
      <c r="X98" s="25">
        <v>3</v>
      </c>
      <c r="Y98" s="25">
        <v>0</v>
      </c>
      <c r="Z98" s="25">
        <v>3</v>
      </c>
      <c r="AA98" s="25">
        <v>1</v>
      </c>
      <c r="AC98" s="141">
        <v>0</v>
      </c>
      <c r="AD98" s="141">
        <v>0</v>
      </c>
      <c r="AE98" s="141">
        <v>0</v>
      </c>
      <c r="AF98" s="141">
        <v>0</v>
      </c>
      <c r="AG98" s="141">
        <v>0</v>
      </c>
      <c r="AH98" s="25">
        <v>3</v>
      </c>
      <c r="AI98" s="25">
        <v>0</v>
      </c>
      <c r="AJ98" s="25">
        <v>0</v>
      </c>
      <c r="AK98" s="25">
        <v>0</v>
      </c>
      <c r="AL98" s="25">
        <v>0</v>
      </c>
      <c r="AM98" s="25">
        <f>SUM(AH98:AL98)</f>
        <v>3</v>
      </c>
    </row>
    <row r="99" spans="1:42" s="25" customFormat="1">
      <c r="B99" s="134" t="s">
        <v>211</v>
      </c>
      <c r="C99" s="136" t="s">
        <v>33</v>
      </c>
      <c r="D99" s="136" t="s">
        <v>33</v>
      </c>
      <c r="E99" s="136" t="s">
        <v>85</v>
      </c>
      <c r="F99" s="136" t="s">
        <v>85</v>
      </c>
      <c r="G99" s="136">
        <v>68</v>
      </c>
      <c r="H99" s="136">
        <v>74</v>
      </c>
      <c r="I99" s="136">
        <v>2009</v>
      </c>
      <c r="J99" s="136"/>
      <c r="K99" s="136"/>
      <c r="L99" s="136"/>
      <c r="M99" s="25">
        <v>2019</v>
      </c>
      <c r="N99" s="25">
        <v>3</v>
      </c>
      <c r="O99" s="25" t="s">
        <v>1013</v>
      </c>
      <c r="P99" s="25" t="s">
        <v>35</v>
      </c>
      <c r="R99" s="25" t="s">
        <v>30</v>
      </c>
      <c r="S99" s="25" t="s">
        <v>30</v>
      </c>
      <c r="T99" s="25" t="s">
        <v>220</v>
      </c>
      <c r="U99" s="25" t="s">
        <v>84</v>
      </c>
      <c r="V99" s="25">
        <v>71</v>
      </c>
      <c r="W99" s="25">
        <v>1</v>
      </c>
      <c r="X99" s="25">
        <v>11</v>
      </c>
      <c r="Y99" s="25">
        <v>0</v>
      </c>
      <c r="Z99" s="25">
        <v>11</v>
      </c>
      <c r="AA99" s="25">
        <v>5</v>
      </c>
      <c r="AC99" s="141">
        <v>0</v>
      </c>
      <c r="AD99" s="141">
        <v>0</v>
      </c>
      <c r="AE99" s="141">
        <v>0</v>
      </c>
      <c r="AF99" s="141">
        <v>0</v>
      </c>
      <c r="AG99" s="141">
        <v>0</v>
      </c>
      <c r="AH99" s="25">
        <v>6</v>
      </c>
      <c r="AI99" s="25">
        <v>2</v>
      </c>
      <c r="AJ99" s="25">
        <v>2</v>
      </c>
      <c r="AK99" s="25">
        <v>0</v>
      </c>
      <c r="AL99" s="25">
        <v>1</v>
      </c>
      <c r="AM99" s="25">
        <f t="shared" si="1"/>
        <v>11</v>
      </c>
    </row>
    <row r="100" spans="1:42" s="25" customFormat="1">
      <c r="B100" s="134" t="s">
        <v>211</v>
      </c>
      <c r="C100" s="136" t="s">
        <v>33</v>
      </c>
      <c r="D100" s="136" t="s">
        <v>33</v>
      </c>
      <c r="E100" s="136" t="s">
        <v>85</v>
      </c>
      <c r="F100" s="136" t="s">
        <v>85</v>
      </c>
      <c r="G100" s="136">
        <v>68</v>
      </c>
      <c r="H100" s="136">
        <v>74</v>
      </c>
      <c r="I100" s="136">
        <v>2009</v>
      </c>
      <c r="J100" s="136"/>
      <c r="K100" s="136"/>
      <c r="L100" s="136"/>
      <c r="M100" s="25">
        <v>2018</v>
      </c>
      <c r="N100" s="25">
        <v>4</v>
      </c>
      <c r="O100" s="25" t="s">
        <v>221</v>
      </c>
      <c r="P100" s="25" t="s">
        <v>35</v>
      </c>
      <c r="R100" s="25" t="s">
        <v>30</v>
      </c>
      <c r="S100" s="25" t="s">
        <v>30</v>
      </c>
      <c r="T100" s="174" t="s">
        <v>215</v>
      </c>
      <c r="U100" s="25" t="s">
        <v>37</v>
      </c>
      <c r="V100" s="25">
        <v>29</v>
      </c>
      <c r="W100" s="25">
        <v>11</v>
      </c>
      <c r="X100" s="25">
        <v>68</v>
      </c>
      <c r="Y100" s="25">
        <v>15</v>
      </c>
      <c r="Z100" s="25">
        <v>53</v>
      </c>
      <c r="AA100" s="25">
        <v>17</v>
      </c>
      <c r="AC100" s="141">
        <v>1</v>
      </c>
      <c r="AD100" s="141">
        <v>10</v>
      </c>
      <c r="AE100" s="141">
        <v>3</v>
      </c>
      <c r="AF100" s="141">
        <v>1</v>
      </c>
      <c r="AG100" s="141">
        <v>0</v>
      </c>
      <c r="AH100" s="25">
        <v>10</v>
      </c>
      <c r="AI100" s="25">
        <v>34</v>
      </c>
      <c r="AJ100" s="25">
        <v>12</v>
      </c>
      <c r="AK100" s="25">
        <v>5</v>
      </c>
      <c r="AL100" s="25">
        <v>7</v>
      </c>
      <c r="AM100" s="25">
        <f t="shared" si="1"/>
        <v>68</v>
      </c>
    </row>
    <row r="101" spans="1:42" s="25" customFormat="1" ht="31">
      <c r="B101" s="134" t="s">
        <v>211</v>
      </c>
      <c r="C101" s="136" t="s">
        <v>33</v>
      </c>
      <c r="D101" s="136" t="s">
        <v>33</v>
      </c>
      <c r="E101" s="136" t="s">
        <v>85</v>
      </c>
      <c r="F101" s="136" t="s">
        <v>85</v>
      </c>
      <c r="G101" s="136">
        <v>68</v>
      </c>
      <c r="H101" s="136">
        <v>74</v>
      </c>
      <c r="I101" s="136">
        <v>2009</v>
      </c>
      <c r="J101" s="154" t="s">
        <v>1014</v>
      </c>
      <c r="K101" s="136" t="s">
        <v>1015</v>
      </c>
      <c r="L101" s="154" t="s">
        <v>1016</v>
      </c>
      <c r="M101" s="25">
        <v>2016</v>
      </c>
      <c r="N101" s="25">
        <v>5</v>
      </c>
      <c r="O101" s="175" t="s">
        <v>1017</v>
      </c>
      <c r="P101" s="25" t="s">
        <v>35</v>
      </c>
      <c r="R101" s="25" t="s">
        <v>30</v>
      </c>
      <c r="S101" s="25" t="s">
        <v>30</v>
      </c>
      <c r="T101" s="174" t="s">
        <v>1018</v>
      </c>
      <c r="U101" s="25" t="s">
        <v>101</v>
      </c>
      <c r="V101" s="25">
        <v>26</v>
      </c>
      <c r="W101" s="25">
        <v>3</v>
      </c>
      <c r="X101" s="25">
        <v>19</v>
      </c>
      <c r="Y101" s="25">
        <v>3</v>
      </c>
      <c r="Z101" s="25">
        <v>16</v>
      </c>
      <c r="AA101" s="25">
        <v>2</v>
      </c>
      <c r="AC101" s="141">
        <v>3</v>
      </c>
      <c r="AD101" s="141">
        <v>0</v>
      </c>
      <c r="AE101" s="141">
        <v>0</v>
      </c>
      <c r="AF101" s="141">
        <v>0</v>
      </c>
      <c r="AG101" s="141">
        <v>0</v>
      </c>
      <c r="AH101" s="25">
        <v>14</v>
      </c>
      <c r="AI101" s="25">
        <v>2</v>
      </c>
      <c r="AJ101" s="25">
        <v>1</v>
      </c>
      <c r="AK101" s="25">
        <v>0</v>
      </c>
      <c r="AL101" s="25">
        <v>2</v>
      </c>
      <c r="AM101" s="25">
        <f t="shared" si="1"/>
        <v>19</v>
      </c>
      <c r="AN101" s="25">
        <v>0</v>
      </c>
      <c r="AO101" s="25">
        <v>0</v>
      </c>
      <c r="AP101" s="25">
        <v>0</v>
      </c>
    </row>
    <row r="102" spans="1:42">
      <c r="B102" s="134" t="s">
        <v>223</v>
      </c>
      <c r="C102" s="176" t="s">
        <v>32</v>
      </c>
      <c r="D102" s="176">
        <v>33</v>
      </c>
      <c r="E102" s="176" t="s">
        <v>33</v>
      </c>
      <c r="F102" s="176" t="s">
        <v>33</v>
      </c>
      <c r="G102" s="136">
        <v>99</v>
      </c>
      <c r="H102" s="136">
        <v>99</v>
      </c>
      <c r="I102" s="136">
        <v>2020</v>
      </c>
      <c r="J102" s="144"/>
      <c r="K102" s="144"/>
      <c r="L102" s="142" t="s">
        <v>1019</v>
      </c>
      <c r="M102" s="142">
        <v>2022</v>
      </c>
      <c r="N102" s="142">
        <v>1</v>
      </c>
      <c r="O102" s="142" t="s">
        <v>224</v>
      </c>
      <c r="P102" s="142" t="s">
        <v>28</v>
      </c>
      <c r="R102" s="142" t="s">
        <v>225</v>
      </c>
      <c r="S102" s="142" t="s">
        <v>225</v>
      </c>
      <c r="T102" s="142" t="s">
        <v>226</v>
      </c>
      <c r="U102" s="25" t="s">
        <v>101</v>
      </c>
      <c r="V102" s="25">
        <v>28</v>
      </c>
      <c r="W102" s="142">
        <v>4</v>
      </c>
      <c r="X102" s="140">
        <v>7</v>
      </c>
      <c r="Y102" s="142">
        <v>5</v>
      </c>
      <c r="Z102" s="142">
        <v>2</v>
      </c>
      <c r="AA102" s="142">
        <v>2</v>
      </c>
      <c r="AC102" s="141">
        <v>1</v>
      </c>
      <c r="AD102" s="141">
        <v>2</v>
      </c>
      <c r="AE102" s="141">
        <v>0</v>
      </c>
      <c r="AF102" s="141">
        <v>2</v>
      </c>
      <c r="AG102" s="141">
        <v>0</v>
      </c>
      <c r="AH102" s="142">
        <v>1</v>
      </c>
      <c r="AI102" s="142">
        <v>4</v>
      </c>
      <c r="AJ102" s="142">
        <v>0</v>
      </c>
      <c r="AK102" s="142">
        <v>2</v>
      </c>
      <c r="AL102" s="142">
        <v>0</v>
      </c>
      <c r="AM102" s="140">
        <f t="shared" si="1"/>
        <v>7</v>
      </c>
    </row>
    <row r="103" spans="1:42">
      <c r="B103" s="134" t="s">
        <v>223</v>
      </c>
      <c r="C103" s="176" t="s">
        <v>32</v>
      </c>
      <c r="D103" s="176">
        <v>33</v>
      </c>
      <c r="E103" s="176" t="s">
        <v>33</v>
      </c>
      <c r="F103" s="176" t="s">
        <v>33</v>
      </c>
      <c r="G103" s="136">
        <v>99</v>
      </c>
      <c r="H103" s="136">
        <v>99</v>
      </c>
      <c r="I103" s="136">
        <v>2020</v>
      </c>
      <c r="J103" s="144"/>
      <c r="K103" s="144"/>
      <c r="L103" s="142" t="s">
        <v>1020</v>
      </c>
      <c r="M103" s="142">
        <v>2021</v>
      </c>
      <c r="N103" s="142">
        <v>2</v>
      </c>
      <c r="O103" s="142" t="s">
        <v>227</v>
      </c>
      <c r="P103" s="142" t="s">
        <v>35</v>
      </c>
      <c r="R103" s="142" t="s">
        <v>225</v>
      </c>
      <c r="S103" s="142" t="s">
        <v>225</v>
      </c>
      <c r="T103" s="142" t="s">
        <v>228</v>
      </c>
      <c r="U103" s="25" t="s">
        <v>84</v>
      </c>
      <c r="V103" s="25">
        <v>53</v>
      </c>
      <c r="W103" s="142">
        <v>2</v>
      </c>
      <c r="X103" s="140">
        <v>5</v>
      </c>
      <c r="Y103" s="142">
        <v>5</v>
      </c>
      <c r="Z103" s="142">
        <v>0</v>
      </c>
      <c r="AA103" s="142">
        <v>1</v>
      </c>
      <c r="AC103" s="141">
        <v>0</v>
      </c>
      <c r="AD103" s="141">
        <v>2</v>
      </c>
      <c r="AE103" s="141">
        <v>0</v>
      </c>
      <c r="AF103" s="141">
        <v>3</v>
      </c>
      <c r="AG103" s="141">
        <v>0</v>
      </c>
      <c r="AH103" s="142">
        <v>0</v>
      </c>
      <c r="AI103" s="142">
        <v>2</v>
      </c>
      <c r="AJ103" s="142">
        <v>0</v>
      </c>
      <c r="AK103" s="142">
        <v>3</v>
      </c>
      <c r="AL103" s="142">
        <v>0</v>
      </c>
      <c r="AM103" s="140">
        <f t="shared" si="1"/>
        <v>5</v>
      </c>
    </row>
    <row r="104" spans="1:42">
      <c r="A104" s="142">
        <v>1</v>
      </c>
      <c r="B104" s="134" t="s">
        <v>229</v>
      </c>
      <c r="C104" s="176" t="s">
        <v>32</v>
      </c>
      <c r="D104" s="135">
        <v>6</v>
      </c>
      <c r="E104" s="135" t="s">
        <v>32</v>
      </c>
      <c r="F104" s="135">
        <v>17</v>
      </c>
      <c r="G104" s="136">
        <v>82</v>
      </c>
      <c r="H104" s="136">
        <v>74</v>
      </c>
      <c r="I104" s="136">
        <v>2009</v>
      </c>
      <c r="J104" s="144"/>
      <c r="K104" s="144"/>
      <c r="L104" s="144"/>
      <c r="M104" s="142">
        <v>2022</v>
      </c>
      <c r="N104" s="142">
        <v>1</v>
      </c>
      <c r="O104" s="142" t="s">
        <v>230</v>
      </c>
      <c r="P104" s="142" t="s">
        <v>35</v>
      </c>
      <c r="R104" s="142" t="s">
        <v>225</v>
      </c>
      <c r="S104" s="142" t="s">
        <v>225</v>
      </c>
      <c r="T104" s="142" t="s">
        <v>231</v>
      </c>
      <c r="U104" s="25" t="s">
        <v>101</v>
      </c>
      <c r="V104" s="25">
        <v>35</v>
      </c>
      <c r="W104" s="142">
        <v>1</v>
      </c>
      <c r="X104" s="140">
        <v>9</v>
      </c>
      <c r="Y104" s="142">
        <v>8</v>
      </c>
      <c r="Z104" s="142">
        <v>1</v>
      </c>
      <c r="AA104" s="142">
        <v>3</v>
      </c>
      <c r="AC104" s="141"/>
      <c r="AD104" s="141"/>
      <c r="AE104" s="141"/>
      <c r="AF104" s="141"/>
      <c r="AG104" s="141"/>
      <c r="AH104" s="142">
        <v>2</v>
      </c>
      <c r="AI104" s="142">
        <v>2</v>
      </c>
      <c r="AJ104" s="142">
        <v>0</v>
      </c>
      <c r="AK104" s="142">
        <v>2</v>
      </c>
      <c r="AL104" s="142">
        <v>3</v>
      </c>
      <c r="AM104" s="140">
        <f t="shared" si="1"/>
        <v>9</v>
      </c>
    </row>
    <row r="105" spans="1:42">
      <c r="B105" s="134" t="s">
        <v>229</v>
      </c>
      <c r="C105" s="176" t="s">
        <v>32</v>
      </c>
      <c r="D105" s="135">
        <v>6</v>
      </c>
      <c r="E105" s="135" t="s">
        <v>32</v>
      </c>
      <c r="F105" s="135">
        <v>17</v>
      </c>
      <c r="G105" s="136">
        <v>82</v>
      </c>
      <c r="H105" s="136">
        <v>74</v>
      </c>
      <c r="I105" s="136">
        <v>2009</v>
      </c>
      <c r="J105" s="144"/>
      <c r="K105" s="177" t="s">
        <v>1021</v>
      </c>
      <c r="L105" s="170" t="s">
        <v>1022</v>
      </c>
      <c r="M105" s="142">
        <v>2022</v>
      </c>
      <c r="N105" s="142">
        <v>1</v>
      </c>
      <c r="O105" s="142" t="s">
        <v>232</v>
      </c>
      <c r="P105" s="142" t="s">
        <v>35</v>
      </c>
      <c r="R105" s="142" t="s">
        <v>225</v>
      </c>
      <c r="S105" s="142" t="s">
        <v>225</v>
      </c>
      <c r="T105" s="142" t="s">
        <v>233</v>
      </c>
      <c r="U105" s="25" t="s">
        <v>84</v>
      </c>
      <c r="V105" s="25">
        <v>96</v>
      </c>
      <c r="W105" s="142">
        <v>0</v>
      </c>
      <c r="X105" s="140">
        <v>0</v>
      </c>
      <c r="Y105" s="142">
        <v>0</v>
      </c>
      <c r="Z105" s="142">
        <v>0</v>
      </c>
      <c r="AA105" s="142">
        <v>0</v>
      </c>
      <c r="AC105" s="141">
        <v>0</v>
      </c>
      <c r="AD105" s="141">
        <v>0</v>
      </c>
      <c r="AE105" s="141">
        <v>0</v>
      </c>
      <c r="AF105" s="141">
        <v>0</v>
      </c>
      <c r="AG105" s="141">
        <v>0</v>
      </c>
      <c r="AH105" s="142">
        <v>0</v>
      </c>
      <c r="AI105" s="142">
        <v>0</v>
      </c>
      <c r="AJ105" s="142">
        <v>0</v>
      </c>
      <c r="AK105" s="142">
        <v>0</v>
      </c>
      <c r="AL105" s="142">
        <v>0</v>
      </c>
      <c r="AM105" s="140">
        <f t="shared" si="1"/>
        <v>0</v>
      </c>
    </row>
    <row r="106" spans="1:42">
      <c r="A106" s="142">
        <v>1</v>
      </c>
      <c r="B106" s="134" t="s">
        <v>229</v>
      </c>
      <c r="C106" s="176" t="s">
        <v>32</v>
      </c>
      <c r="D106" s="135">
        <v>6</v>
      </c>
      <c r="E106" s="135" t="s">
        <v>32</v>
      </c>
      <c r="F106" s="135">
        <v>17</v>
      </c>
      <c r="G106" s="136">
        <v>82</v>
      </c>
      <c r="H106" s="136">
        <v>74</v>
      </c>
      <c r="I106" s="136">
        <v>2009</v>
      </c>
      <c r="J106" s="144"/>
      <c r="K106" s="178"/>
      <c r="L106" s="170"/>
      <c r="M106" s="142">
        <v>2021</v>
      </c>
      <c r="N106" s="142">
        <v>2</v>
      </c>
      <c r="O106" s="142" t="s">
        <v>234</v>
      </c>
      <c r="P106" s="142" t="s">
        <v>28</v>
      </c>
      <c r="R106" s="142" t="s">
        <v>225</v>
      </c>
      <c r="S106" s="142" t="s">
        <v>225</v>
      </c>
      <c r="T106" s="142" t="s">
        <v>235</v>
      </c>
      <c r="U106" s="25" t="s">
        <v>84</v>
      </c>
      <c r="V106" s="25">
        <v>78</v>
      </c>
      <c r="W106" s="142">
        <v>1</v>
      </c>
      <c r="X106" s="140">
        <v>2</v>
      </c>
      <c r="Y106" s="142">
        <v>2</v>
      </c>
      <c r="Z106" s="142">
        <v>0</v>
      </c>
      <c r="AA106" s="142">
        <v>0</v>
      </c>
      <c r="AC106" s="141"/>
      <c r="AD106" s="141"/>
      <c r="AE106" s="141"/>
      <c r="AF106" s="141"/>
      <c r="AG106" s="141"/>
      <c r="AH106" s="142">
        <v>0</v>
      </c>
      <c r="AI106" s="142">
        <v>1</v>
      </c>
      <c r="AJ106" s="142">
        <v>0</v>
      </c>
      <c r="AK106" s="142">
        <v>0</v>
      </c>
      <c r="AL106" s="142">
        <v>1</v>
      </c>
      <c r="AM106" s="140">
        <f t="shared" si="1"/>
        <v>2</v>
      </c>
    </row>
    <row r="107" spans="1:42" s="179" customFormat="1">
      <c r="A107" s="142">
        <v>1</v>
      </c>
      <c r="B107" s="134" t="s">
        <v>229</v>
      </c>
      <c r="C107" s="176" t="s">
        <v>32</v>
      </c>
      <c r="D107" s="135">
        <v>6</v>
      </c>
      <c r="E107" s="135" t="s">
        <v>32</v>
      </c>
      <c r="F107" s="135">
        <v>17</v>
      </c>
      <c r="G107" s="136">
        <v>82</v>
      </c>
      <c r="H107" s="136">
        <v>74</v>
      </c>
      <c r="I107" s="136">
        <v>2009</v>
      </c>
      <c r="J107" s="155" t="s">
        <v>1023</v>
      </c>
      <c r="K107" s="154" t="s">
        <v>1024</v>
      </c>
      <c r="L107" s="139" t="s">
        <v>1025</v>
      </c>
      <c r="M107" s="25">
        <v>2021</v>
      </c>
      <c r="N107" s="25">
        <v>2</v>
      </c>
      <c r="O107" s="25" t="s">
        <v>236</v>
      </c>
      <c r="P107" s="25" t="s">
        <v>35</v>
      </c>
      <c r="Q107" s="25" t="s">
        <v>237</v>
      </c>
      <c r="R107" s="142" t="s">
        <v>54</v>
      </c>
      <c r="S107" s="25" t="s">
        <v>1026</v>
      </c>
      <c r="T107" s="25" t="s">
        <v>238</v>
      </c>
      <c r="U107" s="25"/>
      <c r="V107" s="25" t="s">
        <v>849</v>
      </c>
      <c r="W107" s="25">
        <v>4</v>
      </c>
      <c r="X107" s="140">
        <v>28</v>
      </c>
      <c r="Y107" s="25">
        <v>23</v>
      </c>
      <c r="Z107" s="25">
        <v>5</v>
      </c>
      <c r="AA107" s="25">
        <v>8</v>
      </c>
      <c r="AB107" s="25"/>
      <c r="AC107" s="150"/>
      <c r="AD107" s="150"/>
      <c r="AE107" s="150"/>
      <c r="AF107" s="150"/>
      <c r="AG107" s="150"/>
      <c r="AH107" s="25">
        <v>0</v>
      </c>
      <c r="AI107" s="25">
        <v>15</v>
      </c>
      <c r="AJ107" s="25">
        <v>2</v>
      </c>
      <c r="AK107" s="25">
        <v>2</v>
      </c>
      <c r="AL107" s="25">
        <v>9</v>
      </c>
      <c r="AM107" s="140">
        <f t="shared" si="1"/>
        <v>28</v>
      </c>
      <c r="AN107" s="25" t="s">
        <v>837</v>
      </c>
      <c r="AO107" s="25">
        <v>0</v>
      </c>
      <c r="AP107" s="25">
        <v>2</v>
      </c>
    </row>
    <row r="108" spans="1:42">
      <c r="A108" s="142">
        <v>1</v>
      </c>
      <c r="B108" s="134" t="s">
        <v>229</v>
      </c>
      <c r="C108" s="176" t="s">
        <v>32</v>
      </c>
      <c r="D108" s="135">
        <v>6</v>
      </c>
      <c r="E108" s="135" t="s">
        <v>32</v>
      </c>
      <c r="F108" s="135">
        <v>17</v>
      </c>
      <c r="G108" s="136">
        <v>82</v>
      </c>
      <c r="H108" s="136">
        <v>74</v>
      </c>
      <c r="I108" s="136">
        <v>2009</v>
      </c>
      <c r="J108" s="144"/>
      <c r="K108" s="177"/>
      <c r="L108" s="180" t="s">
        <v>1027</v>
      </c>
      <c r="M108" s="142">
        <v>2020</v>
      </c>
      <c r="N108" s="142">
        <v>3</v>
      </c>
      <c r="O108" s="142" t="s">
        <v>239</v>
      </c>
      <c r="P108" s="142" t="s">
        <v>28</v>
      </c>
      <c r="Q108" s="25"/>
      <c r="R108" s="142" t="s">
        <v>225</v>
      </c>
      <c r="S108" s="142" t="s">
        <v>225</v>
      </c>
      <c r="T108" s="142" t="s">
        <v>240</v>
      </c>
      <c r="U108" s="25" t="s">
        <v>84</v>
      </c>
      <c r="V108" s="25">
        <v>64</v>
      </c>
      <c r="W108" s="142">
        <v>1</v>
      </c>
      <c r="X108" s="140">
        <v>2</v>
      </c>
      <c r="Y108" s="142">
        <v>2</v>
      </c>
      <c r="Z108" s="142">
        <v>0</v>
      </c>
      <c r="AA108" s="142">
        <v>1</v>
      </c>
      <c r="AH108" s="142">
        <v>0</v>
      </c>
      <c r="AI108" s="142">
        <v>1</v>
      </c>
      <c r="AJ108" s="142">
        <v>1</v>
      </c>
      <c r="AK108" s="142">
        <v>0</v>
      </c>
      <c r="AL108" s="142">
        <v>0</v>
      </c>
      <c r="AM108" s="140">
        <f t="shared" si="1"/>
        <v>2</v>
      </c>
      <c r="AN108" s="142">
        <v>0</v>
      </c>
      <c r="AO108" s="142">
        <v>0</v>
      </c>
      <c r="AP108" s="142">
        <v>0</v>
      </c>
    </row>
    <row r="109" spans="1:42">
      <c r="A109" s="142">
        <v>1</v>
      </c>
      <c r="B109" s="134" t="s">
        <v>229</v>
      </c>
      <c r="C109" s="176" t="s">
        <v>32</v>
      </c>
      <c r="D109" s="135">
        <v>6</v>
      </c>
      <c r="E109" s="135" t="s">
        <v>32</v>
      </c>
      <c r="F109" s="135">
        <v>17</v>
      </c>
      <c r="G109" s="136">
        <v>82</v>
      </c>
      <c r="H109" s="136">
        <v>74</v>
      </c>
      <c r="I109" s="136">
        <v>2009</v>
      </c>
      <c r="J109" s="144"/>
      <c r="K109" s="177"/>
      <c r="L109" s="170" t="s">
        <v>1028</v>
      </c>
      <c r="M109" s="142">
        <v>2020</v>
      </c>
      <c r="N109" s="142">
        <v>3</v>
      </c>
      <c r="O109" s="142" t="s">
        <v>241</v>
      </c>
      <c r="P109" s="142" t="s">
        <v>35</v>
      </c>
      <c r="Q109" s="25"/>
      <c r="R109" s="142" t="s">
        <v>225</v>
      </c>
      <c r="S109" s="142" t="s">
        <v>225</v>
      </c>
      <c r="T109" s="142" t="s">
        <v>1029</v>
      </c>
      <c r="U109" s="25" t="s">
        <v>218</v>
      </c>
      <c r="V109" s="25">
        <v>18</v>
      </c>
      <c r="W109" s="142">
        <v>5</v>
      </c>
      <c r="X109" s="140">
        <v>11</v>
      </c>
      <c r="Y109" s="142">
        <v>5</v>
      </c>
      <c r="Z109" s="142">
        <v>6</v>
      </c>
      <c r="AA109" s="142">
        <v>1</v>
      </c>
      <c r="AH109" s="142">
        <v>0</v>
      </c>
      <c r="AI109" s="142">
        <v>9</v>
      </c>
      <c r="AJ109" s="142">
        <v>1</v>
      </c>
      <c r="AK109" s="142">
        <v>1</v>
      </c>
      <c r="AL109" s="142">
        <v>0</v>
      </c>
      <c r="AM109" s="140">
        <f t="shared" si="1"/>
        <v>11</v>
      </c>
    </row>
    <row r="110" spans="1:42">
      <c r="A110" s="142">
        <v>1</v>
      </c>
      <c r="B110" s="134" t="s">
        <v>229</v>
      </c>
      <c r="C110" s="176" t="s">
        <v>32</v>
      </c>
      <c r="D110" s="135">
        <v>6</v>
      </c>
      <c r="E110" s="135" t="s">
        <v>32</v>
      </c>
      <c r="F110" s="135">
        <v>17</v>
      </c>
      <c r="G110" s="136">
        <v>82</v>
      </c>
      <c r="H110" s="136">
        <v>74</v>
      </c>
      <c r="I110" s="136">
        <v>2009</v>
      </c>
      <c r="J110" s="144"/>
      <c r="K110" s="144"/>
      <c r="L110" s="177" t="s">
        <v>1030</v>
      </c>
      <c r="M110" s="142">
        <v>2018</v>
      </c>
      <c r="N110" s="142">
        <v>4</v>
      </c>
      <c r="O110" s="142" t="s">
        <v>242</v>
      </c>
      <c r="P110" s="142" t="s">
        <v>35</v>
      </c>
      <c r="Q110" s="25"/>
      <c r="R110" s="142" t="s">
        <v>225</v>
      </c>
      <c r="S110" s="142" t="s">
        <v>225</v>
      </c>
      <c r="T110" s="142" t="s">
        <v>1029</v>
      </c>
      <c r="U110" s="25" t="s">
        <v>218</v>
      </c>
      <c r="V110" s="25">
        <v>18</v>
      </c>
      <c r="W110" s="142">
        <v>6</v>
      </c>
      <c r="X110" s="140">
        <v>15</v>
      </c>
      <c r="Y110" s="142">
        <v>11</v>
      </c>
      <c r="Z110" s="142">
        <v>4</v>
      </c>
      <c r="AA110" s="142">
        <v>7</v>
      </c>
      <c r="AH110" s="142">
        <v>0</v>
      </c>
      <c r="AI110" s="142">
        <v>9</v>
      </c>
      <c r="AJ110" s="142">
        <v>3</v>
      </c>
      <c r="AK110" s="142">
        <v>1</v>
      </c>
      <c r="AL110" s="142">
        <v>2</v>
      </c>
      <c r="AM110" s="140">
        <f t="shared" si="1"/>
        <v>15</v>
      </c>
      <c r="AP110" s="142">
        <v>2</v>
      </c>
    </row>
    <row r="111" spans="1:42">
      <c r="A111" s="142">
        <v>1</v>
      </c>
      <c r="B111" s="134" t="s">
        <v>229</v>
      </c>
      <c r="C111" s="176" t="s">
        <v>32</v>
      </c>
      <c r="D111" s="135">
        <v>6</v>
      </c>
      <c r="E111" s="135" t="s">
        <v>32</v>
      </c>
      <c r="F111" s="135">
        <v>17</v>
      </c>
      <c r="G111" s="136">
        <v>82</v>
      </c>
      <c r="H111" s="136">
        <v>74</v>
      </c>
      <c r="I111" s="136">
        <v>2009</v>
      </c>
      <c r="J111" s="144"/>
      <c r="K111" s="144"/>
      <c r="L111" s="181" t="s">
        <v>1031</v>
      </c>
      <c r="M111" s="142">
        <v>2019</v>
      </c>
      <c r="N111" s="142">
        <v>4</v>
      </c>
      <c r="O111" s="142" t="s">
        <v>1032</v>
      </c>
      <c r="P111" s="142" t="s">
        <v>35</v>
      </c>
      <c r="Q111" s="25"/>
      <c r="R111" s="142" t="s">
        <v>225</v>
      </c>
      <c r="S111" s="142" t="s">
        <v>225</v>
      </c>
      <c r="T111" s="142" t="s">
        <v>1029</v>
      </c>
      <c r="U111" s="25" t="s">
        <v>218</v>
      </c>
      <c r="V111" s="25">
        <v>18</v>
      </c>
      <c r="W111" s="142">
        <v>3</v>
      </c>
      <c r="X111" s="140">
        <v>7</v>
      </c>
      <c r="Y111" s="142">
        <v>6</v>
      </c>
      <c r="Z111" s="142">
        <v>1</v>
      </c>
      <c r="AA111" s="142">
        <v>4</v>
      </c>
      <c r="AH111" s="142">
        <v>0</v>
      </c>
      <c r="AI111" s="142">
        <v>3</v>
      </c>
      <c r="AJ111" s="142">
        <v>4</v>
      </c>
      <c r="AK111" s="142">
        <v>0</v>
      </c>
      <c r="AL111" s="142">
        <v>0</v>
      </c>
      <c r="AM111" s="140">
        <f t="shared" si="1"/>
        <v>7</v>
      </c>
    </row>
    <row r="112" spans="1:42">
      <c r="B112" s="134" t="s">
        <v>229</v>
      </c>
      <c r="C112" s="176" t="s">
        <v>32</v>
      </c>
      <c r="D112" s="135">
        <v>6</v>
      </c>
      <c r="E112" s="135" t="s">
        <v>32</v>
      </c>
      <c r="F112" s="135">
        <v>17</v>
      </c>
      <c r="G112" s="136">
        <v>82</v>
      </c>
      <c r="H112" s="136">
        <v>74</v>
      </c>
      <c r="I112" s="136">
        <v>2009</v>
      </c>
      <c r="J112" s="144"/>
      <c r="K112" s="144"/>
      <c r="L112" s="170" t="s">
        <v>1033</v>
      </c>
      <c r="M112" s="142">
        <v>2017</v>
      </c>
      <c r="N112" s="142">
        <v>5</v>
      </c>
      <c r="O112" s="142" t="s">
        <v>244</v>
      </c>
      <c r="P112" s="142" t="s">
        <v>28</v>
      </c>
      <c r="Q112" s="25"/>
      <c r="R112" s="142" t="s">
        <v>30</v>
      </c>
      <c r="S112" s="142" t="s">
        <v>30</v>
      </c>
      <c r="T112" s="142" t="s">
        <v>245</v>
      </c>
      <c r="U112" s="25" t="s">
        <v>107</v>
      </c>
      <c r="V112" s="25" t="s">
        <v>1034</v>
      </c>
      <c r="W112" s="142">
        <v>7</v>
      </c>
      <c r="X112" s="140">
        <v>26</v>
      </c>
      <c r="Y112" s="142">
        <v>0</v>
      </c>
      <c r="Z112" s="142">
        <v>26</v>
      </c>
      <c r="AA112" s="142">
        <v>13</v>
      </c>
      <c r="AC112" s="150">
        <v>0</v>
      </c>
      <c r="AD112" s="150">
        <v>0</v>
      </c>
      <c r="AE112" s="150">
        <v>0</v>
      </c>
      <c r="AF112" s="150">
        <v>0</v>
      </c>
      <c r="AG112" s="150">
        <v>0</v>
      </c>
      <c r="AH112" s="142">
        <v>0</v>
      </c>
      <c r="AI112" s="142">
        <v>9</v>
      </c>
      <c r="AJ112" s="142">
        <v>3</v>
      </c>
      <c r="AK112" s="142">
        <v>11</v>
      </c>
      <c r="AL112" s="142">
        <v>3</v>
      </c>
      <c r="AM112" s="140">
        <f t="shared" si="1"/>
        <v>26</v>
      </c>
    </row>
    <row r="113" spans="1:39">
      <c r="A113" s="142">
        <v>1</v>
      </c>
      <c r="B113" s="134" t="s">
        <v>229</v>
      </c>
      <c r="C113" s="176" t="s">
        <v>32</v>
      </c>
      <c r="D113" s="135">
        <v>6</v>
      </c>
      <c r="E113" s="135" t="s">
        <v>32</v>
      </c>
      <c r="F113" s="135">
        <v>17</v>
      </c>
      <c r="G113" s="136">
        <v>82</v>
      </c>
      <c r="H113" s="136">
        <v>74</v>
      </c>
      <c r="I113" s="136">
        <v>2009</v>
      </c>
      <c r="J113" s="144"/>
      <c r="K113" s="144"/>
      <c r="L113" s="170" t="s">
        <v>1035</v>
      </c>
      <c r="M113" s="142">
        <v>2017</v>
      </c>
      <c r="N113" s="142">
        <v>6</v>
      </c>
      <c r="O113" s="142" t="s">
        <v>1036</v>
      </c>
      <c r="P113" s="142" t="s">
        <v>28</v>
      </c>
      <c r="Q113" s="142" t="s">
        <v>246</v>
      </c>
      <c r="R113" s="142" t="s">
        <v>54</v>
      </c>
      <c r="S113" s="142" t="s">
        <v>846</v>
      </c>
      <c r="T113" s="142" t="s">
        <v>247</v>
      </c>
      <c r="V113" s="25" t="s">
        <v>849</v>
      </c>
      <c r="W113" s="142">
        <v>10</v>
      </c>
      <c r="X113" s="140">
        <v>18</v>
      </c>
      <c r="Y113" s="142">
        <v>2</v>
      </c>
      <c r="Z113" s="142">
        <v>16</v>
      </c>
      <c r="AA113" s="142">
        <v>5</v>
      </c>
      <c r="AH113" s="142">
        <v>0</v>
      </c>
      <c r="AI113" s="142">
        <v>16</v>
      </c>
      <c r="AJ113" s="142">
        <v>1</v>
      </c>
      <c r="AK113" s="142">
        <v>1</v>
      </c>
      <c r="AL113" s="142">
        <v>0</v>
      </c>
      <c r="AM113" s="140">
        <f t="shared" si="1"/>
        <v>18</v>
      </c>
    </row>
    <row r="114" spans="1:39">
      <c r="A114" s="142">
        <v>1</v>
      </c>
      <c r="B114" s="134" t="s">
        <v>248</v>
      </c>
      <c r="C114" s="135" t="s">
        <v>85</v>
      </c>
      <c r="D114" s="135" t="s">
        <v>85</v>
      </c>
      <c r="E114" s="135" t="s">
        <v>85</v>
      </c>
      <c r="F114" s="135" t="s">
        <v>85</v>
      </c>
      <c r="G114" s="136">
        <v>85</v>
      </c>
      <c r="H114" s="136">
        <v>74</v>
      </c>
      <c r="I114" s="136">
        <v>2008</v>
      </c>
      <c r="J114" s="144"/>
      <c r="K114" s="144"/>
      <c r="L114" s="145" t="s">
        <v>1037</v>
      </c>
      <c r="M114" s="142">
        <v>2022</v>
      </c>
      <c r="N114" s="142">
        <v>1</v>
      </c>
      <c r="O114" s="142" t="s">
        <v>249</v>
      </c>
      <c r="P114" s="142" t="s">
        <v>28</v>
      </c>
      <c r="R114" s="142" t="s">
        <v>225</v>
      </c>
      <c r="S114" s="142" t="s">
        <v>225</v>
      </c>
      <c r="T114" s="142" t="s">
        <v>250</v>
      </c>
      <c r="U114" s="25" t="s">
        <v>84</v>
      </c>
      <c r="V114" s="25">
        <v>53</v>
      </c>
      <c r="W114" s="142">
        <v>1</v>
      </c>
      <c r="X114" s="140">
        <v>6</v>
      </c>
      <c r="Y114" s="142">
        <v>4</v>
      </c>
      <c r="Z114" s="142">
        <v>2</v>
      </c>
      <c r="AA114" s="142">
        <v>2</v>
      </c>
      <c r="AH114" s="142">
        <v>0</v>
      </c>
      <c r="AI114" s="142">
        <v>1</v>
      </c>
      <c r="AJ114" s="142">
        <v>4</v>
      </c>
      <c r="AK114" s="142">
        <v>1</v>
      </c>
      <c r="AL114" s="142">
        <v>0</v>
      </c>
      <c r="AM114" s="140">
        <f t="shared" si="1"/>
        <v>6</v>
      </c>
    </row>
    <row r="115" spans="1:39">
      <c r="A115" s="142">
        <v>1</v>
      </c>
      <c r="B115" s="134" t="s">
        <v>248</v>
      </c>
      <c r="C115" s="135" t="s">
        <v>85</v>
      </c>
      <c r="D115" s="135" t="s">
        <v>85</v>
      </c>
      <c r="E115" s="135" t="s">
        <v>85</v>
      </c>
      <c r="F115" s="135" t="s">
        <v>85</v>
      </c>
      <c r="G115" s="136">
        <v>85</v>
      </c>
      <c r="H115" s="136">
        <v>74</v>
      </c>
      <c r="I115" s="136">
        <v>2008</v>
      </c>
      <c r="J115" s="144"/>
      <c r="K115" s="144"/>
      <c r="L115" s="145" t="s">
        <v>1038</v>
      </c>
      <c r="M115" s="142">
        <v>2022</v>
      </c>
      <c r="N115" s="142">
        <v>1</v>
      </c>
      <c r="O115" s="142" t="s">
        <v>251</v>
      </c>
      <c r="P115" s="142" t="s">
        <v>35</v>
      </c>
      <c r="R115" s="142" t="s">
        <v>252</v>
      </c>
      <c r="S115" s="142" t="s">
        <v>252</v>
      </c>
      <c r="T115" s="142" t="s">
        <v>253</v>
      </c>
      <c r="V115" s="25" t="s">
        <v>849</v>
      </c>
      <c r="W115" s="142">
        <v>1</v>
      </c>
      <c r="X115" s="140">
        <v>2</v>
      </c>
      <c r="Y115" s="142">
        <v>2</v>
      </c>
      <c r="Z115" s="142">
        <v>0</v>
      </c>
      <c r="AA115" s="142">
        <v>0</v>
      </c>
      <c r="AH115" s="142">
        <v>0</v>
      </c>
      <c r="AI115" s="142">
        <v>0</v>
      </c>
      <c r="AJ115" s="142">
        <v>2</v>
      </c>
      <c r="AK115" s="142">
        <v>0</v>
      </c>
      <c r="AL115" s="142">
        <v>0</v>
      </c>
      <c r="AM115" s="140">
        <v>2</v>
      </c>
    </row>
    <row r="116" spans="1:39">
      <c r="A116" s="142">
        <v>1</v>
      </c>
      <c r="B116" s="134" t="s">
        <v>248</v>
      </c>
      <c r="C116" s="135" t="s">
        <v>85</v>
      </c>
      <c r="D116" s="135" t="s">
        <v>85</v>
      </c>
      <c r="E116" s="135" t="s">
        <v>85</v>
      </c>
      <c r="F116" s="135" t="s">
        <v>85</v>
      </c>
      <c r="G116" s="136">
        <v>85</v>
      </c>
      <c r="H116" s="136">
        <v>74</v>
      </c>
      <c r="I116" s="136">
        <v>2008</v>
      </c>
      <c r="J116" s="144"/>
      <c r="K116" s="144"/>
      <c r="L116" s="145" t="s">
        <v>1039</v>
      </c>
      <c r="M116" s="142">
        <v>2021</v>
      </c>
      <c r="N116" s="142">
        <v>2</v>
      </c>
      <c r="O116" s="142" t="s">
        <v>1040</v>
      </c>
      <c r="P116" s="142" t="s">
        <v>35</v>
      </c>
      <c r="R116" s="142" t="s">
        <v>225</v>
      </c>
      <c r="S116" s="142" t="s">
        <v>225</v>
      </c>
      <c r="T116" s="142" t="s">
        <v>150</v>
      </c>
      <c r="U116" s="25" t="s">
        <v>101</v>
      </c>
      <c r="V116" s="25">
        <v>35</v>
      </c>
      <c r="W116" s="142">
        <v>1</v>
      </c>
      <c r="X116" s="140">
        <v>6</v>
      </c>
      <c r="Y116" s="142">
        <v>4</v>
      </c>
      <c r="Z116" s="142">
        <v>2</v>
      </c>
      <c r="AA116" s="142">
        <v>3</v>
      </c>
      <c r="AH116" s="142">
        <v>0</v>
      </c>
      <c r="AI116" s="142">
        <v>3</v>
      </c>
      <c r="AJ116" s="142">
        <v>1</v>
      </c>
      <c r="AK116" s="142">
        <v>2</v>
      </c>
      <c r="AL116" s="142">
        <v>0</v>
      </c>
      <c r="AM116" s="140">
        <v>6</v>
      </c>
    </row>
    <row r="117" spans="1:39">
      <c r="B117" s="134" t="s">
        <v>248</v>
      </c>
      <c r="C117" s="135" t="s">
        <v>85</v>
      </c>
      <c r="D117" s="135" t="s">
        <v>85</v>
      </c>
      <c r="E117" s="135" t="s">
        <v>85</v>
      </c>
      <c r="F117" s="135" t="s">
        <v>85</v>
      </c>
      <c r="G117" s="136">
        <v>85</v>
      </c>
      <c r="H117" s="136">
        <v>74</v>
      </c>
      <c r="I117" s="136">
        <v>2008</v>
      </c>
      <c r="J117" s="144"/>
      <c r="K117" s="144"/>
      <c r="L117" s="145" t="s">
        <v>1041</v>
      </c>
      <c r="M117" s="142">
        <v>2020</v>
      </c>
      <c r="N117" s="142">
        <v>3</v>
      </c>
      <c r="O117" s="142" t="s">
        <v>255</v>
      </c>
      <c r="P117" s="142" t="s">
        <v>28</v>
      </c>
      <c r="R117" s="142" t="s">
        <v>225</v>
      </c>
      <c r="S117" s="142" t="s">
        <v>225</v>
      </c>
      <c r="T117" s="142" t="s">
        <v>1042</v>
      </c>
      <c r="U117" s="25" t="s">
        <v>101</v>
      </c>
      <c r="V117" s="25">
        <v>26</v>
      </c>
      <c r="W117" s="142">
        <v>2</v>
      </c>
      <c r="X117" s="140">
        <v>2</v>
      </c>
      <c r="Y117" s="142">
        <v>0</v>
      </c>
      <c r="Z117" s="142">
        <v>2</v>
      </c>
      <c r="AA117" s="142">
        <v>0</v>
      </c>
      <c r="AC117" s="150">
        <v>0</v>
      </c>
      <c r="AD117" s="150">
        <v>0</v>
      </c>
      <c r="AE117" s="150">
        <v>0</v>
      </c>
      <c r="AF117" s="150">
        <v>0</v>
      </c>
      <c r="AG117" s="150">
        <v>0</v>
      </c>
      <c r="AH117" s="142">
        <v>0</v>
      </c>
      <c r="AI117" s="142">
        <v>2</v>
      </c>
      <c r="AJ117" s="142">
        <v>0</v>
      </c>
      <c r="AK117" s="142">
        <v>0</v>
      </c>
      <c r="AL117" s="142">
        <v>0</v>
      </c>
      <c r="AM117" s="140">
        <v>2</v>
      </c>
    </row>
    <row r="118" spans="1:39">
      <c r="A118" s="142">
        <v>1</v>
      </c>
      <c r="B118" s="134" t="s">
        <v>248</v>
      </c>
      <c r="C118" s="135" t="s">
        <v>85</v>
      </c>
      <c r="D118" s="135" t="s">
        <v>85</v>
      </c>
      <c r="E118" s="135" t="s">
        <v>85</v>
      </c>
      <c r="F118" s="135" t="s">
        <v>85</v>
      </c>
      <c r="G118" s="136">
        <v>85</v>
      </c>
      <c r="H118" s="136">
        <v>74</v>
      </c>
      <c r="I118" s="136">
        <v>2008</v>
      </c>
      <c r="J118" s="144"/>
      <c r="K118" s="144"/>
      <c r="L118" s="145" t="s">
        <v>1043</v>
      </c>
      <c r="M118" s="142">
        <v>2020</v>
      </c>
      <c r="N118" s="142">
        <v>3</v>
      </c>
      <c r="O118" s="142" t="s">
        <v>256</v>
      </c>
      <c r="P118" s="142" t="s">
        <v>35</v>
      </c>
      <c r="R118" s="142" t="s">
        <v>252</v>
      </c>
      <c r="S118" s="142" t="s">
        <v>252</v>
      </c>
      <c r="T118" s="142" t="s">
        <v>257</v>
      </c>
      <c r="U118" s="25" t="s">
        <v>84</v>
      </c>
      <c r="V118" s="25">
        <v>124</v>
      </c>
      <c r="W118" s="142">
        <v>3</v>
      </c>
      <c r="X118" s="140">
        <v>21</v>
      </c>
      <c r="Y118" s="142">
        <v>2</v>
      </c>
      <c r="Z118" s="142">
        <v>19</v>
      </c>
      <c r="AA118" s="142">
        <v>8</v>
      </c>
      <c r="AH118" s="142">
        <v>0</v>
      </c>
      <c r="AI118" s="142">
        <v>8</v>
      </c>
      <c r="AJ118" s="142">
        <v>5</v>
      </c>
      <c r="AK118" s="142">
        <v>3</v>
      </c>
      <c r="AL118" s="142">
        <v>5</v>
      </c>
      <c r="AM118" s="140">
        <v>21</v>
      </c>
    </row>
    <row r="119" spans="1:39" s="165" customFormat="1" ht="31">
      <c r="A119" s="142">
        <v>1</v>
      </c>
      <c r="B119" s="134" t="s">
        <v>248</v>
      </c>
      <c r="C119" s="135" t="s">
        <v>85</v>
      </c>
      <c r="D119" s="135" t="s">
        <v>85</v>
      </c>
      <c r="E119" s="135" t="s">
        <v>85</v>
      </c>
      <c r="F119" s="135" t="s">
        <v>85</v>
      </c>
      <c r="G119" s="136">
        <v>85</v>
      </c>
      <c r="H119" s="136">
        <v>74</v>
      </c>
      <c r="I119" s="136">
        <v>2008</v>
      </c>
      <c r="J119" s="167"/>
      <c r="K119" s="167" t="s">
        <v>1044</v>
      </c>
      <c r="L119" s="182" t="s">
        <v>1045</v>
      </c>
      <c r="M119" s="165">
        <v>2019</v>
      </c>
      <c r="N119" s="165">
        <v>4</v>
      </c>
      <c r="O119" s="165" t="s">
        <v>258</v>
      </c>
      <c r="P119" s="165" t="s">
        <v>35</v>
      </c>
      <c r="R119" s="165" t="s">
        <v>225</v>
      </c>
      <c r="S119" s="165" t="s">
        <v>225</v>
      </c>
      <c r="T119" s="165" t="s">
        <v>966</v>
      </c>
      <c r="U119" s="25" t="s">
        <v>84</v>
      </c>
      <c r="V119" s="25">
        <v>56</v>
      </c>
      <c r="W119" s="165">
        <v>5</v>
      </c>
      <c r="X119" s="140">
        <v>16</v>
      </c>
      <c r="Y119" s="165">
        <v>3</v>
      </c>
      <c r="Z119" s="165">
        <v>13</v>
      </c>
      <c r="AA119" s="165">
        <v>11</v>
      </c>
      <c r="AC119" s="143">
        <v>1</v>
      </c>
      <c r="AD119" s="143"/>
      <c r="AE119" s="143"/>
      <c r="AF119" s="143"/>
      <c r="AG119" s="143"/>
      <c r="AH119" s="165">
        <v>1</v>
      </c>
      <c r="AI119" s="165">
        <v>3</v>
      </c>
      <c r="AJ119" s="165">
        <v>0</v>
      </c>
      <c r="AK119" s="165">
        <v>4</v>
      </c>
      <c r="AL119" s="165">
        <v>8</v>
      </c>
      <c r="AM119" s="140">
        <f t="shared" ref="AM119" si="2">SUM(AH119:AL119)</f>
        <v>16</v>
      </c>
    </row>
    <row r="120" spans="1:39">
      <c r="B120" s="134" t="s">
        <v>248</v>
      </c>
      <c r="C120" s="135" t="s">
        <v>85</v>
      </c>
      <c r="D120" s="135" t="s">
        <v>85</v>
      </c>
      <c r="E120" s="135" t="s">
        <v>85</v>
      </c>
      <c r="F120" s="135" t="s">
        <v>85</v>
      </c>
      <c r="G120" s="136">
        <v>85</v>
      </c>
      <c r="H120" s="136">
        <v>74</v>
      </c>
      <c r="I120" s="136">
        <v>2008</v>
      </c>
      <c r="J120" s="144"/>
      <c r="K120" s="144"/>
      <c r="L120" s="145" t="s">
        <v>1046</v>
      </c>
      <c r="M120" s="142">
        <v>2018</v>
      </c>
      <c r="N120" s="142">
        <v>5</v>
      </c>
      <c r="O120" s="142" t="s">
        <v>1047</v>
      </c>
      <c r="P120" s="142" t="s">
        <v>35</v>
      </c>
      <c r="R120" s="142" t="s">
        <v>225</v>
      </c>
      <c r="S120" s="142" t="s">
        <v>225</v>
      </c>
      <c r="T120" s="142" t="s">
        <v>259</v>
      </c>
      <c r="U120" s="25" t="s">
        <v>874</v>
      </c>
      <c r="V120" s="25" t="s">
        <v>874</v>
      </c>
      <c r="W120" s="142">
        <v>1</v>
      </c>
      <c r="X120" s="140">
        <v>14</v>
      </c>
      <c r="Y120" s="142">
        <v>0</v>
      </c>
      <c r="Z120" s="142">
        <v>14</v>
      </c>
      <c r="AA120" s="142">
        <v>8</v>
      </c>
      <c r="AC120" s="150">
        <v>0</v>
      </c>
      <c r="AD120" s="150">
        <v>0</v>
      </c>
      <c r="AE120" s="150">
        <v>0</v>
      </c>
      <c r="AF120" s="150">
        <v>0</v>
      </c>
      <c r="AG120" s="150">
        <v>0</v>
      </c>
      <c r="AH120" s="142">
        <v>0</v>
      </c>
      <c r="AI120" s="142">
        <v>6</v>
      </c>
      <c r="AJ120" s="142">
        <v>5</v>
      </c>
      <c r="AK120" s="142">
        <v>0</v>
      </c>
      <c r="AL120" s="142">
        <v>3</v>
      </c>
      <c r="AM120" s="140">
        <v>14</v>
      </c>
    </row>
    <row r="121" spans="1:39">
      <c r="B121" s="134" t="s">
        <v>248</v>
      </c>
      <c r="C121" s="135" t="s">
        <v>85</v>
      </c>
      <c r="D121" s="135" t="s">
        <v>85</v>
      </c>
      <c r="E121" s="135" t="s">
        <v>85</v>
      </c>
      <c r="F121" s="135" t="s">
        <v>85</v>
      </c>
      <c r="G121" s="136">
        <v>85</v>
      </c>
      <c r="H121" s="136">
        <v>74</v>
      </c>
      <c r="I121" s="136">
        <v>2008</v>
      </c>
      <c r="J121" s="144"/>
      <c r="K121" s="144"/>
      <c r="L121" s="145" t="s">
        <v>1048</v>
      </c>
      <c r="M121" s="142">
        <v>2018</v>
      </c>
      <c r="N121" s="142">
        <v>5</v>
      </c>
      <c r="O121" s="142" t="s">
        <v>1049</v>
      </c>
      <c r="P121" s="142" t="s">
        <v>28</v>
      </c>
      <c r="R121" s="142" t="s">
        <v>225</v>
      </c>
      <c r="S121" s="142" t="s">
        <v>225</v>
      </c>
      <c r="T121" s="142" t="s">
        <v>260</v>
      </c>
      <c r="U121" s="25" t="s">
        <v>874</v>
      </c>
      <c r="V121" s="25" t="s">
        <v>874</v>
      </c>
      <c r="W121" s="142">
        <v>1</v>
      </c>
      <c r="X121" s="140">
        <v>2</v>
      </c>
      <c r="Y121" s="142">
        <v>1</v>
      </c>
      <c r="Z121" s="142">
        <v>1</v>
      </c>
      <c r="AA121" s="142">
        <v>1</v>
      </c>
      <c r="AC121" s="150">
        <v>1</v>
      </c>
      <c r="AD121" s="150">
        <v>0</v>
      </c>
      <c r="AE121" s="150">
        <v>0</v>
      </c>
      <c r="AF121" s="150">
        <v>0</v>
      </c>
      <c r="AG121" s="150">
        <v>0</v>
      </c>
      <c r="AH121" s="142">
        <v>1</v>
      </c>
      <c r="AI121" s="142">
        <v>0</v>
      </c>
      <c r="AJ121" s="142">
        <v>0</v>
      </c>
      <c r="AK121" s="142">
        <v>0</v>
      </c>
      <c r="AL121" s="142">
        <v>1</v>
      </c>
      <c r="AM121" s="140">
        <v>2</v>
      </c>
    </row>
    <row r="122" spans="1:39">
      <c r="A122" s="142">
        <v>1</v>
      </c>
      <c r="B122" s="134" t="s">
        <v>248</v>
      </c>
      <c r="C122" s="135" t="s">
        <v>85</v>
      </c>
      <c r="D122" s="135" t="s">
        <v>85</v>
      </c>
      <c r="E122" s="135" t="s">
        <v>85</v>
      </c>
      <c r="F122" s="135" t="s">
        <v>85</v>
      </c>
      <c r="G122" s="136">
        <v>85</v>
      </c>
      <c r="H122" s="136">
        <v>74</v>
      </c>
      <c r="I122" s="136">
        <v>2008</v>
      </c>
      <c r="J122" s="144"/>
      <c r="K122" s="171" t="s">
        <v>1050</v>
      </c>
      <c r="L122" s="145" t="s">
        <v>1051</v>
      </c>
      <c r="M122" s="142">
        <v>2018</v>
      </c>
      <c r="N122" s="142" t="s">
        <v>32</v>
      </c>
      <c r="O122" s="142" t="s">
        <v>261</v>
      </c>
      <c r="P122" s="142" t="s">
        <v>28</v>
      </c>
      <c r="R122" s="142" t="s">
        <v>225</v>
      </c>
      <c r="S122" s="142" t="s">
        <v>225</v>
      </c>
      <c r="T122" s="142" t="s">
        <v>966</v>
      </c>
      <c r="U122" s="25" t="s">
        <v>84</v>
      </c>
      <c r="V122" s="25">
        <v>56</v>
      </c>
      <c r="W122" s="142">
        <v>5</v>
      </c>
      <c r="X122" s="140">
        <v>44</v>
      </c>
      <c r="Y122" s="142">
        <v>3</v>
      </c>
      <c r="Z122" s="142">
        <v>41</v>
      </c>
      <c r="AA122" s="142">
        <v>19</v>
      </c>
      <c r="AH122" s="142">
        <v>6</v>
      </c>
      <c r="AI122" s="142">
        <v>17</v>
      </c>
      <c r="AJ122" s="142">
        <v>2</v>
      </c>
      <c r="AK122" s="142">
        <v>10</v>
      </c>
      <c r="AL122" s="142">
        <v>9</v>
      </c>
      <c r="AM122" s="140">
        <v>44</v>
      </c>
    </row>
    <row r="123" spans="1:39">
      <c r="A123" s="142">
        <v>1</v>
      </c>
      <c r="B123" s="134" t="s">
        <v>262</v>
      </c>
      <c r="C123" s="176" t="s">
        <v>32</v>
      </c>
      <c r="D123" s="176">
        <v>8</v>
      </c>
      <c r="E123" s="176" t="s">
        <v>32</v>
      </c>
      <c r="F123" s="176">
        <v>13</v>
      </c>
      <c r="G123" s="136">
        <v>50</v>
      </c>
      <c r="H123" s="136">
        <v>74</v>
      </c>
      <c r="I123" s="136">
        <v>2011</v>
      </c>
      <c r="J123" s="144"/>
      <c r="K123" s="144"/>
      <c r="L123" s="170" t="s">
        <v>1052</v>
      </c>
      <c r="M123" s="142">
        <v>2022</v>
      </c>
      <c r="N123" s="142">
        <v>1</v>
      </c>
      <c r="O123" s="142" t="s">
        <v>263</v>
      </c>
      <c r="P123" s="142" t="s">
        <v>35</v>
      </c>
      <c r="R123" s="142" t="s">
        <v>225</v>
      </c>
      <c r="S123" s="142" t="s">
        <v>225</v>
      </c>
      <c r="T123" s="142" t="s">
        <v>264</v>
      </c>
      <c r="U123" s="25" t="s">
        <v>218</v>
      </c>
      <c r="V123" s="25">
        <v>13</v>
      </c>
      <c r="W123" s="142">
        <v>7</v>
      </c>
      <c r="X123" s="140">
        <v>25</v>
      </c>
      <c r="Y123" s="142">
        <v>20</v>
      </c>
      <c r="Z123" s="142">
        <v>5</v>
      </c>
      <c r="AA123" s="142">
        <v>3</v>
      </c>
      <c r="AH123" s="142">
        <v>0</v>
      </c>
      <c r="AI123" s="142">
        <v>22</v>
      </c>
      <c r="AJ123" s="142">
        <v>0</v>
      </c>
      <c r="AK123" s="142">
        <v>1</v>
      </c>
      <c r="AL123" s="142">
        <v>2</v>
      </c>
      <c r="AM123" s="140">
        <v>25</v>
      </c>
    </row>
    <row r="124" spans="1:39">
      <c r="A124" s="142">
        <v>1</v>
      </c>
      <c r="B124" s="134" t="s">
        <v>262</v>
      </c>
      <c r="C124" s="176" t="s">
        <v>32</v>
      </c>
      <c r="D124" s="176">
        <v>8</v>
      </c>
      <c r="E124" s="176" t="s">
        <v>32</v>
      </c>
      <c r="F124" s="176">
        <v>13</v>
      </c>
      <c r="G124" s="136">
        <v>50</v>
      </c>
      <c r="H124" s="136">
        <v>74</v>
      </c>
      <c r="I124" s="136">
        <v>2011</v>
      </c>
      <c r="J124" s="144"/>
      <c r="K124" s="144"/>
      <c r="L124" s="170" t="s">
        <v>1053</v>
      </c>
      <c r="M124" s="142">
        <v>2021</v>
      </c>
      <c r="N124" s="142">
        <v>2</v>
      </c>
      <c r="O124" s="142" t="s">
        <v>265</v>
      </c>
      <c r="P124" s="142" t="s">
        <v>28</v>
      </c>
      <c r="R124" s="142" t="s">
        <v>225</v>
      </c>
      <c r="S124" s="142" t="s">
        <v>225</v>
      </c>
      <c r="T124" s="142" t="s">
        <v>266</v>
      </c>
      <c r="U124" s="25" t="s">
        <v>218</v>
      </c>
      <c r="V124" s="25">
        <v>1</v>
      </c>
      <c r="W124" s="142">
        <v>8</v>
      </c>
      <c r="X124" s="140">
        <v>23</v>
      </c>
      <c r="Y124" s="142">
        <v>16</v>
      </c>
      <c r="Z124" s="142">
        <v>7</v>
      </c>
      <c r="AA124" s="142">
        <v>4</v>
      </c>
      <c r="AH124" s="142">
        <v>0</v>
      </c>
      <c r="AI124" s="142">
        <v>16</v>
      </c>
      <c r="AJ124" s="142">
        <v>4</v>
      </c>
      <c r="AK124" s="142">
        <v>3</v>
      </c>
      <c r="AL124" s="142">
        <v>0</v>
      </c>
      <c r="AM124" s="140">
        <v>23</v>
      </c>
    </row>
    <row r="125" spans="1:39">
      <c r="A125" s="142">
        <v>1</v>
      </c>
      <c r="B125" s="134" t="s">
        <v>262</v>
      </c>
      <c r="C125" s="176" t="s">
        <v>32</v>
      </c>
      <c r="D125" s="176">
        <v>8</v>
      </c>
      <c r="E125" s="176" t="s">
        <v>32</v>
      </c>
      <c r="F125" s="176">
        <v>13</v>
      </c>
      <c r="G125" s="136">
        <v>50</v>
      </c>
      <c r="H125" s="136">
        <v>74</v>
      </c>
      <c r="I125" s="136">
        <v>2011</v>
      </c>
      <c r="J125" s="144"/>
      <c r="K125" s="144"/>
      <c r="L125" s="170" t="s">
        <v>1054</v>
      </c>
      <c r="M125" s="142">
        <v>2020</v>
      </c>
      <c r="N125" s="142">
        <v>3</v>
      </c>
      <c r="O125" s="142" t="s">
        <v>267</v>
      </c>
      <c r="P125" s="142" t="s">
        <v>35</v>
      </c>
      <c r="R125" s="142" t="s">
        <v>225</v>
      </c>
      <c r="S125" s="142" t="s">
        <v>225</v>
      </c>
      <c r="T125" s="142" t="s">
        <v>264</v>
      </c>
      <c r="U125" s="25" t="s">
        <v>218</v>
      </c>
      <c r="V125" s="25">
        <v>13</v>
      </c>
      <c r="W125" s="142">
        <v>1</v>
      </c>
      <c r="X125" s="140">
        <v>6</v>
      </c>
      <c r="Y125" s="142">
        <v>1</v>
      </c>
      <c r="Z125" s="142">
        <v>5</v>
      </c>
      <c r="AA125" s="142">
        <v>4</v>
      </c>
      <c r="AH125" s="142">
        <v>0</v>
      </c>
      <c r="AI125" s="142">
        <v>4</v>
      </c>
      <c r="AJ125" s="142">
        <v>2</v>
      </c>
      <c r="AK125" s="142">
        <v>0</v>
      </c>
      <c r="AL125" s="142">
        <v>0</v>
      </c>
      <c r="AM125" s="140">
        <v>6</v>
      </c>
    </row>
    <row r="126" spans="1:39" s="165" customFormat="1">
      <c r="B126" s="134" t="s">
        <v>262</v>
      </c>
      <c r="C126" s="176" t="s">
        <v>32</v>
      </c>
      <c r="D126" s="176">
        <v>8</v>
      </c>
      <c r="E126" s="176" t="s">
        <v>32</v>
      </c>
      <c r="F126" s="176">
        <v>13</v>
      </c>
      <c r="G126" s="136">
        <v>50</v>
      </c>
      <c r="H126" s="136">
        <v>74</v>
      </c>
      <c r="I126" s="136">
        <v>2011</v>
      </c>
      <c r="J126" s="167"/>
      <c r="K126" s="167" t="s">
        <v>1055</v>
      </c>
      <c r="L126" s="183" t="s">
        <v>1056</v>
      </c>
      <c r="M126" s="165">
        <v>2019</v>
      </c>
      <c r="N126" s="165">
        <v>4</v>
      </c>
      <c r="O126" s="165" t="s">
        <v>268</v>
      </c>
      <c r="P126" s="165" t="s">
        <v>35</v>
      </c>
      <c r="R126" s="165" t="s">
        <v>225</v>
      </c>
      <c r="S126" s="165" t="s">
        <v>225</v>
      </c>
      <c r="T126" s="165" t="s">
        <v>959</v>
      </c>
      <c r="U126" s="25" t="s">
        <v>84</v>
      </c>
      <c r="V126" s="25">
        <v>42</v>
      </c>
      <c r="W126" s="165">
        <v>0</v>
      </c>
      <c r="X126" s="140">
        <v>1</v>
      </c>
      <c r="Y126" s="165">
        <v>0</v>
      </c>
      <c r="Z126" s="165">
        <v>1</v>
      </c>
      <c r="AA126" s="165">
        <v>0</v>
      </c>
      <c r="AC126" s="150">
        <v>0</v>
      </c>
      <c r="AD126" s="150">
        <v>0</v>
      </c>
      <c r="AE126" s="150">
        <v>0</v>
      </c>
      <c r="AF126" s="150">
        <v>0</v>
      </c>
      <c r="AG126" s="150">
        <v>0</v>
      </c>
      <c r="AH126" s="165">
        <v>0</v>
      </c>
      <c r="AI126" s="165">
        <v>0</v>
      </c>
      <c r="AJ126" s="165">
        <v>1</v>
      </c>
      <c r="AK126" s="165">
        <v>0</v>
      </c>
      <c r="AL126" s="165">
        <v>0</v>
      </c>
      <c r="AM126" s="140">
        <f t="shared" ref="AM126" si="3">SUM(AH126:AL126)</f>
        <v>1</v>
      </c>
    </row>
    <row r="127" spans="1:39">
      <c r="A127" s="142">
        <v>1</v>
      </c>
      <c r="B127" s="134" t="s">
        <v>262</v>
      </c>
      <c r="C127" s="176" t="s">
        <v>32</v>
      </c>
      <c r="D127" s="176">
        <v>8</v>
      </c>
      <c r="E127" s="176" t="s">
        <v>32</v>
      </c>
      <c r="F127" s="176">
        <v>13</v>
      </c>
      <c r="G127" s="136">
        <v>50</v>
      </c>
      <c r="H127" s="136">
        <v>74</v>
      </c>
      <c r="I127" s="136">
        <v>2011</v>
      </c>
      <c r="J127" s="144"/>
      <c r="K127" s="144"/>
      <c r="L127" s="181" t="s">
        <v>1057</v>
      </c>
      <c r="M127" s="142">
        <v>2017</v>
      </c>
      <c r="N127" s="142">
        <v>6</v>
      </c>
      <c r="O127" s="142" t="s">
        <v>1058</v>
      </c>
      <c r="P127" s="142" t="s">
        <v>35</v>
      </c>
      <c r="R127" s="142" t="s">
        <v>225</v>
      </c>
      <c r="S127" s="142" t="s">
        <v>225</v>
      </c>
      <c r="T127" s="142" t="s">
        <v>271</v>
      </c>
      <c r="U127" s="25" t="s">
        <v>218</v>
      </c>
      <c r="V127" s="25">
        <v>10</v>
      </c>
      <c r="W127" s="142">
        <v>7</v>
      </c>
      <c r="X127" s="140">
        <v>35</v>
      </c>
      <c r="Y127" s="142">
        <v>17</v>
      </c>
      <c r="Z127" s="142">
        <v>18</v>
      </c>
      <c r="AA127" s="142">
        <v>22</v>
      </c>
      <c r="AH127" s="142">
        <v>0</v>
      </c>
      <c r="AI127" s="142">
        <v>23</v>
      </c>
      <c r="AJ127" s="142">
        <v>9</v>
      </c>
      <c r="AK127" s="142">
        <v>2</v>
      </c>
      <c r="AL127" s="142">
        <v>1</v>
      </c>
      <c r="AM127" s="140">
        <v>35</v>
      </c>
    </row>
    <row r="128" spans="1:39" s="165" customFormat="1" ht="124">
      <c r="A128" s="142">
        <v>1</v>
      </c>
      <c r="B128" s="134" t="s">
        <v>262</v>
      </c>
      <c r="C128" s="176" t="s">
        <v>32</v>
      </c>
      <c r="D128" s="176">
        <v>8</v>
      </c>
      <c r="E128" s="176" t="s">
        <v>32</v>
      </c>
      <c r="F128" s="176">
        <v>13</v>
      </c>
      <c r="G128" s="136">
        <v>50</v>
      </c>
      <c r="H128" s="136">
        <v>74</v>
      </c>
      <c r="I128" s="136">
        <v>2011</v>
      </c>
      <c r="J128" s="167" t="s">
        <v>1059</v>
      </c>
      <c r="K128" s="167"/>
      <c r="L128" s="183" t="s">
        <v>1060</v>
      </c>
      <c r="M128" s="165">
        <v>2015</v>
      </c>
      <c r="N128" s="165">
        <v>6</v>
      </c>
      <c r="O128" s="165" t="s">
        <v>1061</v>
      </c>
      <c r="P128" s="165" t="s">
        <v>35</v>
      </c>
      <c r="R128" s="165" t="s">
        <v>225</v>
      </c>
      <c r="S128" s="165" t="s">
        <v>225</v>
      </c>
      <c r="T128" s="165" t="s">
        <v>264</v>
      </c>
      <c r="U128" s="25" t="s">
        <v>218</v>
      </c>
      <c r="V128" s="25">
        <v>13</v>
      </c>
      <c r="W128" s="165">
        <v>8</v>
      </c>
      <c r="X128" s="140">
        <v>21</v>
      </c>
      <c r="Y128" s="165">
        <v>4</v>
      </c>
      <c r="Z128" s="165">
        <v>17</v>
      </c>
      <c r="AA128" s="165">
        <v>8</v>
      </c>
      <c r="AC128" s="150"/>
      <c r="AD128" s="150"/>
      <c r="AE128" s="150"/>
      <c r="AF128" s="150"/>
      <c r="AG128" s="150"/>
      <c r="AH128" s="165">
        <v>0</v>
      </c>
      <c r="AI128" s="165">
        <v>15</v>
      </c>
      <c r="AJ128" s="165">
        <v>0</v>
      </c>
      <c r="AK128" s="165">
        <v>0</v>
      </c>
      <c r="AL128" s="165">
        <v>6</v>
      </c>
      <c r="AM128" s="140">
        <f t="shared" ref="AM128" si="4">SUM(AH128:AL128)</f>
        <v>21</v>
      </c>
    </row>
    <row r="129" spans="1:39">
      <c r="A129" s="142">
        <v>1</v>
      </c>
      <c r="B129" s="134" t="s">
        <v>275</v>
      </c>
      <c r="C129" s="176" t="s">
        <v>32</v>
      </c>
      <c r="D129" s="135">
        <v>5</v>
      </c>
      <c r="E129" s="176" t="s">
        <v>32</v>
      </c>
      <c r="F129" s="135">
        <v>4</v>
      </c>
      <c r="G129" s="136">
        <v>18</v>
      </c>
      <c r="H129" s="136">
        <v>74</v>
      </c>
      <c r="I129" s="136">
        <v>2019</v>
      </c>
      <c r="J129" s="177"/>
      <c r="K129" s="144"/>
      <c r="L129" s="170" t="s">
        <v>1062</v>
      </c>
      <c r="M129" s="142">
        <v>2022</v>
      </c>
      <c r="N129" s="142">
        <v>1</v>
      </c>
      <c r="O129" s="142" t="s">
        <v>276</v>
      </c>
      <c r="P129" s="142" t="s">
        <v>35</v>
      </c>
      <c r="R129" s="142" t="s">
        <v>30</v>
      </c>
      <c r="S129" s="142" t="s">
        <v>30</v>
      </c>
      <c r="T129" s="142" t="s">
        <v>277</v>
      </c>
      <c r="U129" s="25" t="s">
        <v>84</v>
      </c>
      <c r="V129" s="25">
        <v>74</v>
      </c>
      <c r="W129" s="142">
        <v>3</v>
      </c>
      <c r="X129" s="140">
        <v>9</v>
      </c>
      <c r="Y129" s="142">
        <v>6</v>
      </c>
      <c r="Z129" s="142">
        <v>3</v>
      </c>
      <c r="AA129" s="142">
        <v>6</v>
      </c>
      <c r="AH129" s="142">
        <v>2</v>
      </c>
      <c r="AI129" s="142">
        <v>1</v>
      </c>
      <c r="AJ129" s="142">
        <v>0</v>
      </c>
      <c r="AK129" s="142">
        <v>0</v>
      </c>
      <c r="AL129" s="142">
        <v>6</v>
      </c>
      <c r="AM129" s="140">
        <v>9</v>
      </c>
    </row>
    <row r="130" spans="1:39">
      <c r="B130" s="134" t="s">
        <v>275</v>
      </c>
      <c r="C130" s="176" t="s">
        <v>32</v>
      </c>
      <c r="D130" s="135">
        <v>5</v>
      </c>
      <c r="E130" s="176" t="s">
        <v>32</v>
      </c>
      <c r="F130" s="135">
        <v>4</v>
      </c>
      <c r="G130" s="136">
        <v>18</v>
      </c>
      <c r="H130" s="136">
        <v>74</v>
      </c>
      <c r="I130" s="136">
        <v>2019</v>
      </c>
      <c r="J130" s="177"/>
      <c r="K130" s="144"/>
      <c r="L130" s="170" t="s">
        <v>1063</v>
      </c>
      <c r="M130" s="142">
        <v>2021</v>
      </c>
      <c r="N130" s="142">
        <v>2</v>
      </c>
      <c r="O130" s="142" t="s">
        <v>1064</v>
      </c>
      <c r="P130" s="142" t="s">
        <v>28</v>
      </c>
      <c r="R130" s="142" t="s">
        <v>30</v>
      </c>
      <c r="S130" s="142" t="s">
        <v>30</v>
      </c>
      <c r="T130" s="142" t="s">
        <v>1029</v>
      </c>
      <c r="U130" s="25" t="s">
        <v>47</v>
      </c>
      <c r="V130" s="25">
        <v>18</v>
      </c>
      <c r="W130" s="142">
        <v>5</v>
      </c>
      <c r="X130" s="140">
        <v>8</v>
      </c>
      <c r="Y130" s="142">
        <v>8</v>
      </c>
      <c r="Z130" s="142">
        <v>0</v>
      </c>
      <c r="AA130" s="142">
        <v>3</v>
      </c>
      <c r="AC130" s="150">
        <v>0</v>
      </c>
      <c r="AD130" s="150">
        <v>4</v>
      </c>
      <c r="AE130" s="150">
        <v>1</v>
      </c>
      <c r="AF130" s="150">
        <v>1</v>
      </c>
      <c r="AG130" s="150">
        <v>3</v>
      </c>
      <c r="AH130" s="142">
        <v>0</v>
      </c>
      <c r="AI130" s="142">
        <v>4</v>
      </c>
      <c r="AJ130" s="142">
        <v>1</v>
      </c>
      <c r="AK130" s="142">
        <v>1</v>
      </c>
      <c r="AL130" s="142">
        <v>3</v>
      </c>
      <c r="AM130" s="140">
        <v>8</v>
      </c>
    </row>
    <row r="131" spans="1:39">
      <c r="A131" s="142">
        <v>1</v>
      </c>
      <c r="B131" s="134" t="s">
        <v>275</v>
      </c>
      <c r="C131" s="176" t="s">
        <v>32</v>
      </c>
      <c r="D131" s="135">
        <v>5</v>
      </c>
      <c r="E131" s="176" t="s">
        <v>32</v>
      </c>
      <c r="F131" s="135">
        <v>4</v>
      </c>
      <c r="G131" s="136">
        <v>18</v>
      </c>
      <c r="H131" s="136">
        <v>74</v>
      </c>
      <c r="I131" s="136">
        <v>2019</v>
      </c>
      <c r="J131" s="177"/>
      <c r="K131" s="144"/>
      <c r="L131" s="170" t="s">
        <v>1065</v>
      </c>
      <c r="M131" s="142">
        <v>2020</v>
      </c>
      <c r="N131" s="142">
        <v>3</v>
      </c>
      <c r="O131" s="142" t="s">
        <v>280</v>
      </c>
      <c r="P131" s="142" t="s">
        <v>28</v>
      </c>
      <c r="R131" s="142" t="s">
        <v>30</v>
      </c>
      <c r="S131" s="142" t="s">
        <v>30</v>
      </c>
      <c r="T131" s="142" t="s">
        <v>1066</v>
      </c>
      <c r="U131" s="25" t="s">
        <v>101</v>
      </c>
      <c r="V131" s="25">
        <v>25</v>
      </c>
      <c r="W131" s="142">
        <v>3</v>
      </c>
      <c r="X131" s="140">
        <v>6</v>
      </c>
      <c r="Y131" s="142">
        <v>4</v>
      </c>
      <c r="Z131" s="142">
        <v>2</v>
      </c>
      <c r="AA131" s="142">
        <v>1</v>
      </c>
      <c r="AH131" s="142">
        <v>0</v>
      </c>
      <c r="AI131" s="142">
        <v>5</v>
      </c>
      <c r="AJ131" s="142">
        <v>0</v>
      </c>
      <c r="AK131" s="142">
        <v>0</v>
      </c>
      <c r="AL131" s="142">
        <v>1</v>
      </c>
      <c r="AM131" s="140">
        <v>6</v>
      </c>
    </row>
    <row r="132" spans="1:39">
      <c r="A132" s="142">
        <v>1</v>
      </c>
      <c r="B132" s="134" t="s">
        <v>275</v>
      </c>
      <c r="C132" s="176" t="s">
        <v>32</v>
      </c>
      <c r="D132" s="135">
        <v>5</v>
      </c>
      <c r="E132" s="176" t="s">
        <v>32</v>
      </c>
      <c r="F132" s="135">
        <v>4</v>
      </c>
      <c r="G132" s="136">
        <v>18</v>
      </c>
      <c r="H132" s="136">
        <v>74</v>
      </c>
      <c r="I132" s="136">
        <v>2019</v>
      </c>
      <c r="J132" s="177"/>
      <c r="K132" s="144"/>
      <c r="L132" s="170" t="s">
        <v>1067</v>
      </c>
      <c r="M132" s="142">
        <v>2019</v>
      </c>
      <c r="N132" s="142">
        <v>4</v>
      </c>
      <c r="O132" s="142" t="s">
        <v>281</v>
      </c>
      <c r="P132" s="142" t="s">
        <v>28</v>
      </c>
      <c r="R132" s="142" t="s">
        <v>30</v>
      </c>
      <c r="S132" s="142" t="s">
        <v>30</v>
      </c>
      <c r="T132" s="142" t="s">
        <v>282</v>
      </c>
      <c r="U132" s="25" t="s">
        <v>218</v>
      </c>
      <c r="V132" s="25">
        <v>10</v>
      </c>
      <c r="W132" s="142">
        <v>3</v>
      </c>
      <c r="X132" s="140">
        <v>7</v>
      </c>
      <c r="Y132" s="142">
        <v>2</v>
      </c>
      <c r="Z132" s="142">
        <v>5</v>
      </c>
      <c r="AA132" s="142">
        <v>1</v>
      </c>
      <c r="AH132" s="142">
        <v>0</v>
      </c>
      <c r="AI132" s="142">
        <v>6</v>
      </c>
      <c r="AJ132" s="142">
        <v>1</v>
      </c>
      <c r="AK132" s="142">
        <v>0</v>
      </c>
      <c r="AL132" s="142">
        <v>0</v>
      </c>
      <c r="AM132" s="140">
        <v>7</v>
      </c>
    </row>
    <row r="133" spans="1:39">
      <c r="A133" s="142">
        <v>1</v>
      </c>
      <c r="B133" s="134" t="s">
        <v>283</v>
      </c>
      <c r="C133" s="176" t="s">
        <v>32</v>
      </c>
      <c r="D133" s="135">
        <v>36</v>
      </c>
      <c r="E133" s="176" t="s">
        <v>32</v>
      </c>
      <c r="F133" s="135">
        <v>35</v>
      </c>
      <c r="G133" s="136">
        <v>12</v>
      </c>
      <c r="H133" s="136">
        <v>74</v>
      </c>
      <c r="I133" s="136">
        <v>2020</v>
      </c>
      <c r="J133" s="144"/>
      <c r="K133" s="144"/>
      <c r="L133" s="170" t="s">
        <v>1068</v>
      </c>
      <c r="M133" s="142">
        <v>2022</v>
      </c>
      <c r="N133" s="142">
        <v>1</v>
      </c>
      <c r="O133" s="142" t="s">
        <v>1069</v>
      </c>
      <c r="P133" s="142" t="s">
        <v>28</v>
      </c>
      <c r="R133" s="142" t="s">
        <v>30</v>
      </c>
      <c r="S133" s="142" t="s">
        <v>30</v>
      </c>
      <c r="T133" s="142" t="s">
        <v>284</v>
      </c>
      <c r="U133" s="25" t="s">
        <v>84</v>
      </c>
      <c r="V133" s="25">
        <v>104</v>
      </c>
      <c r="W133" s="142">
        <v>2</v>
      </c>
      <c r="X133" s="140">
        <v>10</v>
      </c>
      <c r="Y133" s="142">
        <v>9</v>
      </c>
      <c r="Z133" s="142">
        <v>1</v>
      </c>
      <c r="AA133" s="142">
        <v>2</v>
      </c>
      <c r="AH133" s="142">
        <v>0</v>
      </c>
      <c r="AI133" s="142">
        <v>1</v>
      </c>
      <c r="AJ133" s="142">
        <v>6</v>
      </c>
      <c r="AK133" s="142">
        <v>0</v>
      </c>
      <c r="AL133" s="142">
        <v>3</v>
      </c>
      <c r="AM133" s="140">
        <v>10</v>
      </c>
    </row>
    <row r="134" spans="1:39">
      <c r="A134" s="142">
        <v>1</v>
      </c>
      <c r="B134" s="134" t="s">
        <v>283</v>
      </c>
      <c r="C134" s="176" t="s">
        <v>32</v>
      </c>
      <c r="D134" s="135">
        <v>36</v>
      </c>
      <c r="E134" s="176" t="s">
        <v>32</v>
      </c>
      <c r="F134" s="135">
        <v>35</v>
      </c>
      <c r="G134" s="136">
        <v>12</v>
      </c>
      <c r="H134" s="136">
        <v>74</v>
      </c>
      <c r="I134" s="136">
        <v>2020</v>
      </c>
      <c r="J134" s="144"/>
      <c r="K134" s="144"/>
      <c r="L134" s="170" t="s">
        <v>1070</v>
      </c>
      <c r="M134" s="142">
        <v>2021</v>
      </c>
      <c r="N134" s="142">
        <v>2</v>
      </c>
      <c r="O134" s="142" t="s">
        <v>285</v>
      </c>
      <c r="P134" s="142" t="s">
        <v>35</v>
      </c>
      <c r="R134" s="142" t="s">
        <v>54</v>
      </c>
      <c r="S134" s="142" t="s">
        <v>846</v>
      </c>
      <c r="T134" s="142" t="s">
        <v>217</v>
      </c>
      <c r="U134" s="25" t="s">
        <v>218</v>
      </c>
      <c r="V134" s="25">
        <v>3</v>
      </c>
      <c r="W134" s="142">
        <v>4</v>
      </c>
      <c r="X134" s="140">
        <v>20</v>
      </c>
      <c r="Y134" s="142">
        <v>18</v>
      </c>
      <c r="Z134" s="142">
        <v>2</v>
      </c>
      <c r="AA134" s="142">
        <v>5</v>
      </c>
      <c r="AH134" s="142">
        <v>6</v>
      </c>
      <c r="AI134" s="142">
        <v>13</v>
      </c>
      <c r="AJ134" s="142">
        <v>1</v>
      </c>
      <c r="AK134" s="142">
        <v>0</v>
      </c>
      <c r="AL134" s="142">
        <v>0</v>
      </c>
      <c r="AM134" s="140">
        <v>20</v>
      </c>
    </row>
    <row r="135" spans="1:39">
      <c r="B135" s="134" t="s">
        <v>283</v>
      </c>
      <c r="C135" s="176" t="s">
        <v>32</v>
      </c>
      <c r="D135" s="135">
        <v>36</v>
      </c>
      <c r="E135" s="176" t="s">
        <v>32</v>
      </c>
      <c r="F135" s="135">
        <v>35</v>
      </c>
      <c r="G135" s="136">
        <v>12</v>
      </c>
      <c r="H135" s="136">
        <v>74</v>
      </c>
      <c r="I135" s="136">
        <v>2020</v>
      </c>
      <c r="J135" s="144"/>
      <c r="K135" s="144"/>
      <c r="L135" s="170" t="s">
        <v>1071</v>
      </c>
      <c r="M135" s="142">
        <v>2019</v>
      </c>
      <c r="N135" s="142">
        <v>4</v>
      </c>
      <c r="O135" s="142" t="s">
        <v>286</v>
      </c>
      <c r="P135" s="142" t="s">
        <v>28</v>
      </c>
      <c r="R135" s="142" t="s">
        <v>30</v>
      </c>
      <c r="S135" s="142" t="s">
        <v>30</v>
      </c>
      <c r="T135" s="142" t="s">
        <v>1072</v>
      </c>
      <c r="U135" s="25" t="s">
        <v>101</v>
      </c>
      <c r="V135" s="25">
        <v>26</v>
      </c>
      <c r="W135" s="142">
        <v>0</v>
      </c>
      <c r="X135" s="140">
        <v>3</v>
      </c>
      <c r="Y135" s="142">
        <v>0</v>
      </c>
      <c r="Z135" s="142">
        <v>3</v>
      </c>
      <c r="AA135" s="142">
        <v>2</v>
      </c>
      <c r="AC135" s="150">
        <v>0</v>
      </c>
      <c r="AD135" s="150">
        <v>0</v>
      </c>
      <c r="AE135" s="150">
        <v>0</v>
      </c>
      <c r="AF135" s="150">
        <v>0</v>
      </c>
      <c r="AG135" s="150">
        <v>0</v>
      </c>
      <c r="AH135" s="142">
        <v>0</v>
      </c>
      <c r="AI135" s="142">
        <v>0</v>
      </c>
      <c r="AJ135" s="142">
        <v>3</v>
      </c>
      <c r="AK135" s="142">
        <v>0</v>
      </c>
      <c r="AL135" s="142">
        <v>0</v>
      </c>
      <c r="AM135" s="140">
        <v>3</v>
      </c>
    </row>
    <row r="136" spans="1:39">
      <c r="B136" s="134" t="s">
        <v>287</v>
      </c>
      <c r="C136" s="176" t="s">
        <v>32</v>
      </c>
      <c r="D136" s="135">
        <v>9</v>
      </c>
      <c r="E136" s="176" t="s">
        <v>32</v>
      </c>
      <c r="F136" s="135">
        <v>11</v>
      </c>
      <c r="G136" s="136">
        <v>91</v>
      </c>
      <c r="H136" s="136">
        <v>76</v>
      </c>
      <c r="I136" s="136">
        <v>2008</v>
      </c>
      <c r="J136" s="144"/>
      <c r="K136" s="144"/>
      <c r="L136" s="170" t="s">
        <v>1073</v>
      </c>
      <c r="M136" s="142">
        <v>2022</v>
      </c>
      <c r="N136" s="142">
        <v>1</v>
      </c>
      <c r="O136" s="142" t="s">
        <v>1074</v>
      </c>
      <c r="P136" s="142" t="s">
        <v>28</v>
      </c>
      <c r="R136" s="142" t="s">
        <v>30</v>
      </c>
      <c r="S136" s="142" t="s">
        <v>30</v>
      </c>
      <c r="T136" s="142" t="s">
        <v>288</v>
      </c>
      <c r="U136" s="25" t="s">
        <v>218</v>
      </c>
      <c r="V136" s="25">
        <v>4</v>
      </c>
      <c r="W136" s="142">
        <v>3</v>
      </c>
      <c r="X136" s="140">
        <v>4</v>
      </c>
      <c r="Y136" s="142">
        <v>4</v>
      </c>
      <c r="Z136" s="142">
        <v>0</v>
      </c>
      <c r="AA136" s="142">
        <v>2</v>
      </c>
      <c r="AC136" s="150">
        <v>0</v>
      </c>
      <c r="AD136" s="150">
        <v>2</v>
      </c>
      <c r="AE136" s="150">
        <v>0</v>
      </c>
      <c r="AF136" s="150">
        <v>1</v>
      </c>
      <c r="AG136" s="150">
        <v>1</v>
      </c>
      <c r="AH136" s="142">
        <v>0</v>
      </c>
      <c r="AI136" s="142">
        <v>2</v>
      </c>
      <c r="AJ136" s="142">
        <v>0</v>
      </c>
      <c r="AK136" s="142">
        <v>1</v>
      </c>
      <c r="AL136" s="142">
        <v>1</v>
      </c>
      <c r="AM136" s="140">
        <v>4</v>
      </c>
    </row>
    <row r="137" spans="1:39">
      <c r="B137" s="134" t="s">
        <v>287</v>
      </c>
      <c r="C137" s="176" t="s">
        <v>32</v>
      </c>
      <c r="D137" s="135">
        <v>9</v>
      </c>
      <c r="E137" s="176" t="s">
        <v>32</v>
      </c>
      <c r="F137" s="135">
        <v>11</v>
      </c>
      <c r="G137" s="136">
        <v>91</v>
      </c>
      <c r="H137" s="136">
        <v>76</v>
      </c>
      <c r="I137" s="136">
        <v>2008</v>
      </c>
      <c r="J137" s="144"/>
      <c r="K137" s="144"/>
      <c r="L137" s="170" t="s">
        <v>1075</v>
      </c>
      <c r="M137" s="142">
        <v>2022</v>
      </c>
      <c r="N137" s="142">
        <v>1</v>
      </c>
      <c r="O137" s="142" t="s">
        <v>1076</v>
      </c>
      <c r="P137" s="142" t="s">
        <v>35</v>
      </c>
      <c r="R137" s="142" t="s">
        <v>30</v>
      </c>
      <c r="S137" s="142" t="s">
        <v>30</v>
      </c>
      <c r="T137" s="142" t="s">
        <v>266</v>
      </c>
      <c r="U137" s="25" t="s">
        <v>218</v>
      </c>
      <c r="V137" s="25">
        <v>1</v>
      </c>
      <c r="W137" s="142">
        <v>2</v>
      </c>
      <c r="X137" s="140">
        <v>4</v>
      </c>
      <c r="Y137" s="142">
        <v>4</v>
      </c>
      <c r="Z137" s="142">
        <v>0</v>
      </c>
      <c r="AA137" s="142">
        <v>2</v>
      </c>
      <c r="AC137" s="150">
        <v>2</v>
      </c>
      <c r="AD137" s="150">
        <v>0</v>
      </c>
      <c r="AE137" s="150">
        <v>2</v>
      </c>
      <c r="AF137" s="150">
        <v>0</v>
      </c>
      <c r="AG137" s="150">
        <v>0</v>
      </c>
      <c r="AH137" s="142">
        <v>2</v>
      </c>
      <c r="AI137" s="142">
        <v>0</v>
      </c>
      <c r="AJ137" s="142">
        <v>2</v>
      </c>
      <c r="AK137" s="142">
        <v>0</v>
      </c>
      <c r="AL137" s="142">
        <v>0</v>
      </c>
      <c r="AM137" s="140">
        <v>4</v>
      </c>
    </row>
    <row r="138" spans="1:39">
      <c r="A138" s="142">
        <v>1</v>
      </c>
      <c r="B138" s="134" t="s">
        <v>287</v>
      </c>
      <c r="C138" s="176" t="s">
        <v>32</v>
      </c>
      <c r="D138" s="135">
        <v>9</v>
      </c>
      <c r="E138" s="176" t="s">
        <v>32</v>
      </c>
      <c r="F138" s="135">
        <v>11</v>
      </c>
      <c r="G138" s="136">
        <v>91</v>
      </c>
      <c r="H138" s="136">
        <v>76</v>
      </c>
      <c r="I138" s="136">
        <v>2008</v>
      </c>
      <c r="J138" s="171" t="s">
        <v>1077</v>
      </c>
      <c r="K138" s="144"/>
      <c r="L138" s="170" t="s">
        <v>1078</v>
      </c>
      <c r="M138" s="142">
        <v>2022</v>
      </c>
      <c r="N138" s="142">
        <v>1</v>
      </c>
      <c r="O138" s="142" t="s">
        <v>1079</v>
      </c>
      <c r="P138" s="142" t="s">
        <v>28</v>
      </c>
      <c r="R138" s="142" t="s">
        <v>30</v>
      </c>
      <c r="S138" s="142" t="s">
        <v>30</v>
      </c>
      <c r="T138" s="142" t="s">
        <v>291</v>
      </c>
      <c r="U138" s="25" t="s">
        <v>101</v>
      </c>
      <c r="V138" s="25">
        <v>26</v>
      </c>
      <c r="W138" s="142">
        <v>10</v>
      </c>
      <c r="X138" s="140">
        <v>18</v>
      </c>
      <c r="Y138" s="142">
        <v>17</v>
      </c>
      <c r="Z138" s="142">
        <v>1</v>
      </c>
      <c r="AA138" s="142">
        <v>5</v>
      </c>
      <c r="AH138" s="142">
        <v>11</v>
      </c>
      <c r="AI138" s="142">
        <v>2</v>
      </c>
      <c r="AJ138" s="142">
        <v>0</v>
      </c>
      <c r="AK138" s="142">
        <v>3</v>
      </c>
      <c r="AL138" s="142">
        <v>2</v>
      </c>
      <c r="AM138" s="140">
        <v>18</v>
      </c>
    </row>
    <row r="139" spans="1:39">
      <c r="A139" s="142">
        <v>1</v>
      </c>
      <c r="B139" s="134" t="s">
        <v>287</v>
      </c>
      <c r="C139" s="176" t="s">
        <v>32</v>
      </c>
      <c r="D139" s="135">
        <v>9</v>
      </c>
      <c r="E139" s="176" t="s">
        <v>32</v>
      </c>
      <c r="F139" s="135">
        <v>11</v>
      </c>
      <c r="G139" s="136">
        <v>91</v>
      </c>
      <c r="H139" s="136">
        <v>76</v>
      </c>
      <c r="I139" s="136">
        <v>2008</v>
      </c>
      <c r="J139" s="144"/>
      <c r="K139" s="144"/>
      <c r="L139" s="170" t="s">
        <v>1080</v>
      </c>
      <c r="M139" s="142">
        <v>2021</v>
      </c>
      <c r="N139" s="142">
        <v>2</v>
      </c>
      <c r="O139" s="142" t="s">
        <v>1081</v>
      </c>
      <c r="P139" s="142" t="s">
        <v>28</v>
      </c>
      <c r="R139" s="142" t="s">
        <v>30</v>
      </c>
      <c r="S139" s="142" t="s">
        <v>30</v>
      </c>
      <c r="T139" s="142" t="s">
        <v>55</v>
      </c>
      <c r="U139" s="25" t="s">
        <v>218</v>
      </c>
      <c r="V139" s="25">
        <v>5</v>
      </c>
      <c r="W139" s="142">
        <v>10</v>
      </c>
      <c r="X139" s="140">
        <v>41</v>
      </c>
      <c r="Y139" s="142">
        <v>32</v>
      </c>
      <c r="Z139" s="142">
        <v>9</v>
      </c>
      <c r="AA139" s="142">
        <v>12</v>
      </c>
      <c r="AH139" s="142">
        <v>5</v>
      </c>
      <c r="AI139" s="142">
        <v>26</v>
      </c>
      <c r="AJ139" s="142">
        <v>2</v>
      </c>
      <c r="AK139" s="142">
        <v>2</v>
      </c>
      <c r="AL139" s="142">
        <v>6</v>
      </c>
      <c r="AM139" s="140">
        <v>41</v>
      </c>
    </row>
    <row r="140" spans="1:39">
      <c r="B140" s="134" t="s">
        <v>287</v>
      </c>
      <c r="C140" s="176" t="s">
        <v>32</v>
      </c>
      <c r="D140" s="135">
        <v>9</v>
      </c>
      <c r="E140" s="176" t="s">
        <v>32</v>
      </c>
      <c r="F140" s="135">
        <v>11</v>
      </c>
      <c r="G140" s="136">
        <v>91</v>
      </c>
      <c r="H140" s="136">
        <v>76</v>
      </c>
      <c r="I140" s="136">
        <v>2008</v>
      </c>
      <c r="J140" s="144"/>
      <c r="K140" s="144"/>
      <c r="L140" s="170" t="s">
        <v>1082</v>
      </c>
      <c r="M140" s="142">
        <v>2021</v>
      </c>
      <c r="N140" s="142">
        <v>2</v>
      </c>
      <c r="O140" s="142" t="s">
        <v>1083</v>
      </c>
      <c r="P140" s="142" t="s">
        <v>35</v>
      </c>
      <c r="R140" s="142" t="s">
        <v>30</v>
      </c>
      <c r="S140" s="142" t="s">
        <v>30</v>
      </c>
      <c r="T140" s="142" t="s">
        <v>217</v>
      </c>
      <c r="U140" s="25" t="s">
        <v>218</v>
      </c>
      <c r="V140" s="25">
        <v>3</v>
      </c>
      <c r="W140" s="142">
        <v>3</v>
      </c>
      <c r="X140" s="140">
        <v>4</v>
      </c>
      <c r="Y140" s="142">
        <v>4</v>
      </c>
      <c r="Z140" s="142">
        <v>0</v>
      </c>
      <c r="AA140" s="142">
        <v>0</v>
      </c>
      <c r="AC140" s="150">
        <v>2</v>
      </c>
      <c r="AD140" s="150">
        <v>2</v>
      </c>
      <c r="AE140" s="150">
        <v>0</v>
      </c>
      <c r="AF140" s="150">
        <v>0</v>
      </c>
      <c r="AG140" s="150">
        <v>0</v>
      </c>
      <c r="AH140" s="142">
        <v>2</v>
      </c>
      <c r="AI140" s="142">
        <v>2</v>
      </c>
      <c r="AJ140" s="142">
        <v>0</v>
      </c>
      <c r="AK140" s="142">
        <v>0</v>
      </c>
      <c r="AL140" s="142">
        <v>0</v>
      </c>
      <c r="AM140" s="140">
        <v>4</v>
      </c>
    </row>
    <row r="141" spans="1:39">
      <c r="B141" s="134" t="s">
        <v>287</v>
      </c>
      <c r="C141" s="176" t="s">
        <v>32</v>
      </c>
      <c r="D141" s="135">
        <v>9</v>
      </c>
      <c r="E141" s="176" t="s">
        <v>32</v>
      </c>
      <c r="F141" s="135">
        <v>11</v>
      </c>
      <c r="G141" s="136">
        <v>91</v>
      </c>
      <c r="H141" s="136">
        <v>76</v>
      </c>
      <c r="I141" s="136">
        <v>2008</v>
      </c>
      <c r="J141" s="144"/>
      <c r="K141" s="144"/>
      <c r="L141" s="170" t="s">
        <v>1084</v>
      </c>
      <c r="M141" s="142">
        <v>2020</v>
      </c>
      <c r="N141" s="142">
        <v>3</v>
      </c>
      <c r="O141" s="142" t="s">
        <v>1085</v>
      </c>
      <c r="P141" s="142" t="s">
        <v>35</v>
      </c>
      <c r="R141" s="142" t="s">
        <v>30</v>
      </c>
      <c r="S141" s="142" t="s">
        <v>30</v>
      </c>
      <c r="T141" s="142" t="s">
        <v>102</v>
      </c>
      <c r="U141" s="25" t="s">
        <v>37</v>
      </c>
      <c r="V141" s="25">
        <v>25</v>
      </c>
      <c r="W141" s="142">
        <v>2</v>
      </c>
      <c r="X141" s="140">
        <v>2</v>
      </c>
      <c r="Y141" s="142">
        <v>2</v>
      </c>
      <c r="Z141" s="142">
        <v>0</v>
      </c>
      <c r="AA141" s="142">
        <v>1</v>
      </c>
      <c r="AC141" s="150">
        <v>0</v>
      </c>
      <c r="AD141" s="150">
        <v>2</v>
      </c>
      <c r="AE141" s="150">
        <v>0</v>
      </c>
      <c r="AF141" s="150">
        <v>0</v>
      </c>
      <c r="AG141" s="150">
        <v>0</v>
      </c>
      <c r="AH141" s="142">
        <v>0</v>
      </c>
      <c r="AI141" s="142">
        <v>2</v>
      </c>
      <c r="AJ141" s="142">
        <v>0</v>
      </c>
      <c r="AK141" s="142">
        <v>0</v>
      </c>
      <c r="AL141" s="142">
        <v>0</v>
      </c>
      <c r="AM141" s="140">
        <v>2</v>
      </c>
    </row>
    <row r="142" spans="1:39">
      <c r="A142" s="142">
        <v>1</v>
      </c>
      <c r="B142" s="134" t="s">
        <v>287</v>
      </c>
      <c r="C142" s="176" t="s">
        <v>32</v>
      </c>
      <c r="D142" s="135">
        <v>9</v>
      </c>
      <c r="E142" s="176" t="s">
        <v>32</v>
      </c>
      <c r="F142" s="135">
        <v>11</v>
      </c>
      <c r="G142" s="136">
        <v>91</v>
      </c>
      <c r="H142" s="136">
        <v>76</v>
      </c>
      <c r="I142" s="136">
        <v>2008</v>
      </c>
      <c r="J142" s="144"/>
      <c r="K142" s="144"/>
      <c r="L142" s="170" t="s">
        <v>1086</v>
      </c>
      <c r="M142" s="142">
        <v>2020</v>
      </c>
      <c r="N142" s="142">
        <v>3</v>
      </c>
      <c r="O142" s="142" t="s">
        <v>1087</v>
      </c>
      <c r="P142" s="142" t="s">
        <v>35</v>
      </c>
      <c r="R142" s="142" t="s">
        <v>30</v>
      </c>
      <c r="S142" s="142" t="s">
        <v>30</v>
      </c>
      <c r="T142" s="142" t="s">
        <v>295</v>
      </c>
      <c r="U142" s="25" t="s">
        <v>218</v>
      </c>
      <c r="V142" s="25">
        <v>2</v>
      </c>
      <c r="W142" s="142">
        <v>8</v>
      </c>
      <c r="X142" s="140">
        <v>35</v>
      </c>
      <c r="Y142" s="142">
        <v>14</v>
      </c>
      <c r="Z142" s="142">
        <v>21</v>
      </c>
      <c r="AA142" s="142">
        <v>10</v>
      </c>
      <c r="AH142" s="142">
        <v>1</v>
      </c>
      <c r="AI142" s="142">
        <v>22</v>
      </c>
      <c r="AJ142" s="142">
        <v>6</v>
      </c>
      <c r="AK142" s="142">
        <v>4</v>
      </c>
      <c r="AL142" s="142">
        <v>2</v>
      </c>
      <c r="AM142" s="140">
        <v>35</v>
      </c>
    </row>
    <row r="143" spans="1:39">
      <c r="B143" s="134" t="s">
        <v>287</v>
      </c>
      <c r="C143" s="176" t="s">
        <v>32</v>
      </c>
      <c r="D143" s="135">
        <v>9</v>
      </c>
      <c r="E143" s="176" t="s">
        <v>32</v>
      </c>
      <c r="F143" s="135">
        <v>11</v>
      </c>
      <c r="G143" s="136">
        <v>91</v>
      </c>
      <c r="H143" s="136">
        <v>76</v>
      </c>
      <c r="I143" s="136">
        <v>2008</v>
      </c>
      <c r="J143" s="144"/>
      <c r="K143" s="144"/>
      <c r="L143" s="170" t="s">
        <v>1088</v>
      </c>
      <c r="M143" s="142">
        <v>2019</v>
      </c>
      <c r="N143" s="142">
        <v>3</v>
      </c>
      <c r="O143" s="142" t="s">
        <v>296</v>
      </c>
      <c r="P143" s="142" t="s">
        <v>35</v>
      </c>
      <c r="R143" s="142" t="s">
        <v>30</v>
      </c>
      <c r="S143" s="142" t="s">
        <v>30</v>
      </c>
      <c r="T143" s="142" t="s">
        <v>266</v>
      </c>
      <c r="U143" s="25" t="s">
        <v>218</v>
      </c>
      <c r="V143" s="25">
        <v>1</v>
      </c>
      <c r="W143" s="142">
        <v>2</v>
      </c>
      <c r="X143" s="140">
        <v>6</v>
      </c>
      <c r="Y143" s="142">
        <v>0</v>
      </c>
      <c r="Z143" s="142">
        <v>6</v>
      </c>
      <c r="AA143" s="142">
        <v>6</v>
      </c>
      <c r="AC143" s="150">
        <v>0</v>
      </c>
      <c r="AD143" s="150">
        <v>0</v>
      </c>
      <c r="AE143" s="150">
        <v>0</v>
      </c>
      <c r="AF143" s="150">
        <v>0</v>
      </c>
      <c r="AG143" s="150">
        <v>0</v>
      </c>
      <c r="AH143" s="142">
        <v>0</v>
      </c>
      <c r="AI143" s="142">
        <v>4</v>
      </c>
      <c r="AJ143" s="142">
        <v>0</v>
      </c>
      <c r="AK143" s="142">
        <v>0</v>
      </c>
      <c r="AL143" s="142">
        <v>2</v>
      </c>
      <c r="AM143" s="140">
        <v>6</v>
      </c>
    </row>
    <row r="144" spans="1:39">
      <c r="B144" s="134" t="s">
        <v>287</v>
      </c>
      <c r="C144" s="176" t="s">
        <v>32</v>
      </c>
      <c r="D144" s="135">
        <v>9</v>
      </c>
      <c r="E144" s="176" t="s">
        <v>32</v>
      </c>
      <c r="F144" s="135">
        <v>11</v>
      </c>
      <c r="G144" s="136">
        <v>91</v>
      </c>
      <c r="H144" s="136">
        <v>76</v>
      </c>
      <c r="I144" s="136">
        <v>2008</v>
      </c>
      <c r="J144" s="171" t="s">
        <v>1089</v>
      </c>
      <c r="K144" s="144"/>
      <c r="L144" s="170" t="s">
        <v>1090</v>
      </c>
      <c r="M144" s="142">
        <v>2018</v>
      </c>
      <c r="N144" s="142">
        <v>3</v>
      </c>
      <c r="O144" s="142" t="s">
        <v>1091</v>
      </c>
      <c r="P144" s="142" t="s">
        <v>35</v>
      </c>
      <c r="R144" s="142" t="s">
        <v>30</v>
      </c>
      <c r="S144" s="142" t="s">
        <v>30</v>
      </c>
      <c r="T144" s="142" t="s">
        <v>298</v>
      </c>
      <c r="U144" s="25" t="s">
        <v>107</v>
      </c>
      <c r="V144" s="25" t="s">
        <v>849</v>
      </c>
      <c r="W144" s="142">
        <v>2</v>
      </c>
      <c r="X144" s="140">
        <v>9</v>
      </c>
      <c r="Y144" s="142">
        <v>0</v>
      </c>
      <c r="Z144" s="142">
        <v>9</v>
      </c>
      <c r="AA144" s="142">
        <v>2</v>
      </c>
      <c r="AC144" s="150">
        <v>0</v>
      </c>
      <c r="AD144" s="150">
        <v>0</v>
      </c>
      <c r="AE144" s="150">
        <v>0</v>
      </c>
      <c r="AF144" s="150">
        <v>0</v>
      </c>
      <c r="AG144" s="150">
        <v>0</v>
      </c>
      <c r="AH144" s="142">
        <v>2</v>
      </c>
      <c r="AI144" s="142">
        <v>6</v>
      </c>
      <c r="AJ144" s="142">
        <v>1</v>
      </c>
      <c r="AK144" s="142">
        <v>0</v>
      </c>
      <c r="AL144" s="142">
        <v>0</v>
      </c>
      <c r="AM144" s="140">
        <v>9</v>
      </c>
    </row>
    <row r="145" spans="1:42">
      <c r="A145" s="142">
        <v>1</v>
      </c>
      <c r="B145" s="134" t="s">
        <v>287</v>
      </c>
      <c r="C145" s="176" t="s">
        <v>32</v>
      </c>
      <c r="D145" s="135">
        <v>9</v>
      </c>
      <c r="E145" s="176" t="s">
        <v>32</v>
      </c>
      <c r="F145" s="135">
        <v>11</v>
      </c>
      <c r="G145" s="136">
        <v>91</v>
      </c>
      <c r="H145" s="136">
        <v>76</v>
      </c>
      <c r="I145" s="136">
        <v>2008</v>
      </c>
      <c r="J145" s="144"/>
      <c r="K145" s="144"/>
      <c r="L145" s="170" t="s">
        <v>1092</v>
      </c>
      <c r="M145" s="142">
        <v>2016</v>
      </c>
      <c r="N145" s="142">
        <v>4</v>
      </c>
      <c r="O145" s="142" t="s">
        <v>299</v>
      </c>
      <c r="P145" s="142" t="s">
        <v>35</v>
      </c>
      <c r="R145" s="142" t="s">
        <v>30</v>
      </c>
      <c r="S145" s="142" t="s">
        <v>30</v>
      </c>
      <c r="T145" s="142" t="s">
        <v>300</v>
      </c>
      <c r="U145" s="25" t="s">
        <v>218</v>
      </c>
      <c r="V145" s="25">
        <v>5</v>
      </c>
      <c r="W145" s="142">
        <v>7</v>
      </c>
      <c r="X145" s="140">
        <v>43</v>
      </c>
      <c r="Y145" s="142">
        <v>4</v>
      </c>
      <c r="Z145" s="142">
        <v>39</v>
      </c>
      <c r="AA145" s="142">
        <v>13</v>
      </c>
      <c r="AH145" s="142">
        <v>36</v>
      </c>
      <c r="AI145" s="142">
        <v>4</v>
      </c>
      <c r="AJ145" s="142">
        <v>2</v>
      </c>
      <c r="AK145" s="142">
        <v>0</v>
      </c>
      <c r="AL145" s="142">
        <v>1</v>
      </c>
      <c r="AM145" s="140">
        <v>43</v>
      </c>
    </row>
    <row r="146" spans="1:42" ht="58">
      <c r="A146" s="142">
        <v>1</v>
      </c>
      <c r="B146" s="134" t="s">
        <v>287</v>
      </c>
      <c r="C146" s="176" t="s">
        <v>32</v>
      </c>
      <c r="D146" s="135">
        <v>9</v>
      </c>
      <c r="E146" s="176" t="s">
        <v>32</v>
      </c>
      <c r="F146" s="135">
        <v>11</v>
      </c>
      <c r="G146" s="136">
        <v>91</v>
      </c>
      <c r="H146" s="136">
        <v>76</v>
      </c>
      <c r="I146" s="136">
        <v>2008</v>
      </c>
      <c r="J146" s="160" t="s">
        <v>1093</v>
      </c>
      <c r="K146" s="144"/>
      <c r="L146" s="170" t="s">
        <v>1094</v>
      </c>
      <c r="M146" s="142">
        <v>2016</v>
      </c>
      <c r="N146" s="142">
        <v>5</v>
      </c>
      <c r="O146" s="142" t="s">
        <v>301</v>
      </c>
      <c r="P146" s="142" t="s">
        <v>35</v>
      </c>
      <c r="R146" s="142" t="s">
        <v>54</v>
      </c>
      <c r="S146" s="142" t="s">
        <v>846</v>
      </c>
      <c r="T146" s="142" t="s">
        <v>302</v>
      </c>
      <c r="U146" s="25" t="s">
        <v>218</v>
      </c>
      <c r="V146" s="25">
        <v>5</v>
      </c>
      <c r="W146" s="142">
        <v>7</v>
      </c>
      <c r="X146" s="140">
        <v>24</v>
      </c>
      <c r="Y146" s="142">
        <v>7</v>
      </c>
      <c r="Z146" s="142">
        <v>17</v>
      </c>
      <c r="AA146" s="142">
        <v>12</v>
      </c>
      <c r="AH146" s="142">
        <v>16</v>
      </c>
      <c r="AI146" s="142">
        <v>7</v>
      </c>
      <c r="AJ146" s="142">
        <v>0</v>
      </c>
      <c r="AK146" s="142">
        <v>0</v>
      </c>
      <c r="AL146" s="142">
        <v>1</v>
      </c>
      <c r="AM146" s="140">
        <v>24</v>
      </c>
    </row>
    <row r="147" spans="1:42">
      <c r="A147" s="142">
        <v>1</v>
      </c>
      <c r="B147" s="134" t="s">
        <v>287</v>
      </c>
      <c r="C147" s="176" t="s">
        <v>32</v>
      </c>
      <c r="D147" s="135">
        <v>9</v>
      </c>
      <c r="E147" s="176" t="s">
        <v>32</v>
      </c>
      <c r="F147" s="135">
        <v>11</v>
      </c>
      <c r="G147" s="136">
        <v>91</v>
      </c>
      <c r="H147" s="136">
        <v>76</v>
      </c>
      <c r="I147" s="136">
        <v>2008</v>
      </c>
      <c r="J147" s="144"/>
      <c r="K147" s="144"/>
      <c r="L147" s="170" t="s">
        <v>1095</v>
      </c>
      <c r="M147" s="142">
        <v>2015</v>
      </c>
      <c r="N147" s="142">
        <v>5</v>
      </c>
      <c r="O147" s="142" t="s">
        <v>303</v>
      </c>
      <c r="P147" s="142" t="s">
        <v>35</v>
      </c>
      <c r="R147" s="142" t="s">
        <v>30</v>
      </c>
      <c r="S147" s="142" t="s">
        <v>30</v>
      </c>
      <c r="T147" s="142" t="s">
        <v>304</v>
      </c>
      <c r="U147" s="25" t="s">
        <v>218</v>
      </c>
      <c r="V147" s="25">
        <v>4</v>
      </c>
      <c r="W147" s="142">
        <v>18</v>
      </c>
      <c r="X147" s="140">
        <v>117</v>
      </c>
      <c r="Y147" s="142">
        <v>2</v>
      </c>
      <c r="Z147" s="142">
        <v>115</v>
      </c>
      <c r="AA147" s="142">
        <v>30</v>
      </c>
      <c r="AH147" s="142">
        <v>55</v>
      </c>
      <c r="AI147" s="142">
        <v>39</v>
      </c>
      <c r="AJ147" s="142">
        <v>10</v>
      </c>
      <c r="AK147" s="142">
        <v>3</v>
      </c>
      <c r="AL147" s="142">
        <v>10</v>
      </c>
      <c r="AM147" s="140">
        <v>117</v>
      </c>
    </row>
    <row r="148" spans="1:42">
      <c r="B148" s="134" t="s">
        <v>287</v>
      </c>
      <c r="C148" s="176" t="s">
        <v>32</v>
      </c>
      <c r="D148" s="135">
        <v>9</v>
      </c>
      <c r="E148" s="176" t="s">
        <v>32</v>
      </c>
      <c r="F148" s="135">
        <v>11</v>
      </c>
      <c r="G148" s="136">
        <v>91</v>
      </c>
      <c r="H148" s="136">
        <v>76</v>
      </c>
      <c r="I148" s="136">
        <v>2008</v>
      </c>
      <c r="J148" s="144"/>
      <c r="K148" s="144"/>
      <c r="L148" s="170" t="s">
        <v>1096</v>
      </c>
      <c r="M148" s="142">
        <v>2015</v>
      </c>
      <c r="N148" s="142">
        <v>6</v>
      </c>
      <c r="O148" s="142" t="s">
        <v>1097</v>
      </c>
      <c r="P148" s="142" t="s">
        <v>28</v>
      </c>
      <c r="R148" s="142" t="s">
        <v>30</v>
      </c>
      <c r="S148" s="142" t="s">
        <v>30</v>
      </c>
      <c r="T148" s="142" t="s">
        <v>307</v>
      </c>
      <c r="U148" s="25" t="s">
        <v>101</v>
      </c>
      <c r="V148" s="25">
        <v>35</v>
      </c>
      <c r="W148" s="142">
        <v>6</v>
      </c>
      <c r="X148" s="140">
        <v>21</v>
      </c>
      <c r="Y148" s="142">
        <v>0</v>
      </c>
      <c r="Z148" s="142">
        <v>21</v>
      </c>
      <c r="AA148" s="142">
        <v>3</v>
      </c>
      <c r="AC148" s="150">
        <v>0</v>
      </c>
      <c r="AD148" s="150">
        <v>0</v>
      </c>
      <c r="AE148" s="150">
        <v>0</v>
      </c>
      <c r="AF148" s="150">
        <v>0</v>
      </c>
      <c r="AG148" s="150">
        <v>0</v>
      </c>
      <c r="AH148" s="142">
        <v>8</v>
      </c>
      <c r="AI148" s="142">
        <v>9</v>
      </c>
      <c r="AJ148" s="142">
        <v>4</v>
      </c>
      <c r="AK148" s="142">
        <v>0</v>
      </c>
      <c r="AL148" s="142">
        <v>0</v>
      </c>
      <c r="AM148" s="140">
        <v>21</v>
      </c>
    </row>
    <row r="149" spans="1:42" ht="43.5">
      <c r="A149" s="142">
        <v>1</v>
      </c>
      <c r="B149" s="134" t="s">
        <v>287</v>
      </c>
      <c r="C149" s="176" t="s">
        <v>32</v>
      </c>
      <c r="D149" s="135">
        <v>9</v>
      </c>
      <c r="E149" s="176" t="s">
        <v>32</v>
      </c>
      <c r="F149" s="135">
        <v>11</v>
      </c>
      <c r="G149" s="136">
        <v>91</v>
      </c>
      <c r="H149" s="136">
        <v>76</v>
      </c>
      <c r="I149" s="136">
        <v>2008</v>
      </c>
      <c r="J149" s="160" t="s">
        <v>1098</v>
      </c>
      <c r="K149" s="144"/>
      <c r="L149" s="170" t="s">
        <v>933</v>
      </c>
      <c r="M149" s="142">
        <v>2015</v>
      </c>
      <c r="N149" s="142">
        <v>6</v>
      </c>
      <c r="O149" s="142" t="s">
        <v>1099</v>
      </c>
      <c r="P149" s="142" t="s">
        <v>35</v>
      </c>
      <c r="R149" s="142" t="s">
        <v>30</v>
      </c>
      <c r="S149" s="142" t="s">
        <v>30</v>
      </c>
      <c r="T149" s="142" t="s">
        <v>310</v>
      </c>
      <c r="U149" s="25" t="s">
        <v>218</v>
      </c>
      <c r="V149" s="25">
        <v>13</v>
      </c>
      <c r="W149" s="142">
        <v>17</v>
      </c>
      <c r="X149" s="140">
        <v>62</v>
      </c>
      <c r="Y149" s="142">
        <v>4</v>
      </c>
      <c r="Z149" s="142">
        <v>58</v>
      </c>
      <c r="AA149" s="142">
        <v>12</v>
      </c>
      <c r="AH149" s="142">
        <v>49</v>
      </c>
      <c r="AI149" s="142">
        <v>7</v>
      </c>
      <c r="AJ149" s="142">
        <v>2</v>
      </c>
      <c r="AK149" s="142">
        <v>1</v>
      </c>
      <c r="AL149" s="142">
        <v>3</v>
      </c>
      <c r="AM149" s="140">
        <v>62</v>
      </c>
      <c r="AP149" s="142">
        <v>3</v>
      </c>
    </row>
    <row r="150" spans="1:42">
      <c r="A150" s="142">
        <v>1</v>
      </c>
      <c r="B150" s="134" t="s">
        <v>287</v>
      </c>
      <c r="C150" s="176" t="s">
        <v>32</v>
      </c>
      <c r="D150" s="135">
        <v>9</v>
      </c>
      <c r="E150" s="176" t="s">
        <v>32</v>
      </c>
      <c r="F150" s="135">
        <v>11</v>
      </c>
      <c r="G150" s="136">
        <v>91</v>
      </c>
      <c r="H150" s="136">
        <v>76</v>
      </c>
      <c r="I150" s="136">
        <v>2008</v>
      </c>
      <c r="J150" s="144"/>
      <c r="K150" s="144"/>
      <c r="L150" s="170" t="s">
        <v>1100</v>
      </c>
      <c r="M150" s="142">
        <v>2018</v>
      </c>
      <c r="N150" s="142" t="s">
        <v>32</v>
      </c>
      <c r="O150" s="142" t="s">
        <v>311</v>
      </c>
      <c r="P150" s="142" t="s">
        <v>28</v>
      </c>
      <c r="R150" s="142" t="s">
        <v>30</v>
      </c>
      <c r="S150" s="142" t="s">
        <v>30</v>
      </c>
      <c r="T150" s="142" t="s">
        <v>312</v>
      </c>
      <c r="U150" s="25" t="s">
        <v>218</v>
      </c>
      <c r="V150" s="25">
        <v>18</v>
      </c>
      <c r="W150" s="142">
        <v>6</v>
      </c>
      <c r="X150" s="140">
        <v>16</v>
      </c>
      <c r="Y150" s="142">
        <v>5</v>
      </c>
      <c r="Z150" s="142">
        <v>11</v>
      </c>
      <c r="AA150" s="142">
        <v>4</v>
      </c>
      <c r="AH150" s="142">
        <v>4</v>
      </c>
      <c r="AI150" s="142">
        <v>9</v>
      </c>
      <c r="AJ150" s="142">
        <v>0</v>
      </c>
      <c r="AK150" s="142">
        <v>0</v>
      </c>
      <c r="AL150" s="142">
        <v>3</v>
      </c>
      <c r="AM150" s="140">
        <v>16</v>
      </c>
    </row>
    <row r="151" spans="1:42">
      <c r="A151" s="142">
        <v>1</v>
      </c>
      <c r="B151" s="134" t="s">
        <v>287</v>
      </c>
      <c r="C151" s="176" t="s">
        <v>32</v>
      </c>
      <c r="D151" s="135">
        <v>9</v>
      </c>
      <c r="E151" s="176" t="s">
        <v>32</v>
      </c>
      <c r="F151" s="135">
        <v>11</v>
      </c>
      <c r="G151" s="136">
        <v>91</v>
      </c>
      <c r="H151" s="136">
        <v>76</v>
      </c>
      <c r="I151" s="136">
        <v>2008</v>
      </c>
      <c r="J151" s="144"/>
      <c r="K151" s="144"/>
      <c r="L151" s="170" t="s">
        <v>1101</v>
      </c>
      <c r="M151" s="142">
        <v>2019</v>
      </c>
      <c r="N151" s="142" t="s">
        <v>32</v>
      </c>
      <c r="O151" s="142" t="s">
        <v>313</v>
      </c>
      <c r="P151" s="142" t="s">
        <v>28</v>
      </c>
      <c r="R151" s="142" t="s">
        <v>39</v>
      </c>
      <c r="S151" s="142" t="s">
        <v>994</v>
      </c>
      <c r="T151" s="142" t="s">
        <v>314</v>
      </c>
      <c r="U151" s="25" t="s">
        <v>101</v>
      </c>
      <c r="V151" s="25">
        <v>25</v>
      </c>
      <c r="W151" s="142">
        <v>13</v>
      </c>
      <c r="X151" s="140">
        <v>79</v>
      </c>
      <c r="Y151" s="142">
        <v>5</v>
      </c>
      <c r="Z151" s="142">
        <v>74</v>
      </c>
      <c r="AA151" s="142">
        <v>33</v>
      </c>
      <c r="AH151" s="142">
        <v>51</v>
      </c>
      <c r="AI151" s="142">
        <v>10</v>
      </c>
      <c r="AJ151" s="142">
        <v>9</v>
      </c>
      <c r="AK151" s="142">
        <v>4</v>
      </c>
      <c r="AL151" s="142">
        <v>5</v>
      </c>
      <c r="AM151" s="140">
        <v>79</v>
      </c>
    </row>
    <row r="152" spans="1:42">
      <c r="A152" s="142">
        <v>1</v>
      </c>
      <c r="B152" s="134" t="s">
        <v>287</v>
      </c>
      <c r="C152" s="176" t="s">
        <v>32</v>
      </c>
      <c r="D152" s="135">
        <v>9</v>
      </c>
      <c r="E152" s="176" t="s">
        <v>32</v>
      </c>
      <c r="F152" s="135">
        <v>11</v>
      </c>
      <c r="G152" s="136">
        <v>91</v>
      </c>
      <c r="H152" s="136">
        <v>76</v>
      </c>
      <c r="I152" s="136">
        <v>2008</v>
      </c>
      <c r="J152" s="144"/>
      <c r="K152" s="144"/>
      <c r="L152" s="170" t="s">
        <v>1102</v>
      </c>
      <c r="M152" s="167">
        <v>2017</v>
      </c>
      <c r="N152" s="142" t="s">
        <v>32</v>
      </c>
      <c r="O152" s="142" t="s">
        <v>315</v>
      </c>
      <c r="P152" s="142" t="s">
        <v>35</v>
      </c>
      <c r="R152" s="142" t="s">
        <v>30</v>
      </c>
      <c r="S152" s="142" t="s">
        <v>30</v>
      </c>
      <c r="T152" s="142" t="s">
        <v>316</v>
      </c>
      <c r="U152" s="25" t="s">
        <v>84</v>
      </c>
      <c r="V152" s="25">
        <v>88</v>
      </c>
      <c r="W152" s="142">
        <v>4</v>
      </c>
      <c r="X152" s="140">
        <v>33</v>
      </c>
      <c r="Y152" s="142">
        <v>6</v>
      </c>
      <c r="Z152" s="142">
        <v>27</v>
      </c>
      <c r="AA152" s="142">
        <v>9</v>
      </c>
      <c r="AH152" s="142">
        <v>20</v>
      </c>
      <c r="AI152" s="142">
        <v>5</v>
      </c>
      <c r="AJ152" s="142">
        <v>4</v>
      </c>
      <c r="AK152" s="142">
        <v>1</v>
      </c>
      <c r="AL152" s="142">
        <v>3</v>
      </c>
      <c r="AM152" s="140">
        <v>33</v>
      </c>
    </row>
    <row r="153" spans="1:42">
      <c r="A153" s="142">
        <v>1</v>
      </c>
      <c r="B153" s="134" t="s">
        <v>287</v>
      </c>
      <c r="C153" s="176" t="s">
        <v>32</v>
      </c>
      <c r="D153" s="135">
        <v>9</v>
      </c>
      <c r="E153" s="176" t="s">
        <v>32</v>
      </c>
      <c r="F153" s="135">
        <v>11</v>
      </c>
      <c r="G153" s="136">
        <v>91</v>
      </c>
      <c r="H153" s="136">
        <v>76</v>
      </c>
      <c r="I153" s="136">
        <v>2008</v>
      </c>
      <c r="J153" s="144"/>
      <c r="K153" s="144"/>
      <c r="L153" s="170" t="s">
        <v>1103</v>
      </c>
      <c r="M153" s="142">
        <v>2019</v>
      </c>
      <c r="N153" s="142" t="s">
        <v>32</v>
      </c>
      <c r="O153" s="142" t="s">
        <v>1104</v>
      </c>
      <c r="P153" s="142" t="s">
        <v>35</v>
      </c>
      <c r="R153" s="142" t="s">
        <v>30</v>
      </c>
      <c r="S153" s="142" t="s">
        <v>30</v>
      </c>
      <c r="T153" s="142" t="s">
        <v>231</v>
      </c>
      <c r="U153" s="25" t="s">
        <v>101</v>
      </c>
      <c r="V153" s="25">
        <v>35</v>
      </c>
      <c r="W153" s="142">
        <v>6</v>
      </c>
      <c r="X153" s="140">
        <v>19</v>
      </c>
      <c r="Y153" s="142">
        <v>14</v>
      </c>
      <c r="Z153" s="142">
        <v>5</v>
      </c>
      <c r="AA153" s="142">
        <v>3</v>
      </c>
      <c r="AH153" s="142">
        <v>0</v>
      </c>
      <c r="AI153" s="142">
        <v>16</v>
      </c>
      <c r="AJ153" s="142">
        <v>2</v>
      </c>
      <c r="AK153" s="142">
        <v>0</v>
      </c>
      <c r="AL153" s="142">
        <v>1</v>
      </c>
      <c r="AM153" s="140">
        <v>19</v>
      </c>
    </row>
    <row r="154" spans="1:42">
      <c r="B154" s="134" t="s">
        <v>287</v>
      </c>
      <c r="C154" s="176" t="s">
        <v>32</v>
      </c>
      <c r="D154" s="135">
        <v>9</v>
      </c>
      <c r="E154" s="176" t="s">
        <v>32</v>
      </c>
      <c r="F154" s="135">
        <v>11</v>
      </c>
      <c r="G154" s="136">
        <v>91</v>
      </c>
      <c r="H154" s="136">
        <v>76</v>
      </c>
      <c r="I154" s="136">
        <v>2008</v>
      </c>
      <c r="J154" s="144"/>
      <c r="K154" s="144"/>
      <c r="L154" s="170" t="s">
        <v>1105</v>
      </c>
      <c r="M154" s="142">
        <v>2019</v>
      </c>
      <c r="N154" s="142" t="s">
        <v>32</v>
      </c>
      <c r="O154" s="142" t="s">
        <v>1106</v>
      </c>
      <c r="P154" s="142" t="s">
        <v>35</v>
      </c>
      <c r="R154" s="142" t="s">
        <v>30</v>
      </c>
      <c r="S154" s="142" t="s">
        <v>30</v>
      </c>
      <c r="T154" s="142" t="s">
        <v>319</v>
      </c>
      <c r="U154" s="25" t="s">
        <v>101</v>
      </c>
      <c r="V154" s="25">
        <v>35</v>
      </c>
      <c r="W154" s="142">
        <v>3</v>
      </c>
      <c r="X154" s="140">
        <v>19</v>
      </c>
      <c r="Y154" s="142">
        <v>0</v>
      </c>
      <c r="Z154" s="142">
        <v>19</v>
      </c>
      <c r="AA154" s="142">
        <v>10</v>
      </c>
      <c r="AC154" s="150">
        <v>0</v>
      </c>
      <c r="AD154" s="150">
        <v>0</v>
      </c>
      <c r="AE154" s="150">
        <v>0</v>
      </c>
      <c r="AF154" s="150">
        <v>0</v>
      </c>
      <c r="AG154" s="150">
        <v>0</v>
      </c>
      <c r="AH154" s="142">
        <v>4</v>
      </c>
      <c r="AI154" s="142">
        <v>9</v>
      </c>
      <c r="AJ154" s="142">
        <v>1</v>
      </c>
      <c r="AK154" s="142">
        <v>2</v>
      </c>
      <c r="AL154" s="142">
        <v>3</v>
      </c>
      <c r="AM154" s="140">
        <v>19</v>
      </c>
    </row>
    <row r="155" spans="1:42">
      <c r="A155" s="142">
        <v>1</v>
      </c>
      <c r="B155" s="134" t="s">
        <v>320</v>
      </c>
      <c r="C155" s="176" t="s">
        <v>32</v>
      </c>
      <c r="D155" s="135">
        <v>26</v>
      </c>
      <c r="E155" s="176" t="s">
        <v>32</v>
      </c>
      <c r="F155" s="135">
        <v>22</v>
      </c>
      <c r="G155" s="136">
        <v>76</v>
      </c>
      <c r="H155" s="136">
        <v>74</v>
      </c>
      <c r="I155" s="136">
        <v>2013</v>
      </c>
      <c r="J155" s="144"/>
      <c r="K155" s="144"/>
      <c r="L155" s="170" t="s">
        <v>1107</v>
      </c>
      <c r="M155" s="142">
        <v>2022</v>
      </c>
      <c r="N155" s="142">
        <v>1</v>
      </c>
      <c r="O155" s="142" t="s">
        <v>1108</v>
      </c>
      <c r="P155" s="142" t="s">
        <v>35</v>
      </c>
      <c r="R155" s="142" t="s">
        <v>30</v>
      </c>
      <c r="S155" s="142" t="s">
        <v>30</v>
      </c>
      <c r="T155" s="142" t="s">
        <v>322</v>
      </c>
      <c r="U155" s="25" t="s">
        <v>101</v>
      </c>
      <c r="V155" s="25">
        <v>35</v>
      </c>
      <c r="W155" s="142">
        <v>4</v>
      </c>
      <c r="X155" s="140">
        <v>13</v>
      </c>
      <c r="Y155" s="142">
        <v>12</v>
      </c>
      <c r="Z155" s="142">
        <v>1</v>
      </c>
      <c r="AA155" s="142">
        <v>4</v>
      </c>
      <c r="AH155" s="142">
        <v>3</v>
      </c>
      <c r="AI155" s="142">
        <v>5</v>
      </c>
      <c r="AJ155" s="142">
        <v>1</v>
      </c>
      <c r="AK155" s="142">
        <v>3</v>
      </c>
      <c r="AL155" s="142">
        <v>1</v>
      </c>
      <c r="AM155" s="140">
        <v>13</v>
      </c>
    </row>
    <row r="156" spans="1:42">
      <c r="A156" s="142">
        <v>1</v>
      </c>
      <c r="B156" s="134" t="s">
        <v>320</v>
      </c>
      <c r="C156" s="176" t="s">
        <v>32</v>
      </c>
      <c r="D156" s="135">
        <v>26</v>
      </c>
      <c r="E156" s="176" t="s">
        <v>32</v>
      </c>
      <c r="F156" s="135">
        <v>22</v>
      </c>
      <c r="G156" s="136">
        <v>76</v>
      </c>
      <c r="H156" s="136">
        <v>74</v>
      </c>
      <c r="I156" s="136">
        <v>2013</v>
      </c>
      <c r="J156" s="144"/>
      <c r="K156" s="144"/>
      <c r="L156" s="170" t="s">
        <v>1109</v>
      </c>
      <c r="M156" s="142">
        <v>2022</v>
      </c>
      <c r="N156" s="142">
        <v>1</v>
      </c>
      <c r="O156" s="142" t="s">
        <v>1110</v>
      </c>
      <c r="P156" s="142" t="s">
        <v>28</v>
      </c>
      <c r="R156" s="142" t="s">
        <v>30</v>
      </c>
      <c r="S156" s="142" t="s">
        <v>30</v>
      </c>
      <c r="T156" s="142" t="s">
        <v>324</v>
      </c>
      <c r="U156" s="25" t="s">
        <v>101</v>
      </c>
      <c r="V156" s="25">
        <v>35</v>
      </c>
      <c r="W156" s="142">
        <v>4</v>
      </c>
      <c r="X156" s="140">
        <v>17</v>
      </c>
      <c r="Y156" s="142">
        <v>15</v>
      </c>
      <c r="Z156" s="142">
        <v>2</v>
      </c>
      <c r="AA156" s="142">
        <v>6</v>
      </c>
      <c r="AH156" s="142">
        <v>3</v>
      </c>
      <c r="AI156" s="142">
        <v>6</v>
      </c>
      <c r="AJ156" s="142">
        <v>3</v>
      </c>
      <c r="AK156" s="142">
        <v>2</v>
      </c>
      <c r="AL156" s="142">
        <v>2</v>
      </c>
      <c r="AM156" s="140">
        <v>17</v>
      </c>
    </row>
    <row r="157" spans="1:42">
      <c r="A157" s="142">
        <v>1</v>
      </c>
      <c r="B157" s="134" t="s">
        <v>320</v>
      </c>
      <c r="C157" s="176" t="s">
        <v>32</v>
      </c>
      <c r="D157" s="135">
        <v>26</v>
      </c>
      <c r="E157" s="176" t="s">
        <v>32</v>
      </c>
      <c r="F157" s="135">
        <v>22</v>
      </c>
      <c r="G157" s="136">
        <v>76</v>
      </c>
      <c r="H157" s="136">
        <v>74</v>
      </c>
      <c r="I157" s="136">
        <v>2013</v>
      </c>
      <c r="J157" s="144"/>
      <c r="K157" s="144"/>
      <c r="L157" s="170" t="s">
        <v>1111</v>
      </c>
      <c r="M157" s="142">
        <v>2021</v>
      </c>
      <c r="N157" s="142">
        <v>2</v>
      </c>
      <c r="O157" s="142" t="s">
        <v>325</v>
      </c>
      <c r="P157" s="142" t="s">
        <v>28</v>
      </c>
      <c r="R157" s="142" t="s">
        <v>252</v>
      </c>
      <c r="S157" s="142" t="s">
        <v>252</v>
      </c>
      <c r="T157" s="142" t="s">
        <v>257</v>
      </c>
      <c r="U157" s="25" t="s">
        <v>84</v>
      </c>
      <c r="V157" s="25">
        <v>124</v>
      </c>
      <c r="W157" s="142">
        <v>3</v>
      </c>
      <c r="X157" s="140">
        <v>25</v>
      </c>
      <c r="Y157" s="142">
        <v>19</v>
      </c>
      <c r="Z157" s="142">
        <v>6</v>
      </c>
      <c r="AA157" s="142">
        <v>11</v>
      </c>
      <c r="AH157" s="142">
        <v>4</v>
      </c>
      <c r="AI157" s="142">
        <v>11</v>
      </c>
      <c r="AJ157" s="142">
        <v>4</v>
      </c>
      <c r="AK157" s="142">
        <v>1</v>
      </c>
      <c r="AL157" s="142">
        <v>5</v>
      </c>
      <c r="AM157" s="140">
        <v>25</v>
      </c>
    </row>
    <row r="158" spans="1:42">
      <c r="B158" s="134" t="s">
        <v>320</v>
      </c>
      <c r="C158" s="176" t="s">
        <v>32</v>
      </c>
      <c r="D158" s="135">
        <v>26</v>
      </c>
      <c r="E158" s="176" t="s">
        <v>32</v>
      </c>
      <c r="F158" s="135">
        <v>22</v>
      </c>
      <c r="G158" s="136">
        <v>76</v>
      </c>
      <c r="H158" s="136">
        <v>74</v>
      </c>
      <c r="I158" s="136">
        <v>2013</v>
      </c>
      <c r="J158" s="144"/>
      <c r="K158" s="144"/>
      <c r="L158" s="170" t="s">
        <v>1112</v>
      </c>
      <c r="M158" s="142">
        <v>2021</v>
      </c>
      <c r="N158" s="142">
        <v>2</v>
      </c>
      <c r="O158" s="142" t="s">
        <v>1113</v>
      </c>
      <c r="P158" s="142" t="s">
        <v>28</v>
      </c>
      <c r="R158" s="142" t="s">
        <v>39</v>
      </c>
      <c r="S158" s="142" t="s">
        <v>1114</v>
      </c>
      <c r="T158" s="142" t="s">
        <v>1115</v>
      </c>
      <c r="U158" s="25" t="s">
        <v>84</v>
      </c>
      <c r="V158" s="25">
        <v>88</v>
      </c>
      <c r="W158" s="142">
        <v>0</v>
      </c>
      <c r="X158" s="140">
        <v>2</v>
      </c>
      <c r="Y158" s="142">
        <v>0</v>
      </c>
      <c r="Z158" s="142">
        <v>2</v>
      </c>
      <c r="AA158" s="142">
        <v>2</v>
      </c>
      <c r="AC158" s="150">
        <v>0</v>
      </c>
      <c r="AD158" s="150">
        <v>0</v>
      </c>
      <c r="AE158" s="150">
        <v>0</v>
      </c>
      <c r="AF158" s="150">
        <v>0</v>
      </c>
      <c r="AG158" s="150">
        <v>0</v>
      </c>
      <c r="AH158" s="142">
        <v>0</v>
      </c>
      <c r="AI158" s="142">
        <v>0</v>
      </c>
      <c r="AJ158" s="142">
        <v>0</v>
      </c>
      <c r="AK158" s="142">
        <v>0</v>
      </c>
      <c r="AL158" s="142">
        <v>2</v>
      </c>
      <c r="AM158" s="140">
        <v>2</v>
      </c>
    </row>
    <row r="159" spans="1:42">
      <c r="A159" s="142">
        <v>1</v>
      </c>
      <c r="B159" s="134" t="s">
        <v>320</v>
      </c>
      <c r="C159" s="176" t="s">
        <v>32</v>
      </c>
      <c r="D159" s="135">
        <v>26</v>
      </c>
      <c r="E159" s="176" t="s">
        <v>32</v>
      </c>
      <c r="F159" s="135">
        <v>22</v>
      </c>
      <c r="G159" s="136">
        <v>76</v>
      </c>
      <c r="H159" s="136">
        <v>74</v>
      </c>
      <c r="I159" s="136">
        <v>2013</v>
      </c>
      <c r="J159" s="144"/>
      <c r="K159" s="144"/>
      <c r="L159" s="170" t="s">
        <v>1116</v>
      </c>
      <c r="M159" s="142">
        <v>2020</v>
      </c>
      <c r="N159" s="142">
        <v>3</v>
      </c>
      <c r="O159" s="142" t="s">
        <v>1117</v>
      </c>
      <c r="P159" s="142" t="s">
        <v>35</v>
      </c>
      <c r="R159" s="142" t="s">
        <v>30</v>
      </c>
      <c r="S159" s="142" t="s">
        <v>30</v>
      </c>
      <c r="T159" s="142" t="s">
        <v>327</v>
      </c>
      <c r="U159" s="25" t="s">
        <v>101</v>
      </c>
      <c r="V159" s="25">
        <v>32</v>
      </c>
      <c r="W159" s="142">
        <v>5</v>
      </c>
      <c r="X159" s="140">
        <v>8</v>
      </c>
      <c r="Y159" s="142">
        <v>4</v>
      </c>
      <c r="Z159" s="142">
        <v>4</v>
      </c>
      <c r="AA159" s="142">
        <v>1</v>
      </c>
      <c r="AH159" s="142">
        <v>3</v>
      </c>
      <c r="AI159" s="142">
        <v>2</v>
      </c>
      <c r="AJ159" s="142">
        <v>0</v>
      </c>
      <c r="AK159" s="142">
        <v>2</v>
      </c>
      <c r="AL159" s="142">
        <v>1</v>
      </c>
      <c r="AM159" s="140">
        <v>8</v>
      </c>
    </row>
    <row r="160" spans="1:42">
      <c r="A160" s="142">
        <v>1</v>
      </c>
      <c r="B160" s="134" t="s">
        <v>320</v>
      </c>
      <c r="C160" s="176" t="s">
        <v>32</v>
      </c>
      <c r="D160" s="135">
        <v>26</v>
      </c>
      <c r="E160" s="176" t="s">
        <v>32</v>
      </c>
      <c r="F160" s="135">
        <v>22</v>
      </c>
      <c r="G160" s="136">
        <v>76</v>
      </c>
      <c r="H160" s="136">
        <v>74</v>
      </c>
      <c r="I160" s="136">
        <v>2013</v>
      </c>
      <c r="J160" s="144"/>
      <c r="K160" s="144"/>
      <c r="L160" s="170" t="s">
        <v>1118</v>
      </c>
      <c r="M160" s="142">
        <v>2020</v>
      </c>
      <c r="N160" s="142">
        <v>3</v>
      </c>
      <c r="O160" s="142" t="s">
        <v>1119</v>
      </c>
      <c r="P160" s="142" t="s">
        <v>35</v>
      </c>
      <c r="R160" s="142" t="s">
        <v>54</v>
      </c>
      <c r="S160" s="142" t="s">
        <v>846</v>
      </c>
      <c r="T160" s="142" t="s">
        <v>66</v>
      </c>
      <c r="U160" s="25" t="s">
        <v>101</v>
      </c>
      <c r="V160" s="25">
        <v>32</v>
      </c>
      <c r="W160" s="142">
        <v>6</v>
      </c>
      <c r="X160" s="140">
        <v>20</v>
      </c>
      <c r="Y160" s="142">
        <v>14</v>
      </c>
      <c r="Z160" s="142">
        <v>6</v>
      </c>
      <c r="AA160" s="142">
        <v>13</v>
      </c>
      <c r="AH160" s="142">
        <v>10</v>
      </c>
      <c r="AI160" s="142">
        <v>2</v>
      </c>
      <c r="AJ160" s="142">
        <v>1</v>
      </c>
      <c r="AK160" s="142">
        <v>2</v>
      </c>
      <c r="AL160" s="142">
        <v>5</v>
      </c>
      <c r="AM160" s="140">
        <v>20</v>
      </c>
    </row>
    <row r="161" spans="1:42">
      <c r="A161" s="142">
        <v>1</v>
      </c>
      <c r="B161" s="134" t="s">
        <v>320</v>
      </c>
      <c r="C161" s="176" t="s">
        <v>32</v>
      </c>
      <c r="D161" s="135">
        <v>26</v>
      </c>
      <c r="E161" s="176" t="s">
        <v>32</v>
      </c>
      <c r="F161" s="135">
        <v>22</v>
      </c>
      <c r="G161" s="136">
        <v>76</v>
      </c>
      <c r="H161" s="136">
        <v>74</v>
      </c>
      <c r="I161" s="136">
        <v>2013</v>
      </c>
      <c r="J161" s="144"/>
      <c r="K161" s="144"/>
      <c r="L161" s="170" t="s">
        <v>1120</v>
      </c>
      <c r="M161" s="142">
        <v>2019</v>
      </c>
      <c r="N161" s="142">
        <v>4</v>
      </c>
      <c r="O161" s="142" t="s">
        <v>329</v>
      </c>
      <c r="P161" s="142" t="s">
        <v>35</v>
      </c>
      <c r="R161" s="142" t="s">
        <v>39</v>
      </c>
      <c r="S161" s="142" t="s">
        <v>1121</v>
      </c>
      <c r="T161" s="142" t="s">
        <v>330</v>
      </c>
      <c r="U161" s="25" t="s">
        <v>84</v>
      </c>
      <c r="V161" s="25">
        <v>58</v>
      </c>
      <c r="W161" s="142">
        <v>14</v>
      </c>
      <c r="X161" s="140">
        <v>59</v>
      </c>
      <c r="Y161" s="142">
        <v>52</v>
      </c>
      <c r="Z161" s="142">
        <v>7</v>
      </c>
      <c r="AA161" s="142">
        <v>27</v>
      </c>
      <c r="AH161" s="142">
        <v>2</v>
      </c>
      <c r="AI161" s="142">
        <v>47</v>
      </c>
      <c r="AJ161" s="142">
        <v>1</v>
      </c>
      <c r="AK161" s="142">
        <v>5</v>
      </c>
      <c r="AL161" s="142">
        <v>4</v>
      </c>
      <c r="AM161" s="140">
        <v>59</v>
      </c>
    </row>
    <row r="162" spans="1:42">
      <c r="B162" s="134" t="s">
        <v>320</v>
      </c>
      <c r="C162" s="176" t="s">
        <v>32</v>
      </c>
      <c r="D162" s="135">
        <v>26</v>
      </c>
      <c r="E162" s="176" t="s">
        <v>32</v>
      </c>
      <c r="F162" s="135">
        <v>22</v>
      </c>
      <c r="G162" s="136">
        <v>76</v>
      </c>
      <c r="H162" s="136">
        <v>74</v>
      </c>
      <c r="I162" s="136">
        <v>2013</v>
      </c>
      <c r="J162" s="144"/>
      <c r="K162" s="144"/>
      <c r="L162" s="170" t="s">
        <v>1122</v>
      </c>
      <c r="M162" s="142">
        <v>2019</v>
      </c>
      <c r="N162" s="142">
        <v>4</v>
      </c>
      <c r="O162" s="142" t="s">
        <v>1123</v>
      </c>
      <c r="P162" s="142" t="s">
        <v>28</v>
      </c>
      <c r="R162" s="142" t="s">
        <v>30</v>
      </c>
      <c r="S162" s="142" t="s">
        <v>30</v>
      </c>
      <c r="T162" s="142" t="s">
        <v>310</v>
      </c>
      <c r="U162" s="25" t="s">
        <v>218</v>
      </c>
      <c r="V162" s="25">
        <v>13</v>
      </c>
      <c r="W162" s="142">
        <v>1</v>
      </c>
      <c r="X162" s="140">
        <v>4</v>
      </c>
      <c r="Y162" s="142">
        <v>0</v>
      </c>
      <c r="Z162" s="142">
        <v>4</v>
      </c>
      <c r="AA162" s="142">
        <v>3</v>
      </c>
      <c r="AC162" s="150">
        <v>0</v>
      </c>
      <c r="AD162" s="150">
        <v>0</v>
      </c>
      <c r="AE162" s="150">
        <v>0</v>
      </c>
      <c r="AF162" s="150">
        <v>0</v>
      </c>
      <c r="AG162" s="150">
        <v>0</v>
      </c>
      <c r="AH162" s="142">
        <v>0</v>
      </c>
      <c r="AI162" s="142">
        <v>3</v>
      </c>
      <c r="AJ162" s="142">
        <v>0</v>
      </c>
      <c r="AK162" s="142">
        <v>0</v>
      </c>
      <c r="AL162" s="142">
        <v>1</v>
      </c>
      <c r="AM162" s="140">
        <v>4</v>
      </c>
    </row>
    <row r="163" spans="1:42">
      <c r="A163" s="142">
        <v>1</v>
      </c>
      <c r="B163" s="134" t="s">
        <v>320</v>
      </c>
      <c r="C163" s="176" t="s">
        <v>32</v>
      </c>
      <c r="D163" s="135">
        <v>26</v>
      </c>
      <c r="E163" s="176" t="s">
        <v>32</v>
      </c>
      <c r="F163" s="135">
        <v>22</v>
      </c>
      <c r="G163" s="136">
        <v>76</v>
      </c>
      <c r="H163" s="136">
        <v>74</v>
      </c>
      <c r="I163" s="136">
        <v>2013</v>
      </c>
      <c r="J163" s="144"/>
      <c r="K163" s="144"/>
      <c r="L163" s="170" t="s">
        <v>1124</v>
      </c>
      <c r="M163" s="142">
        <v>2018</v>
      </c>
      <c r="N163" s="142">
        <v>5</v>
      </c>
      <c r="O163" s="142" t="s">
        <v>1125</v>
      </c>
      <c r="P163" s="142" t="s">
        <v>28</v>
      </c>
      <c r="R163" s="142" t="s">
        <v>30</v>
      </c>
      <c r="S163" s="142" t="s">
        <v>30</v>
      </c>
      <c r="T163" s="142" t="s">
        <v>333</v>
      </c>
      <c r="U163" s="25" t="s">
        <v>84</v>
      </c>
      <c r="V163" s="25">
        <v>42</v>
      </c>
      <c r="W163" s="142">
        <v>6</v>
      </c>
      <c r="X163" s="140">
        <v>15</v>
      </c>
      <c r="Y163" s="142">
        <v>7</v>
      </c>
      <c r="Z163" s="142">
        <v>8</v>
      </c>
      <c r="AA163" s="142">
        <v>0</v>
      </c>
      <c r="AH163" s="142">
        <v>7</v>
      </c>
      <c r="AI163" s="142">
        <v>1</v>
      </c>
      <c r="AJ163" s="142">
        <v>1</v>
      </c>
      <c r="AK163" s="142">
        <v>0</v>
      </c>
      <c r="AL163" s="142">
        <v>6</v>
      </c>
      <c r="AM163" s="140">
        <v>15</v>
      </c>
    </row>
    <row r="164" spans="1:42">
      <c r="A164" s="142">
        <v>1</v>
      </c>
      <c r="B164" s="134" t="s">
        <v>320</v>
      </c>
      <c r="C164" s="176" t="s">
        <v>32</v>
      </c>
      <c r="D164" s="135">
        <v>26</v>
      </c>
      <c r="E164" s="176" t="s">
        <v>32</v>
      </c>
      <c r="F164" s="135">
        <v>22</v>
      </c>
      <c r="G164" s="136">
        <v>76</v>
      </c>
      <c r="H164" s="136">
        <v>74</v>
      </c>
      <c r="I164" s="136">
        <v>2013</v>
      </c>
      <c r="J164" s="144"/>
      <c r="K164" s="144"/>
      <c r="L164" s="170" t="s">
        <v>1126</v>
      </c>
      <c r="M164" s="142">
        <v>2018</v>
      </c>
      <c r="N164" s="142">
        <v>5</v>
      </c>
      <c r="O164" s="142" t="s">
        <v>334</v>
      </c>
      <c r="P164" s="142" t="s">
        <v>35</v>
      </c>
      <c r="R164" s="142" t="s">
        <v>30</v>
      </c>
      <c r="S164" s="142" t="s">
        <v>30</v>
      </c>
      <c r="T164" s="142" t="s">
        <v>1127</v>
      </c>
      <c r="U164" s="25" t="s">
        <v>101</v>
      </c>
      <c r="V164" s="25">
        <v>35</v>
      </c>
      <c r="W164" s="142">
        <v>2</v>
      </c>
      <c r="X164" s="140">
        <v>8</v>
      </c>
      <c r="Y164" s="142">
        <v>3</v>
      </c>
      <c r="Z164" s="142">
        <v>5</v>
      </c>
      <c r="AA164" s="142">
        <v>2</v>
      </c>
      <c r="AH164" s="142">
        <v>1</v>
      </c>
      <c r="AI164" s="142">
        <v>4</v>
      </c>
      <c r="AJ164" s="142">
        <v>0</v>
      </c>
      <c r="AK164" s="142">
        <v>1</v>
      </c>
      <c r="AL164" s="142">
        <v>2</v>
      </c>
      <c r="AM164" s="140">
        <v>8</v>
      </c>
    </row>
    <row r="165" spans="1:42">
      <c r="A165" s="142">
        <v>1</v>
      </c>
      <c r="B165" s="134" t="s">
        <v>320</v>
      </c>
      <c r="C165" s="176" t="s">
        <v>32</v>
      </c>
      <c r="D165" s="135">
        <v>26</v>
      </c>
      <c r="E165" s="176" t="s">
        <v>32</v>
      </c>
      <c r="F165" s="135">
        <v>22</v>
      </c>
      <c r="G165" s="136">
        <v>76</v>
      </c>
      <c r="H165" s="136">
        <v>74</v>
      </c>
      <c r="I165" s="136">
        <v>2013</v>
      </c>
      <c r="J165" s="144"/>
      <c r="K165" s="144"/>
      <c r="L165" s="170" t="s">
        <v>1128</v>
      </c>
      <c r="M165" s="142">
        <v>2017</v>
      </c>
      <c r="N165" s="142">
        <v>6</v>
      </c>
      <c r="O165" s="142" t="s">
        <v>1129</v>
      </c>
      <c r="P165" s="142" t="s">
        <v>28</v>
      </c>
      <c r="R165" s="142" t="s">
        <v>30</v>
      </c>
      <c r="S165" s="142" t="s">
        <v>30</v>
      </c>
      <c r="T165" s="142" t="s">
        <v>336</v>
      </c>
      <c r="U165" s="25" t="s">
        <v>84</v>
      </c>
      <c r="V165" s="25">
        <v>100</v>
      </c>
      <c r="W165" s="142">
        <v>3</v>
      </c>
      <c r="X165" s="140">
        <v>12</v>
      </c>
      <c r="Y165" s="142">
        <v>3</v>
      </c>
      <c r="Z165" s="142">
        <v>9</v>
      </c>
      <c r="AA165" s="142">
        <v>6</v>
      </c>
      <c r="AH165" s="142">
        <v>0</v>
      </c>
      <c r="AI165" s="142">
        <v>7</v>
      </c>
      <c r="AJ165" s="142">
        <v>2</v>
      </c>
      <c r="AK165" s="142">
        <v>0</v>
      </c>
      <c r="AL165" s="142">
        <v>3</v>
      </c>
      <c r="AM165" s="140">
        <v>12</v>
      </c>
    </row>
    <row r="166" spans="1:42">
      <c r="B166" s="134" t="s">
        <v>320</v>
      </c>
      <c r="C166" s="176" t="s">
        <v>32</v>
      </c>
      <c r="D166" s="135">
        <v>26</v>
      </c>
      <c r="E166" s="176" t="s">
        <v>32</v>
      </c>
      <c r="F166" s="135">
        <v>22</v>
      </c>
      <c r="G166" s="136">
        <v>76</v>
      </c>
      <c r="H166" s="136">
        <v>74</v>
      </c>
      <c r="I166" s="136">
        <v>2013</v>
      </c>
      <c r="J166" s="144"/>
      <c r="K166" s="144"/>
      <c r="L166" s="170" t="s">
        <v>1130</v>
      </c>
      <c r="M166" s="142">
        <v>2017</v>
      </c>
      <c r="N166" s="142">
        <v>6</v>
      </c>
      <c r="O166" s="142" t="s">
        <v>1131</v>
      </c>
      <c r="P166" s="142" t="s">
        <v>35</v>
      </c>
      <c r="R166" s="142" t="s">
        <v>39</v>
      </c>
      <c r="S166" s="142" t="s">
        <v>1121</v>
      </c>
      <c r="T166" s="142" t="s">
        <v>310</v>
      </c>
      <c r="U166" s="25" t="s">
        <v>218</v>
      </c>
      <c r="V166" s="25">
        <v>13</v>
      </c>
      <c r="W166" s="142">
        <v>6</v>
      </c>
      <c r="X166" s="140">
        <v>27</v>
      </c>
      <c r="Y166" s="142">
        <v>0</v>
      </c>
      <c r="Z166" s="142">
        <v>27</v>
      </c>
      <c r="AA166" s="142">
        <v>9</v>
      </c>
      <c r="AC166" s="150">
        <v>0</v>
      </c>
      <c r="AD166" s="150">
        <v>0</v>
      </c>
      <c r="AE166" s="150">
        <v>0</v>
      </c>
      <c r="AF166" s="150">
        <v>0</v>
      </c>
      <c r="AG166" s="150">
        <v>0</v>
      </c>
      <c r="AH166" s="142">
        <v>0</v>
      </c>
      <c r="AI166" s="142">
        <v>19</v>
      </c>
      <c r="AJ166" s="142">
        <v>3</v>
      </c>
      <c r="AK166" s="142">
        <v>3</v>
      </c>
      <c r="AL166" s="142">
        <v>2</v>
      </c>
      <c r="AM166" s="140">
        <v>27</v>
      </c>
    </row>
    <row r="167" spans="1:42">
      <c r="B167" s="134" t="s">
        <v>320</v>
      </c>
      <c r="C167" s="176" t="s">
        <v>32</v>
      </c>
      <c r="D167" s="135">
        <v>26</v>
      </c>
      <c r="E167" s="176" t="s">
        <v>32</v>
      </c>
      <c r="F167" s="135">
        <v>22</v>
      </c>
      <c r="G167" s="136">
        <v>76</v>
      </c>
      <c r="H167" s="136">
        <v>74</v>
      </c>
      <c r="I167" s="136">
        <v>2013</v>
      </c>
      <c r="J167" s="144"/>
      <c r="K167" s="144"/>
      <c r="L167" s="170" t="s">
        <v>1132</v>
      </c>
      <c r="M167" s="142">
        <v>2016</v>
      </c>
      <c r="N167" s="142">
        <v>7</v>
      </c>
      <c r="O167" s="142" t="s">
        <v>1133</v>
      </c>
      <c r="P167" s="142" t="s">
        <v>28</v>
      </c>
      <c r="R167" s="142" t="s">
        <v>39</v>
      </c>
      <c r="S167" s="142" t="s">
        <v>1134</v>
      </c>
      <c r="T167" s="142" t="s">
        <v>340</v>
      </c>
      <c r="U167" s="25" t="s">
        <v>84</v>
      </c>
      <c r="V167" s="25">
        <v>48</v>
      </c>
      <c r="W167" s="142">
        <v>2</v>
      </c>
      <c r="X167" s="140">
        <v>6</v>
      </c>
      <c r="Y167" s="142">
        <v>0</v>
      </c>
      <c r="Z167" s="142">
        <v>6</v>
      </c>
      <c r="AA167" s="142">
        <v>2</v>
      </c>
      <c r="AC167" s="150">
        <v>0</v>
      </c>
      <c r="AD167" s="150">
        <v>0</v>
      </c>
      <c r="AE167" s="150">
        <v>0</v>
      </c>
      <c r="AF167" s="150">
        <v>0</v>
      </c>
      <c r="AG167" s="150">
        <v>0</v>
      </c>
      <c r="AH167" s="142">
        <v>3</v>
      </c>
      <c r="AI167" s="142">
        <v>1</v>
      </c>
      <c r="AJ167" s="142">
        <v>0</v>
      </c>
      <c r="AK167" s="142">
        <v>1</v>
      </c>
      <c r="AL167" s="142">
        <v>1</v>
      </c>
      <c r="AM167" s="140">
        <v>6</v>
      </c>
    </row>
    <row r="168" spans="1:42">
      <c r="B168" s="134" t="s">
        <v>320</v>
      </c>
      <c r="C168" s="176" t="s">
        <v>32</v>
      </c>
      <c r="D168" s="135">
        <v>26</v>
      </c>
      <c r="E168" s="176" t="s">
        <v>32</v>
      </c>
      <c r="F168" s="135">
        <v>22</v>
      </c>
      <c r="G168" s="136">
        <v>76</v>
      </c>
      <c r="H168" s="136">
        <v>74</v>
      </c>
      <c r="I168" s="136">
        <v>2013</v>
      </c>
      <c r="J168" s="171" t="s">
        <v>1135</v>
      </c>
      <c r="K168" s="144"/>
      <c r="L168" s="170" t="s">
        <v>1136</v>
      </c>
      <c r="M168" s="184">
        <v>2015</v>
      </c>
      <c r="N168" s="142">
        <v>8</v>
      </c>
      <c r="O168" s="142" t="s">
        <v>1137</v>
      </c>
      <c r="P168" s="142" t="s">
        <v>35</v>
      </c>
      <c r="R168" s="142" t="s">
        <v>30</v>
      </c>
      <c r="S168" s="142" t="s">
        <v>30</v>
      </c>
      <c r="T168" s="142" t="s">
        <v>343</v>
      </c>
      <c r="U168" s="25" t="s">
        <v>218</v>
      </c>
      <c r="V168" s="25">
        <v>13</v>
      </c>
      <c r="W168" s="142">
        <v>2</v>
      </c>
      <c r="X168" s="140">
        <v>11</v>
      </c>
      <c r="Y168" s="142">
        <v>2</v>
      </c>
      <c r="Z168" s="142">
        <v>9</v>
      </c>
      <c r="AA168" s="142">
        <v>5</v>
      </c>
      <c r="AC168" s="150">
        <v>0</v>
      </c>
      <c r="AD168" s="150">
        <v>2</v>
      </c>
      <c r="AE168" s="150">
        <v>0</v>
      </c>
      <c r="AF168" s="150">
        <v>0</v>
      </c>
      <c r="AG168" s="150">
        <v>0</v>
      </c>
      <c r="AH168" s="142">
        <v>0</v>
      </c>
      <c r="AI168" s="142">
        <v>5</v>
      </c>
      <c r="AJ168" s="142">
        <v>0</v>
      </c>
      <c r="AK168" s="142">
        <v>3</v>
      </c>
      <c r="AL168" s="142">
        <v>3</v>
      </c>
      <c r="AM168" s="140">
        <v>11</v>
      </c>
    </row>
    <row r="169" spans="1:42">
      <c r="B169" s="134" t="s">
        <v>320</v>
      </c>
      <c r="C169" s="176" t="s">
        <v>32</v>
      </c>
      <c r="D169" s="135">
        <v>26</v>
      </c>
      <c r="E169" s="176" t="s">
        <v>32</v>
      </c>
      <c r="F169" s="135">
        <v>22</v>
      </c>
      <c r="G169" s="136">
        <v>76</v>
      </c>
      <c r="H169" s="136">
        <v>74</v>
      </c>
      <c r="I169" s="136">
        <v>2013</v>
      </c>
      <c r="J169" s="144"/>
      <c r="K169" s="144"/>
      <c r="L169" s="170" t="s">
        <v>1138</v>
      </c>
      <c r="M169" s="142">
        <v>2015</v>
      </c>
      <c r="N169" s="142">
        <v>8</v>
      </c>
      <c r="O169" s="142" t="s">
        <v>1139</v>
      </c>
      <c r="P169" s="142" t="s">
        <v>35</v>
      </c>
      <c r="R169" s="142" t="s">
        <v>39</v>
      </c>
      <c r="S169" s="142" t="s">
        <v>1140</v>
      </c>
      <c r="T169" s="142" t="s">
        <v>346</v>
      </c>
      <c r="U169" s="25" t="s">
        <v>84</v>
      </c>
      <c r="V169" s="25">
        <v>85</v>
      </c>
      <c r="W169" s="142">
        <v>15</v>
      </c>
      <c r="X169" s="140">
        <v>81</v>
      </c>
      <c r="Y169" s="142">
        <v>1</v>
      </c>
      <c r="Z169" s="142">
        <v>80</v>
      </c>
      <c r="AA169" s="142">
        <v>43</v>
      </c>
      <c r="AC169" s="150">
        <v>0</v>
      </c>
      <c r="AD169" s="150">
        <v>1</v>
      </c>
      <c r="AE169" s="150">
        <v>0</v>
      </c>
      <c r="AF169" s="150">
        <v>0</v>
      </c>
      <c r="AG169" s="150">
        <v>0</v>
      </c>
      <c r="AH169" s="142">
        <v>0</v>
      </c>
      <c r="AI169" s="142">
        <v>52</v>
      </c>
      <c r="AJ169" s="142">
        <v>1</v>
      </c>
      <c r="AK169" s="142">
        <v>4</v>
      </c>
      <c r="AL169" s="142">
        <v>24</v>
      </c>
      <c r="AM169" s="140">
        <v>81</v>
      </c>
    </row>
    <row r="170" spans="1:42" s="165" customFormat="1">
      <c r="B170" s="134" t="s">
        <v>347</v>
      </c>
      <c r="C170" s="135" t="s">
        <v>85</v>
      </c>
      <c r="D170" s="135" t="s">
        <v>85</v>
      </c>
      <c r="E170" s="135" t="s">
        <v>85</v>
      </c>
      <c r="F170" s="135" t="s">
        <v>85</v>
      </c>
      <c r="G170" s="136">
        <v>56</v>
      </c>
      <c r="H170" s="136">
        <v>88</v>
      </c>
      <c r="I170" s="136">
        <v>2011</v>
      </c>
      <c r="J170" s="167"/>
      <c r="K170" s="167"/>
      <c r="L170" s="167"/>
      <c r="M170" s="165">
        <v>2022</v>
      </c>
      <c r="N170" s="165">
        <v>1</v>
      </c>
      <c r="O170" s="165" t="s">
        <v>348</v>
      </c>
      <c r="P170" s="165" t="s">
        <v>28</v>
      </c>
      <c r="R170" s="165" t="s">
        <v>30</v>
      </c>
      <c r="S170" s="165" t="s">
        <v>1141</v>
      </c>
      <c r="T170" s="165" t="s">
        <v>245</v>
      </c>
      <c r="U170" s="25" t="s">
        <v>874</v>
      </c>
      <c r="V170" s="25" t="s">
        <v>849</v>
      </c>
      <c r="W170" s="165">
        <v>0</v>
      </c>
      <c r="X170" s="140">
        <v>0</v>
      </c>
      <c r="Y170" s="165">
        <v>0</v>
      </c>
      <c r="Z170" s="165">
        <v>0</v>
      </c>
      <c r="AA170" s="165">
        <v>0</v>
      </c>
      <c r="AC170" s="150">
        <v>0</v>
      </c>
      <c r="AD170" s="150">
        <v>0</v>
      </c>
      <c r="AE170" s="150">
        <v>0</v>
      </c>
      <c r="AF170" s="150">
        <v>0</v>
      </c>
      <c r="AG170" s="150">
        <v>0</v>
      </c>
      <c r="AH170" s="165">
        <v>0</v>
      </c>
      <c r="AI170" s="165">
        <v>0</v>
      </c>
      <c r="AJ170" s="165">
        <v>0</v>
      </c>
      <c r="AK170" s="165">
        <v>0</v>
      </c>
      <c r="AL170" s="165">
        <v>0</v>
      </c>
      <c r="AM170" s="140">
        <v>0</v>
      </c>
    </row>
    <row r="171" spans="1:42">
      <c r="B171" s="134" t="s">
        <v>347</v>
      </c>
      <c r="C171" s="135" t="s">
        <v>85</v>
      </c>
      <c r="D171" s="135" t="s">
        <v>85</v>
      </c>
      <c r="E171" s="135" t="s">
        <v>85</v>
      </c>
      <c r="F171" s="135" t="s">
        <v>85</v>
      </c>
      <c r="G171" s="136">
        <v>56</v>
      </c>
      <c r="H171" s="136">
        <v>88</v>
      </c>
      <c r="I171" s="136">
        <v>2011</v>
      </c>
      <c r="J171" s="171" t="s">
        <v>1142</v>
      </c>
      <c r="K171" s="144"/>
      <c r="L171" s="170" t="s">
        <v>1143</v>
      </c>
      <c r="M171" s="142">
        <v>2021</v>
      </c>
      <c r="N171" s="142">
        <v>2</v>
      </c>
      <c r="O171" s="142" t="s">
        <v>349</v>
      </c>
      <c r="P171" s="142" t="s">
        <v>28</v>
      </c>
      <c r="R171" s="142" t="s">
        <v>39</v>
      </c>
      <c r="S171" s="142" t="s">
        <v>1144</v>
      </c>
      <c r="T171" s="142" t="s">
        <v>277</v>
      </c>
      <c r="U171" s="25" t="s">
        <v>84</v>
      </c>
      <c r="V171" s="25">
        <v>44</v>
      </c>
      <c r="W171" s="142">
        <v>6</v>
      </c>
      <c r="X171" s="140">
        <v>32</v>
      </c>
      <c r="Y171" s="142">
        <v>32</v>
      </c>
      <c r="Z171" s="142">
        <v>0</v>
      </c>
      <c r="AA171" s="142">
        <v>11</v>
      </c>
      <c r="AC171" s="150">
        <v>12</v>
      </c>
      <c r="AD171" s="150">
        <v>9</v>
      </c>
      <c r="AE171" s="150">
        <v>0</v>
      </c>
      <c r="AF171" s="150">
        <v>2</v>
      </c>
      <c r="AG171" s="150">
        <v>9</v>
      </c>
      <c r="AH171" s="142">
        <v>12</v>
      </c>
      <c r="AI171" s="142">
        <v>9</v>
      </c>
      <c r="AJ171" s="142">
        <v>0</v>
      </c>
      <c r="AK171" s="142">
        <v>2</v>
      </c>
      <c r="AL171" s="142">
        <v>9</v>
      </c>
      <c r="AM171" s="140">
        <v>32</v>
      </c>
    </row>
    <row r="172" spans="1:42">
      <c r="A172" s="142">
        <v>1</v>
      </c>
      <c r="B172" s="134" t="s">
        <v>347</v>
      </c>
      <c r="C172" s="135" t="s">
        <v>85</v>
      </c>
      <c r="D172" s="135" t="s">
        <v>85</v>
      </c>
      <c r="E172" s="135" t="s">
        <v>85</v>
      </c>
      <c r="F172" s="135" t="s">
        <v>85</v>
      </c>
      <c r="G172" s="136">
        <v>56</v>
      </c>
      <c r="H172" s="136">
        <v>88</v>
      </c>
      <c r="I172" s="136">
        <v>2011</v>
      </c>
      <c r="J172" s="144"/>
      <c r="K172" s="144"/>
      <c r="L172" s="170" t="s">
        <v>1145</v>
      </c>
      <c r="M172" s="142">
        <v>2019</v>
      </c>
      <c r="N172" s="142">
        <v>3</v>
      </c>
      <c r="O172" s="142" t="s">
        <v>1146</v>
      </c>
      <c r="P172" s="142" t="s">
        <v>28</v>
      </c>
      <c r="R172" s="142" t="s">
        <v>30</v>
      </c>
      <c r="S172" s="142" t="s">
        <v>30</v>
      </c>
      <c r="T172" s="142" t="s">
        <v>350</v>
      </c>
      <c r="U172" s="25" t="s">
        <v>101</v>
      </c>
      <c r="V172" s="25">
        <v>32</v>
      </c>
      <c r="W172" s="142">
        <v>1</v>
      </c>
      <c r="X172" s="140">
        <v>5</v>
      </c>
      <c r="Y172" s="142">
        <v>1</v>
      </c>
      <c r="Z172" s="142">
        <v>4</v>
      </c>
      <c r="AA172" s="142">
        <v>2</v>
      </c>
      <c r="AH172" s="142">
        <v>0</v>
      </c>
      <c r="AI172" s="142">
        <v>4</v>
      </c>
      <c r="AJ172" s="142">
        <v>1</v>
      </c>
      <c r="AK172" s="142">
        <v>0</v>
      </c>
      <c r="AL172" s="142">
        <v>0</v>
      </c>
      <c r="AM172" s="140">
        <v>5</v>
      </c>
    </row>
    <row r="173" spans="1:42">
      <c r="B173" s="134" t="s">
        <v>347</v>
      </c>
      <c r="C173" s="135" t="s">
        <v>85</v>
      </c>
      <c r="D173" s="135" t="s">
        <v>85</v>
      </c>
      <c r="E173" s="135" t="s">
        <v>85</v>
      </c>
      <c r="F173" s="135" t="s">
        <v>85</v>
      </c>
      <c r="G173" s="136">
        <v>56</v>
      </c>
      <c r="H173" s="136">
        <v>88</v>
      </c>
      <c r="I173" s="136">
        <v>2011</v>
      </c>
      <c r="J173" s="144"/>
      <c r="K173" s="144"/>
      <c r="L173" s="170" t="s">
        <v>1147</v>
      </c>
      <c r="M173" s="142">
        <v>2019</v>
      </c>
      <c r="N173" s="142">
        <v>4</v>
      </c>
      <c r="O173" s="142" t="s">
        <v>351</v>
      </c>
      <c r="P173" s="142" t="s">
        <v>35</v>
      </c>
      <c r="R173" s="142" t="s">
        <v>30</v>
      </c>
      <c r="S173" s="142" t="s">
        <v>30</v>
      </c>
      <c r="T173" s="142" t="s">
        <v>350</v>
      </c>
      <c r="U173" s="25" t="s">
        <v>101</v>
      </c>
      <c r="V173" s="25">
        <v>32</v>
      </c>
      <c r="W173" s="142">
        <v>0</v>
      </c>
      <c r="X173" s="140">
        <v>1</v>
      </c>
      <c r="Y173" s="142">
        <v>0</v>
      </c>
      <c r="Z173" s="142">
        <v>1</v>
      </c>
      <c r="AA173" s="142">
        <v>0</v>
      </c>
      <c r="AC173" s="150">
        <v>0</v>
      </c>
      <c r="AD173" s="150">
        <v>0</v>
      </c>
      <c r="AE173" s="150">
        <v>0</v>
      </c>
      <c r="AF173" s="150">
        <v>0</v>
      </c>
      <c r="AG173" s="150">
        <v>0</v>
      </c>
      <c r="AH173" s="142">
        <v>0</v>
      </c>
      <c r="AI173" s="142">
        <v>0</v>
      </c>
      <c r="AJ173" s="142">
        <v>1</v>
      </c>
      <c r="AK173" s="142">
        <v>0</v>
      </c>
      <c r="AL173" s="142">
        <v>0</v>
      </c>
      <c r="AM173" s="140">
        <v>1</v>
      </c>
    </row>
    <row r="174" spans="1:42">
      <c r="B174" s="134" t="s">
        <v>347</v>
      </c>
      <c r="C174" s="135" t="s">
        <v>85</v>
      </c>
      <c r="D174" s="135" t="s">
        <v>85</v>
      </c>
      <c r="E174" s="135" t="s">
        <v>85</v>
      </c>
      <c r="F174" s="135" t="s">
        <v>85</v>
      </c>
      <c r="G174" s="136">
        <v>56</v>
      </c>
      <c r="H174" s="136">
        <v>88</v>
      </c>
      <c r="I174" s="136">
        <v>2011</v>
      </c>
      <c r="J174" s="144"/>
      <c r="K174" s="144"/>
      <c r="L174" s="170" t="s">
        <v>1148</v>
      </c>
      <c r="M174" s="142">
        <v>2016</v>
      </c>
      <c r="N174" s="142">
        <v>5</v>
      </c>
      <c r="O174" s="142" t="s">
        <v>352</v>
      </c>
      <c r="P174" s="142" t="s">
        <v>35</v>
      </c>
      <c r="R174" s="142" t="s">
        <v>30</v>
      </c>
      <c r="S174" s="142" t="s">
        <v>30</v>
      </c>
      <c r="T174" s="142" t="s">
        <v>353</v>
      </c>
      <c r="U174" s="25" t="s">
        <v>218</v>
      </c>
      <c r="V174" s="25">
        <v>18</v>
      </c>
      <c r="W174" s="142">
        <v>2</v>
      </c>
      <c r="X174" s="140">
        <v>10</v>
      </c>
      <c r="Y174" s="142">
        <v>2</v>
      </c>
      <c r="Z174" s="142">
        <v>8</v>
      </c>
      <c r="AA174" s="142">
        <v>5</v>
      </c>
      <c r="AC174" s="150">
        <v>0</v>
      </c>
      <c r="AD174" s="150">
        <v>1</v>
      </c>
      <c r="AE174" s="150">
        <v>0</v>
      </c>
      <c r="AF174" s="150">
        <v>1</v>
      </c>
      <c r="AG174" s="150">
        <v>0</v>
      </c>
      <c r="AH174" s="142">
        <v>3</v>
      </c>
      <c r="AI174" s="142">
        <v>5</v>
      </c>
      <c r="AJ174" s="142">
        <v>1</v>
      </c>
      <c r="AK174" s="142">
        <v>1</v>
      </c>
      <c r="AL174" s="142">
        <v>0</v>
      </c>
      <c r="AM174" s="140">
        <v>10</v>
      </c>
    </row>
    <row r="175" spans="1:42">
      <c r="A175" s="142">
        <v>1</v>
      </c>
      <c r="B175" s="134" t="s">
        <v>347</v>
      </c>
      <c r="C175" s="135" t="s">
        <v>85</v>
      </c>
      <c r="D175" s="135" t="s">
        <v>85</v>
      </c>
      <c r="E175" s="135" t="s">
        <v>85</v>
      </c>
      <c r="F175" s="135" t="s">
        <v>85</v>
      </c>
      <c r="G175" s="136">
        <v>56</v>
      </c>
      <c r="H175" s="136">
        <v>88</v>
      </c>
      <c r="I175" s="136">
        <v>2011</v>
      </c>
      <c r="J175" s="144"/>
      <c r="K175" s="144"/>
      <c r="L175" s="170" t="s">
        <v>1149</v>
      </c>
      <c r="M175" s="142">
        <v>2017</v>
      </c>
      <c r="N175" s="142">
        <v>6</v>
      </c>
      <c r="O175" s="142" t="s">
        <v>1150</v>
      </c>
      <c r="P175" s="142" t="s">
        <v>35</v>
      </c>
      <c r="R175" s="142" t="s">
        <v>30</v>
      </c>
      <c r="S175" s="142" t="s">
        <v>30</v>
      </c>
      <c r="T175" s="142" t="s">
        <v>95</v>
      </c>
      <c r="U175" s="25" t="s">
        <v>84</v>
      </c>
      <c r="V175" s="25">
        <v>88</v>
      </c>
      <c r="W175" s="142">
        <v>6</v>
      </c>
      <c r="X175" s="140">
        <v>16</v>
      </c>
      <c r="Y175" s="142">
        <v>12</v>
      </c>
      <c r="Z175" s="142">
        <v>4</v>
      </c>
      <c r="AA175" s="142">
        <v>3</v>
      </c>
      <c r="AH175" s="142">
        <v>6</v>
      </c>
      <c r="AI175" s="142">
        <v>3</v>
      </c>
      <c r="AJ175" s="142">
        <v>5</v>
      </c>
      <c r="AK175" s="142">
        <v>0</v>
      </c>
      <c r="AL175" s="142">
        <v>2</v>
      </c>
      <c r="AM175" s="140">
        <v>16</v>
      </c>
    </row>
    <row r="176" spans="1:42" s="25" customFormat="1" ht="46.5">
      <c r="A176" s="142">
        <v>1</v>
      </c>
      <c r="B176" s="134" t="s">
        <v>356</v>
      </c>
      <c r="C176" s="136" t="s">
        <v>85</v>
      </c>
      <c r="D176" s="136" t="s">
        <v>85</v>
      </c>
      <c r="E176" s="136" t="s">
        <v>33</v>
      </c>
      <c r="F176" s="136" t="s">
        <v>33</v>
      </c>
      <c r="G176" s="136">
        <v>62</v>
      </c>
      <c r="H176" s="136">
        <v>74</v>
      </c>
      <c r="I176" s="136">
        <v>2009</v>
      </c>
      <c r="J176" s="136" t="s">
        <v>1151</v>
      </c>
      <c r="K176" s="149" t="s">
        <v>1152</v>
      </c>
      <c r="L176" s="136"/>
      <c r="M176" s="25">
        <v>2019</v>
      </c>
      <c r="N176" s="25">
        <v>4</v>
      </c>
      <c r="O176" s="185" t="s">
        <v>357</v>
      </c>
      <c r="P176" s="25" t="s">
        <v>35</v>
      </c>
      <c r="R176" s="25" t="s">
        <v>30</v>
      </c>
      <c r="S176" s="25" t="s">
        <v>30</v>
      </c>
      <c r="T176" s="25" t="s">
        <v>358</v>
      </c>
      <c r="U176" s="25" t="s">
        <v>84</v>
      </c>
      <c r="V176" s="25">
        <v>48</v>
      </c>
      <c r="W176" s="25">
        <v>3</v>
      </c>
      <c r="X176" s="25">
        <v>8</v>
      </c>
      <c r="Y176" s="25">
        <v>2</v>
      </c>
      <c r="Z176" s="25">
        <v>6</v>
      </c>
      <c r="AA176" s="25">
        <v>3</v>
      </c>
      <c r="AC176" s="150"/>
      <c r="AD176" s="150"/>
      <c r="AE176" s="150"/>
      <c r="AF176" s="150"/>
      <c r="AG176" s="150"/>
      <c r="AH176" s="25">
        <v>1</v>
      </c>
      <c r="AI176" s="25">
        <v>4</v>
      </c>
      <c r="AJ176" s="25">
        <v>1</v>
      </c>
      <c r="AK176" s="25">
        <v>1</v>
      </c>
      <c r="AL176" s="25">
        <v>1</v>
      </c>
      <c r="AM176" s="140">
        <f t="shared" ref="AM176:AM257" si="5">SUM(AH176:AL176)</f>
        <v>8</v>
      </c>
      <c r="AN176" s="25">
        <v>0</v>
      </c>
      <c r="AO176" s="25">
        <v>0</v>
      </c>
      <c r="AP176" s="25">
        <v>0</v>
      </c>
    </row>
    <row r="177" spans="1:42" s="25" customFormat="1" ht="46.5">
      <c r="A177" s="142">
        <v>1</v>
      </c>
      <c r="B177" s="134" t="s">
        <v>359</v>
      </c>
      <c r="C177" s="136" t="s">
        <v>85</v>
      </c>
      <c r="D177" s="136" t="s">
        <v>85</v>
      </c>
      <c r="E177" s="136" t="s">
        <v>33</v>
      </c>
      <c r="F177" s="136" t="s">
        <v>33</v>
      </c>
      <c r="G177" s="136">
        <v>62</v>
      </c>
      <c r="H177" s="136">
        <v>74</v>
      </c>
      <c r="I177" s="136">
        <v>2009</v>
      </c>
      <c r="J177" s="136"/>
      <c r="K177" s="149"/>
      <c r="L177" s="136" t="s">
        <v>1153</v>
      </c>
      <c r="M177" s="25">
        <v>2022</v>
      </c>
      <c r="N177" s="25">
        <v>1</v>
      </c>
      <c r="O177" s="25" t="s">
        <v>360</v>
      </c>
      <c r="P177" s="25" t="s">
        <v>35</v>
      </c>
      <c r="R177" s="25" t="s">
        <v>30</v>
      </c>
      <c r="S177" s="25" t="s">
        <v>30</v>
      </c>
      <c r="T177" s="186" t="s">
        <v>361</v>
      </c>
      <c r="U177" s="25" t="s">
        <v>84</v>
      </c>
      <c r="V177" s="25">
        <v>114</v>
      </c>
      <c r="W177" s="25">
        <v>4</v>
      </c>
      <c r="X177" s="25">
        <v>23</v>
      </c>
      <c r="Y177" s="25">
        <v>19</v>
      </c>
      <c r="Z177" s="25">
        <v>4</v>
      </c>
      <c r="AA177" s="25">
        <v>8</v>
      </c>
      <c r="AC177" s="150"/>
      <c r="AD177" s="150"/>
      <c r="AE177" s="150"/>
      <c r="AF177" s="150"/>
      <c r="AG177" s="150"/>
      <c r="AH177" s="25">
        <v>1</v>
      </c>
      <c r="AI177" s="25">
        <v>21</v>
      </c>
      <c r="AJ177" s="25">
        <v>1</v>
      </c>
      <c r="AK177" s="25">
        <v>0</v>
      </c>
      <c r="AL177" s="25">
        <v>0</v>
      </c>
      <c r="AM177" s="140">
        <f t="shared" si="5"/>
        <v>23</v>
      </c>
      <c r="AN177" s="25">
        <v>1</v>
      </c>
      <c r="AO177" s="25">
        <v>0</v>
      </c>
      <c r="AP177" s="25">
        <v>1</v>
      </c>
    </row>
    <row r="178" spans="1:42" s="165" customFormat="1">
      <c r="B178" s="134" t="s">
        <v>362</v>
      </c>
      <c r="C178" s="136" t="s">
        <v>33</v>
      </c>
      <c r="D178" s="136" t="s">
        <v>33</v>
      </c>
      <c r="E178" s="136" t="s">
        <v>32</v>
      </c>
      <c r="F178" s="136">
        <v>48</v>
      </c>
      <c r="G178" s="136">
        <v>35</v>
      </c>
      <c r="H178" s="136">
        <v>74</v>
      </c>
      <c r="I178" s="176">
        <v>2020</v>
      </c>
      <c r="J178" s="167"/>
      <c r="K178" s="167"/>
      <c r="L178" s="171" t="s">
        <v>1154</v>
      </c>
      <c r="M178" s="165">
        <v>2022</v>
      </c>
      <c r="N178" s="165">
        <v>1</v>
      </c>
      <c r="O178" s="165" t="s">
        <v>1155</v>
      </c>
      <c r="P178" s="165" t="s">
        <v>35</v>
      </c>
      <c r="R178" s="165" t="s">
        <v>30</v>
      </c>
      <c r="S178" s="165" t="s">
        <v>30</v>
      </c>
      <c r="T178" s="165" t="s">
        <v>152</v>
      </c>
      <c r="U178" s="25" t="s">
        <v>218</v>
      </c>
      <c r="V178" s="25">
        <v>5</v>
      </c>
      <c r="W178" s="165">
        <v>2</v>
      </c>
      <c r="X178" s="140">
        <v>5</v>
      </c>
      <c r="Y178" s="165">
        <v>5</v>
      </c>
      <c r="Z178" s="165">
        <v>0</v>
      </c>
      <c r="AA178" s="165">
        <v>3</v>
      </c>
      <c r="AC178" s="150">
        <v>0</v>
      </c>
      <c r="AD178" s="150">
        <v>4</v>
      </c>
      <c r="AE178" s="150">
        <v>1</v>
      </c>
      <c r="AF178" s="150">
        <v>0</v>
      </c>
      <c r="AG178" s="150">
        <v>0</v>
      </c>
      <c r="AH178" s="165">
        <v>0</v>
      </c>
      <c r="AI178" s="165">
        <v>4</v>
      </c>
      <c r="AJ178" s="165">
        <v>1</v>
      </c>
      <c r="AK178" s="165">
        <v>0</v>
      </c>
      <c r="AL178" s="165">
        <v>0</v>
      </c>
      <c r="AM178" s="140">
        <v>5</v>
      </c>
    </row>
    <row r="179" spans="1:42" s="165" customFormat="1" ht="46.5">
      <c r="A179" s="142">
        <v>1</v>
      </c>
      <c r="B179" s="134" t="s">
        <v>362</v>
      </c>
      <c r="C179" s="136" t="s">
        <v>33</v>
      </c>
      <c r="D179" s="136" t="s">
        <v>33</v>
      </c>
      <c r="E179" s="136" t="s">
        <v>32</v>
      </c>
      <c r="F179" s="136">
        <v>48</v>
      </c>
      <c r="G179" s="136">
        <v>35</v>
      </c>
      <c r="H179" s="136">
        <v>74</v>
      </c>
      <c r="I179" s="176">
        <v>2020</v>
      </c>
      <c r="J179" s="167"/>
      <c r="K179" s="167" t="s">
        <v>1156</v>
      </c>
      <c r="L179" s="187" t="s">
        <v>1157</v>
      </c>
      <c r="M179" s="165">
        <v>2021</v>
      </c>
      <c r="N179" s="165">
        <v>2</v>
      </c>
      <c r="O179" s="165" t="s">
        <v>364</v>
      </c>
      <c r="P179" s="165" t="s">
        <v>35</v>
      </c>
      <c r="R179" s="165" t="s">
        <v>30</v>
      </c>
      <c r="S179" s="165" t="s">
        <v>30</v>
      </c>
      <c r="T179" s="165" t="s">
        <v>365</v>
      </c>
      <c r="U179" s="25" t="s">
        <v>84</v>
      </c>
      <c r="V179" s="25">
        <v>44</v>
      </c>
      <c r="W179" s="165">
        <v>7</v>
      </c>
      <c r="X179" s="140">
        <v>32</v>
      </c>
      <c r="Y179" s="165">
        <v>31</v>
      </c>
      <c r="Z179" s="165">
        <v>1</v>
      </c>
      <c r="AA179" s="165">
        <v>7</v>
      </c>
      <c r="AC179" s="150"/>
      <c r="AD179" s="150"/>
      <c r="AE179" s="150"/>
      <c r="AF179" s="150"/>
      <c r="AG179" s="150"/>
      <c r="AH179" s="165">
        <v>0</v>
      </c>
      <c r="AI179" s="165">
        <v>5</v>
      </c>
      <c r="AJ179" s="165">
        <v>2</v>
      </c>
      <c r="AK179" s="165">
        <v>6</v>
      </c>
      <c r="AL179" s="165">
        <v>19</v>
      </c>
      <c r="AM179" s="140">
        <v>32</v>
      </c>
      <c r="AN179" s="165" t="s">
        <v>1158</v>
      </c>
      <c r="AO179" s="165">
        <v>1</v>
      </c>
      <c r="AP179" s="165">
        <v>0</v>
      </c>
    </row>
    <row r="180" spans="1:42" s="165" customFormat="1" ht="31">
      <c r="A180" s="142">
        <v>1</v>
      </c>
      <c r="B180" s="134" t="s">
        <v>362</v>
      </c>
      <c r="C180" s="136" t="s">
        <v>33</v>
      </c>
      <c r="D180" s="136" t="s">
        <v>33</v>
      </c>
      <c r="E180" s="136" t="s">
        <v>32</v>
      </c>
      <c r="F180" s="136">
        <v>48</v>
      </c>
      <c r="G180" s="136">
        <v>35</v>
      </c>
      <c r="H180" s="136">
        <v>74</v>
      </c>
      <c r="I180" s="176">
        <v>2020</v>
      </c>
      <c r="J180" s="167"/>
      <c r="K180" s="167"/>
      <c r="L180" s="187" t="s">
        <v>1159</v>
      </c>
      <c r="M180" s="165">
        <v>2021</v>
      </c>
      <c r="N180" s="165">
        <v>2</v>
      </c>
      <c r="O180" s="165" t="s">
        <v>1160</v>
      </c>
      <c r="P180" s="165" t="s">
        <v>35</v>
      </c>
      <c r="R180" s="142" t="s">
        <v>54</v>
      </c>
      <c r="S180" s="165" t="s">
        <v>846</v>
      </c>
      <c r="T180" s="165" t="s">
        <v>362</v>
      </c>
      <c r="U180" s="25" t="s">
        <v>101</v>
      </c>
      <c r="V180" s="25">
        <v>35</v>
      </c>
      <c r="W180" s="165">
        <v>6</v>
      </c>
      <c r="X180" s="140">
        <v>18</v>
      </c>
      <c r="Y180" s="165">
        <v>12</v>
      </c>
      <c r="Z180" s="165">
        <v>6</v>
      </c>
      <c r="AA180" s="165">
        <v>6</v>
      </c>
      <c r="AC180" s="150"/>
      <c r="AD180" s="150"/>
      <c r="AE180" s="150"/>
      <c r="AF180" s="150"/>
      <c r="AG180" s="150"/>
      <c r="AH180" s="165">
        <v>8</v>
      </c>
      <c r="AI180" s="165">
        <v>4</v>
      </c>
      <c r="AJ180" s="165">
        <v>1</v>
      </c>
      <c r="AK180" s="165">
        <v>5</v>
      </c>
      <c r="AL180" s="165">
        <v>0</v>
      </c>
      <c r="AM180" s="140">
        <v>18</v>
      </c>
    </row>
    <row r="181" spans="1:42">
      <c r="A181" s="142">
        <v>1</v>
      </c>
      <c r="B181" s="134" t="s">
        <v>367</v>
      </c>
      <c r="C181" s="135" t="s">
        <v>32</v>
      </c>
      <c r="D181" s="135">
        <v>47</v>
      </c>
      <c r="E181" s="136" t="s">
        <v>32</v>
      </c>
      <c r="F181" s="135">
        <v>32</v>
      </c>
      <c r="G181" s="136">
        <v>29</v>
      </c>
      <c r="H181" s="136">
        <v>74</v>
      </c>
      <c r="I181" s="136">
        <v>2013</v>
      </c>
      <c r="J181" s="144"/>
      <c r="K181" s="171" t="s">
        <v>1161</v>
      </c>
      <c r="L181" s="170" t="s">
        <v>1162</v>
      </c>
      <c r="M181" s="142">
        <v>2021</v>
      </c>
      <c r="N181" s="142">
        <v>2</v>
      </c>
      <c r="O181" s="142" t="s">
        <v>1163</v>
      </c>
      <c r="P181" s="142" t="s">
        <v>35</v>
      </c>
      <c r="R181" s="142" t="s">
        <v>30</v>
      </c>
      <c r="S181" s="142" t="s">
        <v>30</v>
      </c>
      <c r="T181" s="142" t="s">
        <v>346</v>
      </c>
      <c r="U181" s="25" t="s">
        <v>84</v>
      </c>
      <c r="V181" s="25">
        <v>85</v>
      </c>
      <c r="W181" s="142">
        <v>0</v>
      </c>
      <c r="X181" s="140">
        <v>2</v>
      </c>
      <c r="Y181" s="142">
        <v>1</v>
      </c>
      <c r="Z181" s="142">
        <v>1</v>
      </c>
      <c r="AA181" s="142">
        <v>1</v>
      </c>
      <c r="AH181" s="142">
        <v>0</v>
      </c>
      <c r="AI181" s="142">
        <v>1</v>
      </c>
      <c r="AJ181" s="142">
        <v>1</v>
      </c>
      <c r="AK181" s="142">
        <v>0</v>
      </c>
      <c r="AL181" s="142">
        <v>0</v>
      </c>
      <c r="AM181" s="140">
        <v>2</v>
      </c>
    </row>
    <row r="182" spans="1:42">
      <c r="B182" s="134" t="s">
        <v>367</v>
      </c>
      <c r="C182" s="135" t="s">
        <v>32</v>
      </c>
      <c r="D182" s="135">
        <v>47</v>
      </c>
      <c r="E182" s="136" t="s">
        <v>32</v>
      </c>
      <c r="F182" s="135">
        <v>32</v>
      </c>
      <c r="G182" s="136">
        <v>29</v>
      </c>
      <c r="H182" s="136">
        <v>74</v>
      </c>
      <c r="I182" s="136">
        <v>2013</v>
      </c>
      <c r="J182" s="144"/>
      <c r="K182" s="171" t="s">
        <v>1164</v>
      </c>
      <c r="L182" s="170" t="s">
        <v>1165</v>
      </c>
      <c r="M182" s="142">
        <v>2019</v>
      </c>
      <c r="N182" s="142">
        <v>3</v>
      </c>
      <c r="O182" s="142" t="s">
        <v>369</v>
      </c>
      <c r="P182" s="142" t="s">
        <v>35</v>
      </c>
      <c r="R182" s="142" t="s">
        <v>30</v>
      </c>
      <c r="S182" s="142" t="s">
        <v>30</v>
      </c>
      <c r="T182" s="142" t="s">
        <v>370</v>
      </c>
      <c r="U182" s="25" t="s">
        <v>84</v>
      </c>
      <c r="V182" s="25">
        <v>58</v>
      </c>
      <c r="W182" s="142">
        <v>1</v>
      </c>
      <c r="X182" s="140">
        <v>18</v>
      </c>
      <c r="Y182" s="142">
        <v>0</v>
      </c>
      <c r="Z182" s="142">
        <v>18</v>
      </c>
      <c r="AA182" s="142">
        <v>16</v>
      </c>
      <c r="AC182" s="150">
        <v>0</v>
      </c>
      <c r="AD182" s="150">
        <v>0</v>
      </c>
      <c r="AE182" s="150">
        <v>0</v>
      </c>
      <c r="AF182" s="150">
        <v>0</v>
      </c>
      <c r="AG182" s="150">
        <v>0</v>
      </c>
      <c r="AH182" s="142">
        <v>0</v>
      </c>
      <c r="AI182" s="142">
        <v>2</v>
      </c>
      <c r="AJ182" s="142">
        <v>7</v>
      </c>
      <c r="AK182" s="142">
        <v>3</v>
      </c>
      <c r="AL182" s="142">
        <v>6</v>
      </c>
      <c r="AM182" s="140">
        <v>18</v>
      </c>
    </row>
    <row r="183" spans="1:42">
      <c r="A183" s="142">
        <v>1</v>
      </c>
      <c r="B183" s="134" t="s">
        <v>367</v>
      </c>
      <c r="C183" s="135" t="s">
        <v>32</v>
      </c>
      <c r="D183" s="135">
        <v>47</v>
      </c>
      <c r="E183" s="136" t="s">
        <v>32</v>
      </c>
      <c r="F183" s="135">
        <v>32</v>
      </c>
      <c r="G183" s="136">
        <v>29</v>
      </c>
      <c r="H183" s="136">
        <v>74</v>
      </c>
      <c r="I183" s="136">
        <v>2013</v>
      </c>
      <c r="J183" s="171" t="s">
        <v>1166</v>
      </c>
      <c r="K183" s="167"/>
      <c r="L183" s="170" t="s">
        <v>1167</v>
      </c>
      <c r="M183" s="142">
        <v>2019</v>
      </c>
      <c r="N183" s="142">
        <v>4</v>
      </c>
      <c r="O183" s="142" t="s">
        <v>1168</v>
      </c>
      <c r="P183" s="142" t="s">
        <v>35</v>
      </c>
      <c r="R183" s="142" t="s">
        <v>30</v>
      </c>
      <c r="S183" s="142" t="s">
        <v>30</v>
      </c>
      <c r="T183" s="142" t="s">
        <v>372</v>
      </c>
      <c r="U183" s="25" t="s">
        <v>101</v>
      </c>
      <c r="V183" s="25">
        <v>28</v>
      </c>
      <c r="W183" s="142">
        <v>2</v>
      </c>
      <c r="X183" s="140">
        <v>3</v>
      </c>
      <c r="Y183" s="142">
        <v>1</v>
      </c>
      <c r="Z183" s="142">
        <v>2</v>
      </c>
      <c r="AA183" s="142">
        <v>1</v>
      </c>
      <c r="AH183" s="142">
        <v>0</v>
      </c>
      <c r="AI183" s="142">
        <v>3</v>
      </c>
      <c r="AJ183" s="142">
        <v>0</v>
      </c>
      <c r="AK183" s="142">
        <v>0</v>
      </c>
      <c r="AL183" s="142">
        <v>0</v>
      </c>
      <c r="AM183" s="140">
        <v>3</v>
      </c>
    </row>
    <row r="184" spans="1:42">
      <c r="B184" s="134" t="s">
        <v>367</v>
      </c>
      <c r="C184" s="135" t="s">
        <v>32</v>
      </c>
      <c r="D184" s="135">
        <v>47</v>
      </c>
      <c r="E184" s="136" t="s">
        <v>32</v>
      </c>
      <c r="F184" s="135">
        <v>32</v>
      </c>
      <c r="G184" s="136">
        <v>29</v>
      </c>
      <c r="H184" s="136">
        <v>74</v>
      </c>
      <c r="I184" s="136">
        <v>2013</v>
      </c>
      <c r="J184" s="144"/>
      <c r="K184" s="167"/>
      <c r="L184" s="170" t="s">
        <v>1169</v>
      </c>
      <c r="M184" s="142">
        <v>2016</v>
      </c>
      <c r="N184" s="142">
        <v>6</v>
      </c>
      <c r="O184" s="142" t="s">
        <v>1170</v>
      </c>
      <c r="P184" s="142" t="s">
        <v>28</v>
      </c>
      <c r="R184" s="142" t="s">
        <v>30</v>
      </c>
      <c r="S184" s="142" t="s">
        <v>30</v>
      </c>
      <c r="T184" s="142" t="s">
        <v>374</v>
      </c>
      <c r="U184" s="25" t="s">
        <v>1171</v>
      </c>
      <c r="V184" s="25" t="s">
        <v>849</v>
      </c>
      <c r="W184" s="142">
        <v>0</v>
      </c>
      <c r="X184" s="140">
        <v>2</v>
      </c>
      <c r="Y184" s="142">
        <v>0</v>
      </c>
      <c r="Z184" s="142">
        <v>2</v>
      </c>
      <c r="AA184" s="142">
        <v>2</v>
      </c>
      <c r="AC184" s="150">
        <v>0</v>
      </c>
      <c r="AD184" s="150">
        <v>0</v>
      </c>
      <c r="AE184" s="150">
        <v>0</v>
      </c>
      <c r="AF184" s="150">
        <v>0</v>
      </c>
      <c r="AG184" s="150">
        <v>0</v>
      </c>
      <c r="AH184" s="142">
        <v>0</v>
      </c>
      <c r="AI184" s="142">
        <v>2</v>
      </c>
      <c r="AJ184" s="142">
        <v>0</v>
      </c>
      <c r="AK184" s="142">
        <v>0</v>
      </c>
      <c r="AL184" s="142">
        <v>0</v>
      </c>
      <c r="AM184" s="140">
        <v>2</v>
      </c>
    </row>
    <row r="185" spans="1:42">
      <c r="A185" s="142">
        <v>1</v>
      </c>
      <c r="B185" s="134" t="s">
        <v>375</v>
      </c>
      <c r="C185" s="135" t="s">
        <v>32</v>
      </c>
      <c r="D185" s="176">
        <v>17</v>
      </c>
      <c r="E185" s="136" t="s">
        <v>32</v>
      </c>
      <c r="F185" s="176">
        <v>8</v>
      </c>
      <c r="G185" s="136">
        <v>88</v>
      </c>
      <c r="H185" s="136">
        <v>74</v>
      </c>
      <c r="I185" s="136">
        <v>2008</v>
      </c>
      <c r="J185" s="144"/>
      <c r="K185" s="167"/>
      <c r="L185" s="145" t="s">
        <v>1172</v>
      </c>
      <c r="M185" s="142">
        <v>2022</v>
      </c>
      <c r="N185" s="142">
        <v>1</v>
      </c>
      <c r="O185" s="142" t="s">
        <v>376</v>
      </c>
      <c r="P185" s="142" t="s">
        <v>35</v>
      </c>
      <c r="Q185" s="142" t="s">
        <v>377</v>
      </c>
      <c r="R185" s="142" t="s">
        <v>30</v>
      </c>
      <c r="S185" s="142" t="s">
        <v>30</v>
      </c>
      <c r="T185" s="142" t="s">
        <v>378</v>
      </c>
      <c r="V185" s="25" t="s">
        <v>849</v>
      </c>
      <c r="W185" s="142">
        <v>7</v>
      </c>
      <c r="X185" s="140">
        <v>40</v>
      </c>
      <c r="Y185" s="142">
        <v>38</v>
      </c>
      <c r="Z185" s="142">
        <v>2</v>
      </c>
      <c r="AA185" s="142">
        <v>13</v>
      </c>
      <c r="AH185" s="142">
        <v>17</v>
      </c>
      <c r="AI185" s="142">
        <v>12</v>
      </c>
      <c r="AJ185" s="142">
        <v>0</v>
      </c>
      <c r="AK185" s="142">
        <v>1</v>
      </c>
      <c r="AL185" s="142">
        <v>10</v>
      </c>
      <c r="AM185" s="140">
        <f t="shared" si="5"/>
        <v>40</v>
      </c>
      <c r="AN185" s="142" t="s">
        <v>867</v>
      </c>
      <c r="AP185" s="142">
        <v>3</v>
      </c>
    </row>
    <row r="186" spans="1:42" ht="46.5">
      <c r="A186" s="142">
        <v>1</v>
      </c>
      <c r="B186" s="134" t="s">
        <v>375</v>
      </c>
      <c r="C186" s="135" t="s">
        <v>32</v>
      </c>
      <c r="D186" s="176">
        <v>17</v>
      </c>
      <c r="E186" s="136" t="s">
        <v>32</v>
      </c>
      <c r="F186" s="176">
        <v>8</v>
      </c>
      <c r="G186" s="136">
        <v>88</v>
      </c>
      <c r="H186" s="136">
        <v>74</v>
      </c>
      <c r="I186" s="136">
        <v>2008</v>
      </c>
      <c r="J186" s="144" t="s">
        <v>1173</v>
      </c>
      <c r="K186" s="167" t="s">
        <v>1174</v>
      </c>
      <c r="L186" s="145" t="s">
        <v>1175</v>
      </c>
      <c r="M186" s="142">
        <v>2022</v>
      </c>
      <c r="N186" s="142">
        <v>1</v>
      </c>
      <c r="O186" s="142" t="s">
        <v>379</v>
      </c>
      <c r="P186" s="142" t="s">
        <v>35</v>
      </c>
      <c r="Q186" s="25"/>
      <c r="R186" s="142" t="s">
        <v>30</v>
      </c>
      <c r="S186" s="142" t="s">
        <v>30</v>
      </c>
      <c r="T186" s="142" t="s">
        <v>228</v>
      </c>
      <c r="U186" s="25" t="s">
        <v>84</v>
      </c>
      <c r="V186" s="25">
        <v>53</v>
      </c>
      <c r="W186" s="142">
        <v>5</v>
      </c>
      <c r="X186" s="140">
        <v>10</v>
      </c>
      <c r="Y186" s="142">
        <v>9</v>
      </c>
      <c r="Z186" s="142">
        <v>1</v>
      </c>
      <c r="AA186" s="142">
        <v>8</v>
      </c>
      <c r="AH186" s="142">
        <v>0</v>
      </c>
      <c r="AI186" s="142">
        <v>0</v>
      </c>
      <c r="AJ186" s="142">
        <v>1</v>
      </c>
      <c r="AK186" s="142">
        <v>3</v>
      </c>
      <c r="AL186" s="142">
        <v>6</v>
      </c>
      <c r="AM186" s="140">
        <f t="shared" si="5"/>
        <v>10</v>
      </c>
      <c r="AN186" s="143" t="s">
        <v>1009</v>
      </c>
      <c r="AO186" s="143"/>
      <c r="AP186" s="143" t="s">
        <v>831</v>
      </c>
    </row>
    <row r="187" spans="1:42" ht="46.5">
      <c r="A187" s="142">
        <v>1</v>
      </c>
      <c r="B187" s="134" t="s">
        <v>375</v>
      </c>
      <c r="C187" s="135" t="s">
        <v>32</v>
      </c>
      <c r="D187" s="176">
        <v>17</v>
      </c>
      <c r="E187" s="136" t="s">
        <v>32</v>
      </c>
      <c r="F187" s="176">
        <v>8</v>
      </c>
      <c r="G187" s="136">
        <v>88</v>
      </c>
      <c r="H187" s="136">
        <v>74</v>
      </c>
      <c r="I187" s="136">
        <v>2008</v>
      </c>
      <c r="J187" s="144" t="s">
        <v>1176</v>
      </c>
      <c r="K187" s="145" t="s">
        <v>1177</v>
      </c>
      <c r="L187" s="145" t="s">
        <v>1178</v>
      </c>
      <c r="M187" s="142">
        <v>2021</v>
      </c>
      <c r="N187" s="142">
        <v>2</v>
      </c>
      <c r="O187" s="142" t="s">
        <v>380</v>
      </c>
      <c r="P187" s="142" t="s">
        <v>28</v>
      </c>
      <c r="Q187" s="25"/>
      <c r="R187" s="142" t="s">
        <v>30</v>
      </c>
      <c r="S187" s="142" t="s">
        <v>30</v>
      </c>
      <c r="T187" s="142" t="s">
        <v>217</v>
      </c>
      <c r="U187" s="25" t="s">
        <v>218</v>
      </c>
      <c r="V187" s="25">
        <v>3</v>
      </c>
      <c r="W187" s="142">
        <v>2</v>
      </c>
      <c r="X187" s="140">
        <v>19</v>
      </c>
      <c r="Y187" s="142">
        <v>6</v>
      </c>
      <c r="Z187" s="142">
        <v>13</v>
      </c>
      <c r="AA187" s="142">
        <v>1</v>
      </c>
      <c r="AH187" s="142">
        <v>0</v>
      </c>
      <c r="AI187" s="142">
        <v>18</v>
      </c>
      <c r="AJ187" s="142">
        <v>0</v>
      </c>
      <c r="AK187" s="142">
        <v>1</v>
      </c>
      <c r="AL187" s="142">
        <v>1</v>
      </c>
      <c r="AM187" s="140">
        <f t="shared" si="5"/>
        <v>20</v>
      </c>
      <c r="AN187" s="142" t="s">
        <v>826</v>
      </c>
      <c r="AP187" s="142">
        <v>0</v>
      </c>
    </row>
    <row r="188" spans="1:42" ht="46.5">
      <c r="A188" s="142">
        <v>1</v>
      </c>
      <c r="B188" s="134" t="s">
        <v>375</v>
      </c>
      <c r="C188" s="135" t="s">
        <v>32</v>
      </c>
      <c r="D188" s="176">
        <v>17</v>
      </c>
      <c r="E188" s="136" t="s">
        <v>32</v>
      </c>
      <c r="F188" s="176">
        <v>8</v>
      </c>
      <c r="G188" s="136">
        <v>88</v>
      </c>
      <c r="H188" s="136">
        <v>74</v>
      </c>
      <c r="I188" s="136">
        <v>2008</v>
      </c>
      <c r="J188" s="144"/>
      <c r="K188" s="167" t="s">
        <v>1179</v>
      </c>
      <c r="L188" s="145" t="s">
        <v>1180</v>
      </c>
      <c r="M188" s="142">
        <v>2021</v>
      </c>
      <c r="N188" s="142">
        <v>2</v>
      </c>
      <c r="O188" s="142" t="s">
        <v>381</v>
      </c>
      <c r="P188" s="142" t="s">
        <v>35</v>
      </c>
      <c r="Q188" s="25"/>
      <c r="R188" s="142" t="s">
        <v>30</v>
      </c>
      <c r="S188" s="142" t="s">
        <v>30</v>
      </c>
      <c r="T188" s="142" t="s">
        <v>185</v>
      </c>
      <c r="U188" s="25" t="s">
        <v>84</v>
      </c>
      <c r="V188" s="25">
        <v>68</v>
      </c>
      <c r="W188" s="142">
        <v>5</v>
      </c>
      <c r="X188" s="140">
        <v>25</v>
      </c>
      <c r="Y188" s="142">
        <v>19</v>
      </c>
      <c r="Z188" s="142">
        <v>6</v>
      </c>
      <c r="AA188" s="142">
        <v>14</v>
      </c>
      <c r="AH188" s="142">
        <v>0</v>
      </c>
      <c r="AI188" s="142">
        <v>17</v>
      </c>
      <c r="AJ188" s="142">
        <v>2</v>
      </c>
      <c r="AK188" s="142">
        <v>1</v>
      </c>
      <c r="AL188" s="142">
        <v>5</v>
      </c>
      <c r="AM188" s="140">
        <f t="shared" si="5"/>
        <v>25</v>
      </c>
      <c r="AN188" s="142" t="s">
        <v>826</v>
      </c>
      <c r="AP188" s="142">
        <v>0</v>
      </c>
    </row>
    <row r="189" spans="1:42" ht="108.5">
      <c r="A189" s="142">
        <v>1</v>
      </c>
      <c r="B189" s="134" t="s">
        <v>375</v>
      </c>
      <c r="C189" s="135" t="s">
        <v>32</v>
      </c>
      <c r="D189" s="176">
        <v>17</v>
      </c>
      <c r="E189" s="136" t="s">
        <v>32</v>
      </c>
      <c r="F189" s="176">
        <v>8</v>
      </c>
      <c r="G189" s="136">
        <v>88</v>
      </c>
      <c r="H189" s="136">
        <v>74</v>
      </c>
      <c r="I189" s="136">
        <v>2008</v>
      </c>
      <c r="J189" s="145" t="s">
        <v>1181</v>
      </c>
      <c r="K189" s="136" t="s">
        <v>1182</v>
      </c>
      <c r="L189" s="145" t="s">
        <v>1183</v>
      </c>
      <c r="M189" s="142">
        <v>2020</v>
      </c>
      <c r="N189" s="142">
        <v>3</v>
      </c>
      <c r="O189" s="142" t="s">
        <v>382</v>
      </c>
      <c r="P189" s="142" t="s">
        <v>35</v>
      </c>
      <c r="Q189" s="25"/>
      <c r="R189" s="142" t="s">
        <v>30</v>
      </c>
      <c r="S189" s="142" t="s">
        <v>30</v>
      </c>
      <c r="T189" s="142" t="s">
        <v>217</v>
      </c>
      <c r="U189" s="25" t="s">
        <v>218</v>
      </c>
      <c r="V189" s="25">
        <v>3</v>
      </c>
      <c r="W189" s="142">
        <v>7</v>
      </c>
      <c r="X189" s="140">
        <v>20</v>
      </c>
      <c r="Y189" s="142">
        <v>16</v>
      </c>
      <c r="Z189" s="142">
        <v>4</v>
      </c>
      <c r="AA189" s="142">
        <v>4</v>
      </c>
      <c r="AH189" s="142">
        <v>2</v>
      </c>
      <c r="AI189" s="142">
        <v>14</v>
      </c>
      <c r="AJ189" s="142">
        <v>2</v>
      </c>
      <c r="AK189" s="142">
        <v>1</v>
      </c>
      <c r="AL189" s="142">
        <v>1</v>
      </c>
      <c r="AM189" s="140">
        <f t="shared" si="5"/>
        <v>20</v>
      </c>
      <c r="AN189" s="143" t="s">
        <v>1009</v>
      </c>
      <c r="AO189" s="143"/>
      <c r="AP189" s="143" t="s">
        <v>831</v>
      </c>
    </row>
    <row r="190" spans="1:42">
      <c r="A190" s="142">
        <v>1</v>
      </c>
      <c r="B190" s="134" t="s">
        <v>375</v>
      </c>
      <c r="C190" s="135" t="s">
        <v>32</v>
      </c>
      <c r="D190" s="176">
        <v>17</v>
      </c>
      <c r="E190" s="136" t="s">
        <v>32</v>
      </c>
      <c r="F190" s="176">
        <v>8</v>
      </c>
      <c r="G190" s="136">
        <v>88</v>
      </c>
      <c r="H190" s="136">
        <v>74</v>
      </c>
      <c r="I190" s="136">
        <v>2008</v>
      </c>
      <c r="J190" s="144"/>
      <c r="K190" s="145" t="s">
        <v>1184</v>
      </c>
      <c r="L190" s="145" t="s">
        <v>1185</v>
      </c>
      <c r="M190" s="142">
        <v>2020</v>
      </c>
      <c r="N190" s="142">
        <v>3</v>
      </c>
      <c r="O190" s="142" t="s">
        <v>383</v>
      </c>
      <c r="P190" s="142" t="s">
        <v>35</v>
      </c>
      <c r="Q190" s="25"/>
      <c r="R190" s="142" t="s">
        <v>30</v>
      </c>
      <c r="S190" s="142" t="s">
        <v>30</v>
      </c>
      <c r="T190" s="142" t="s">
        <v>217</v>
      </c>
      <c r="U190" s="25" t="s">
        <v>218</v>
      </c>
      <c r="V190" s="25">
        <v>3</v>
      </c>
      <c r="W190" s="142">
        <v>4</v>
      </c>
      <c r="X190" s="140">
        <v>19</v>
      </c>
      <c r="Y190" s="142">
        <v>3</v>
      </c>
      <c r="Z190" s="142">
        <v>16</v>
      </c>
      <c r="AA190" s="142">
        <v>1</v>
      </c>
      <c r="AH190" s="142">
        <v>0</v>
      </c>
      <c r="AI190" s="142">
        <v>12</v>
      </c>
      <c r="AJ190" s="142">
        <v>3</v>
      </c>
      <c r="AK190" s="142">
        <v>0</v>
      </c>
      <c r="AL190" s="142">
        <v>4</v>
      </c>
      <c r="AM190" s="140">
        <f t="shared" si="5"/>
        <v>19</v>
      </c>
      <c r="AN190" s="142" t="s">
        <v>826</v>
      </c>
      <c r="AP190" s="142">
        <v>0</v>
      </c>
    </row>
    <row r="191" spans="1:42">
      <c r="A191" s="142">
        <v>1</v>
      </c>
      <c r="B191" s="134" t="s">
        <v>375</v>
      </c>
      <c r="C191" s="135" t="s">
        <v>32</v>
      </c>
      <c r="D191" s="176">
        <v>17</v>
      </c>
      <c r="E191" s="136" t="s">
        <v>32</v>
      </c>
      <c r="F191" s="176">
        <v>8</v>
      </c>
      <c r="G191" s="136">
        <v>88</v>
      </c>
      <c r="H191" s="136">
        <v>74</v>
      </c>
      <c r="I191" s="136">
        <v>2008</v>
      </c>
      <c r="J191" s="144" t="s">
        <v>1186</v>
      </c>
      <c r="K191" s="145" t="s">
        <v>1187</v>
      </c>
      <c r="L191" s="145" t="s">
        <v>1188</v>
      </c>
      <c r="M191" s="165">
        <v>2017</v>
      </c>
      <c r="N191" s="142">
        <v>4</v>
      </c>
      <c r="O191" s="142" t="s">
        <v>384</v>
      </c>
      <c r="P191" s="142" t="s">
        <v>35</v>
      </c>
      <c r="Q191" s="25"/>
      <c r="R191" s="142" t="s">
        <v>30</v>
      </c>
      <c r="S191" s="142" t="s">
        <v>30</v>
      </c>
      <c r="T191" s="142" t="s">
        <v>217</v>
      </c>
      <c r="U191" s="25" t="s">
        <v>218</v>
      </c>
      <c r="V191" s="25">
        <v>3</v>
      </c>
      <c r="W191" s="142">
        <v>15</v>
      </c>
      <c r="X191" s="140">
        <v>144</v>
      </c>
      <c r="Y191" s="142">
        <v>14</v>
      </c>
      <c r="Z191" s="142">
        <v>130</v>
      </c>
      <c r="AA191" s="142">
        <v>68</v>
      </c>
      <c r="AH191" s="142">
        <v>0</v>
      </c>
      <c r="AI191" s="142">
        <v>54</v>
      </c>
      <c r="AJ191" s="142">
        <v>0</v>
      </c>
      <c r="AK191" s="142">
        <v>1</v>
      </c>
      <c r="AL191" s="142">
        <v>89</v>
      </c>
      <c r="AM191" s="140">
        <f>SUM(AH191:AL191)</f>
        <v>144</v>
      </c>
      <c r="AN191" s="143" t="s">
        <v>1189</v>
      </c>
      <c r="AO191" s="143"/>
      <c r="AP191" s="143" t="s">
        <v>831</v>
      </c>
    </row>
    <row r="192" spans="1:42">
      <c r="A192" s="142">
        <v>1</v>
      </c>
      <c r="B192" s="134" t="s">
        <v>375</v>
      </c>
      <c r="C192" s="135" t="s">
        <v>32</v>
      </c>
      <c r="D192" s="176">
        <v>17</v>
      </c>
      <c r="E192" s="136" t="s">
        <v>32</v>
      </c>
      <c r="F192" s="176">
        <v>8</v>
      </c>
      <c r="G192" s="136">
        <v>88</v>
      </c>
      <c r="H192" s="136">
        <v>74</v>
      </c>
      <c r="I192" s="136">
        <v>2008</v>
      </c>
      <c r="J192" s="144"/>
      <c r="K192" s="145" t="s">
        <v>1190</v>
      </c>
      <c r="L192" s="145" t="s">
        <v>1191</v>
      </c>
      <c r="M192" s="165">
        <v>2017</v>
      </c>
      <c r="N192" s="142">
        <v>4</v>
      </c>
      <c r="O192" s="142" t="s">
        <v>385</v>
      </c>
      <c r="P192" s="142" t="s">
        <v>35</v>
      </c>
      <c r="Q192" s="25"/>
      <c r="R192" s="142" t="s">
        <v>30</v>
      </c>
      <c r="S192" s="142" t="s">
        <v>30</v>
      </c>
      <c r="T192" s="142" t="s">
        <v>386</v>
      </c>
      <c r="U192" s="25" t="s">
        <v>218</v>
      </c>
      <c r="V192" s="25">
        <v>5</v>
      </c>
      <c r="W192" s="142">
        <v>14</v>
      </c>
      <c r="X192" s="140">
        <v>63</v>
      </c>
      <c r="Y192" s="142">
        <v>14</v>
      </c>
      <c r="Z192" s="142">
        <v>49</v>
      </c>
      <c r="AA192" s="142">
        <v>12</v>
      </c>
      <c r="AH192" s="142">
        <v>3</v>
      </c>
      <c r="AI192" s="142">
        <v>49</v>
      </c>
      <c r="AJ192" s="142">
        <v>1</v>
      </c>
      <c r="AK192" s="142">
        <v>2</v>
      </c>
      <c r="AL192" s="142">
        <v>8</v>
      </c>
      <c r="AM192" s="140">
        <f t="shared" si="5"/>
        <v>63</v>
      </c>
      <c r="AN192" s="142">
        <v>0</v>
      </c>
      <c r="AP192" s="142">
        <v>0</v>
      </c>
    </row>
    <row r="193" spans="1:42">
      <c r="B193" s="134" t="s">
        <v>375</v>
      </c>
      <c r="C193" s="135" t="s">
        <v>32</v>
      </c>
      <c r="D193" s="176">
        <v>17</v>
      </c>
      <c r="E193" s="136" t="s">
        <v>32</v>
      </c>
      <c r="F193" s="176">
        <v>8</v>
      </c>
      <c r="G193" s="136">
        <v>88</v>
      </c>
      <c r="H193" s="136">
        <v>74</v>
      </c>
      <c r="I193" s="136">
        <v>2008</v>
      </c>
      <c r="J193" s="145" t="s">
        <v>1192</v>
      </c>
      <c r="K193" s="145" t="s">
        <v>1193</v>
      </c>
      <c r="L193" s="144"/>
      <c r="M193" s="142">
        <v>2019</v>
      </c>
      <c r="N193" s="142">
        <v>4</v>
      </c>
      <c r="O193" s="142" t="s">
        <v>387</v>
      </c>
      <c r="P193" s="142" t="s">
        <v>35</v>
      </c>
      <c r="Q193" s="25"/>
      <c r="R193" s="142" t="s">
        <v>30</v>
      </c>
      <c r="S193" s="142" t="s">
        <v>30</v>
      </c>
      <c r="T193" s="142" t="s">
        <v>295</v>
      </c>
      <c r="U193" s="25" t="s">
        <v>218</v>
      </c>
      <c r="V193" s="25">
        <v>2</v>
      </c>
      <c r="W193" s="142">
        <v>1</v>
      </c>
      <c r="X193" s="140">
        <v>2</v>
      </c>
      <c r="Y193" s="142">
        <v>0</v>
      </c>
      <c r="Z193" s="142">
        <v>2</v>
      </c>
      <c r="AA193" s="142">
        <v>0</v>
      </c>
      <c r="AC193" s="150">
        <v>0</v>
      </c>
      <c r="AD193" s="150">
        <v>0</v>
      </c>
      <c r="AE193" s="150">
        <v>0</v>
      </c>
      <c r="AF193" s="150">
        <v>0</v>
      </c>
      <c r="AG193" s="150">
        <v>0</v>
      </c>
      <c r="AH193" s="142">
        <v>0</v>
      </c>
      <c r="AI193" s="142">
        <v>1</v>
      </c>
      <c r="AJ193" s="142">
        <v>0</v>
      </c>
      <c r="AK193" s="142">
        <v>0</v>
      </c>
      <c r="AL193" s="142">
        <v>1</v>
      </c>
      <c r="AM193" s="140">
        <f t="shared" si="5"/>
        <v>2</v>
      </c>
      <c r="AN193" s="143" t="s">
        <v>1194</v>
      </c>
      <c r="AO193" s="143"/>
      <c r="AP193" s="143" t="s">
        <v>831</v>
      </c>
    </row>
    <row r="194" spans="1:42" ht="77.5">
      <c r="B194" s="134" t="s">
        <v>375</v>
      </c>
      <c r="C194" s="135" t="s">
        <v>32</v>
      </c>
      <c r="D194" s="176">
        <v>17</v>
      </c>
      <c r="E194" s="136" t="s">
        <v>32</v>
      </c>
      <c r="F194" s="176">
        <v>8</v>
      </c>
      <c r="G194" s="136">
        <v>88</v>
      </c>
      <c r="H194" s="136">
        <v>74</v>
      </c>
      <c r="I194" s="136">
        <v>2008</v>
      </c>
      <c r="J194" s="144"/>
      <c r="K194" s="167" t="s">
        <v>1195</v>
      </c>
      <c r="L194" s="145" t="s">
        <v>1196</v>
      </c>
      <c r="M194" s="165">
        <v>2016</v>
      </c>
      <c r="N194" s="142">
        <v>5</v>
      </c>
      <c r="O194" s="142" t="s">
        <v>388</v>
      </c>
      <c r="P194" s="142" t="s">
        <v>35</v>
      </c>
      <c r="Q194" s="25"/>
      <c r="R194" s="142" t="s">
        <v>30</v>
      </c>
      <c r="S194" s="142" t="s">
        <v>30</v>
      </c>
      <c r="T194" s="142" t="s">
        <v>295</v>
      </c>
      <c r="U194" s="25" t="s">
        <v>218</v>
      </c>
      <c r="V194" s="25">
        <v>2</v>
      </c>
      <c r="W194" s="142">
        <v>7</v>
      </c>
      <c r="X194" s="140">
        <v>56</v>
      </c>
      <c r="Y194" s="142">
        <v>0</v>
      </c>
      <c r="Z194" s="142">
        <v>56</v>
      </c>
      <c r="AA194" s="142">
        <v>16</v>
      </c>
      <c r="AC194" s="150">
        <v>0</v>
      </c>
      <c r="AD194" s="150">
        <v>0</v>
      </c>
      <c r="AE194" s="150">
        <v>0</v>
      </c>
      <c r="AF194" s="150">
        <v>0</v>
      </c>
      <c r="AG194" s="150">
        <v>0</v>
      </c>
      <c r="AH194" s="142">
        <v>4</v>
      </c>
      <c r="AI194" s="142">
        <v>46</v>
      </c>
      <c r="AJ194" s="142">
        <v>1</v>
      </c>
      <c r="AK194" s="142">
        <v>1</v>
      </c>
      <c r="AL194" s="142">
        <v>23</v>
      </c>
      <c r="AM194" s="140">
        <f t="shared" si="5"/>
        <v>75</v>
      </c>
      <c r="AN194" s="143" t="s">
        <v>1197</v>
      </c>
      <c r="AO194" s="143"/>
      <c r="AP194" s="143" t="s">
        <v>831</v>
      </c>
    </row>
    <row r="195" spans="1:42" ht="46.5">
      <c r="B195" s="134" t="s">
        <v>375</v>
      </c>
      <c r="C195" s="135" t="s">
        <v>32</v>
      </c>
      <c r="D195" s="176">
        <v>17</v>
      </c>
      <c r="E195" s="136" t="s">
        <v>32</v>
      </c>
      <c r="F195" s="176">
        <v>8</v>
      </c>
      <c r="G195" s="136">
        <v>88</v>
      </c>
      <c r="H195" s="136">
        <v>74</v>
      </c>
      <c r="I195" s="136">
        <v>2008</v>
      </c>
      <c r="J195" s="145" t="s">
        <v>1198</v>
      </c>
      <c r="K195" s="167" t="s">
        <v>1199</v>
      </c>
      <c r="L195" s="145" t="s">
        <v>1200</v>
      </c>
      <c r="M195" s="142">
        <v>2016</v>
      </c>
      <c r="N195" s="142">
        <v>5</v>
      </c>
      <c r="O195" s="142" t="s">
        <v>1201</v>
      </c>
      <c r="P195" s="142" t="s">
        <v>28</v>
      </c>
      <c r="Q195" s="25"/>
      <c r="R195" s="142" t="s">
        <v>39</v>
      </c>
      <c r="S195" s="142" t="s">
        <v>1202</v>
      </c>
      <c r="T195" s="142" t="s">
        <v>217</v>
      </c>
      <c r="U195" s="25" t="s">
        <v>218</v>
      </c>
      <c r="V195" s="25">
        <v>3</v>
      </c>
      <c r="W195" s="142">
        <v>3</v>
      </c>
      <c r="X195" s="140">
        <v>13</v>
      </c>
      <c r="Y195" s="142">
        <v>0</v>
      </c>
      <c r="Z195" s="142">
        <v>13</v>
      </c>
      <c r="AA195" s="142">
        <v>1</v>
      </c>
      <c r="AC195" s="150">
        <v>0</v>
      </c>
      <c r="AD195" s="150">
        <v>0</v>
      </c>
      <c r="AE195" s="150">
        <v>0</v>
      </c>
      <c r="AF195" s="150">
        <v>0</v>
      </c>
      <c r="AG195" s="150">
        <v>0</v>
      </c>
      <c r="AH195" s="142">
        <v>4</v>
      </c>
      <c r="AI195" s="142">
        <v>4</v>
      </c>
      <c r="AJ195" s="142">
        <v>0</v>
      </c>
      <c r="AK195" s="142">
        <v>1</v>
      </c>
      <c r="AL195" s="142">
        <v>4</v>
      </c>
      <c r="AM195" s="140">
        <f t="shared" si="5"/>
        <v>13</v>
      </c>
      <c r="AN195" s="142" t="s">
        <v>826</v>
      </c>
      <c r="AP195" s="142">
        <v>0</v>
      </c>
    </row>
    <row r="196" spans="1:42" ht="93">
      <c r="A196" s="142">
        <v>1</v>
      </c>
      <c r="B196" s="134" t="s">
        <v>375</v>
      </c>
      <c r="C196" s="135" t="s">
        <v>32</v>
      </c>
      <c r="D196" s="176">
        <v>17</v>
      </c>
      <c r="E196" s="136" t="s">
        <v>32</v>
      </c>
      <c r="F196" s="176">
        <v>8</v>
      </c>
      <c r="G196" s="136">
        <v>88</v>
      </c>
      <c r="H196" s="136">
        <v>74</v>
      </c>
      <c r="I196" s="136">
        <v>2008</v>
      </c>
      <c r="J196" s="144" t="s">
        <v>1203</v>
      </c>
      <c r="K196" s="145" t="s">
        <v>851</v>
      </c>
      <c r="L196" s="145" t="s">
        <v>1204</v>
      </c>
      <c r="M196" s="165">
        <v>2018</v>
      </c>
      <c r="N196" s="143" t="s">
        <v>1205</v>
      </c>
      <c r="O196" s="142" t="s">
        <v>390</v>
      </c>
      <c r="P196" s="142" t="s">
        <v>35</v>
      </c>
      <c r="Q196" s="25"/>
      <c r="R196" s="142" t="s">
        <v>39</v>
      </c>
      <c r="S196" s="142" t="s">
        <v>1206</v>
      </c>
      <c r="T196" s="142" t="s">
        <v>312</v>
      </c>
      <c r="U196" s="25" t="s">
        <v>218</v>
      </c>
      <c r="V196" s="25">
        <v>18</v>
      </c>
      <c r="W196" s="142">
        <v>8</v>
      </c>
      <c r="X196" s="140">
        <v>115</v>
      </c>
      <c r="Y196" s="142">
        <v>45</v>
      </c>
      <c r="Z196" s="142">
        <v>70</v>
      </c>
      <c r="AA196" s="142">
        <v>22</v>
      </c>
      <c r="AH196" s="142">
        <v>1</v>
      </c>
      <c r="AI196" s="142">
        <v>74</v>
      </c>
      <c r="AJ196" s="142">
        <v>1</v>
      </c>
      <c r="AK196" s="142">
        <v>1</v>
      </c>
      <c r="AL196" s="142">
        <v>38</v>
      </c>
      <c r="AM196" s="140">
        <f t="shared" si="5"/>
        <v>115</v>
      </c>
      <c r="AN196" s="143" t="s">
        <v>1207</v>
      </c>
      <c r="AO196" s="143"/>
      <c r="AP196" s="143" t="s">
        <v>831</v>
      </c>
    </row>
    <row r="197" spans="1:42">
      <c r="A197" s="142">
        <v>1</v>
      </c>
      <c r="B197" s="134" t="s">
        <v>375</v>
      </c>
      <c r="C197" s="135" t="s">
        <v>32</v>
      </c>
      <c r="D197" s="176">
        <v>17</v>
      </c>
      <c r="E197" s="136" t="s">
        <v>32</v>
      </c>
      <c r="F197" s="176">
        <v>8</v>
      </c>
      <c r="G197" s="136">
        <v>88</v>
      </c>
      <c r="H197" s="136">
        <v>74</v>
      </c>
      <c r="I197" s="136">
        <v>2008</v>
      </c>
      <c r="J197" s="144"/>
      <c r="K197" s="156" t="s">
        <v>1208</v>
      </c>
      <c r="L197" s="156" t="s">
        <v>1209</v>
      </c>
      <c r="M197" s="142">
        <v>2018</v>
      </c>
      <c r="N197" s="143" t="s">
        <v>1210</v>
      </c>
      <c r="O197" s="142" t="s">
        <v>391</v>
      </c>
      <c r="P197" s="142" t="s">
        <v>35</v>
      </c>
      <c r="Q197" s="25"/>
      <c r="R197" s="142" t="s">
        <v>30</v>
      </c>
      <c r="S197" s="142" t="s">
        <v>30</v>
      </c>
      <c r="T197" s="142" t="s">
        <v>392</v>
      </c>
      <c r="U197" s="25" t="s">
        <v>218</v>
      </c>
      <c r="V197" s="25">
        <v>23</v>
      </c>
      <c r="W197" s="142">
        <v>10</v>
      </c>
      <c r="X197" s="140">
        <v>45</v>
      </c>
      <c r="Y197" s="142">
        <v>2</v>
      </c>
      <c r="Z197" s="142">
        <v>43</v>
      </c>
      <c r="AA197" s="142">
        <v>5</v>
      </c>
      <c r="AH197" s="142">
        <v>0</v>
      </c>
      <c r="AI197" s="142">
        <v>32</v>
      </c>
      <c r="AJ197" s="142">
        <v>1</v>
      </c>
      <c r="AK197" s="142">
        <v>1</v>
      </c>
      <c r="AL197" s="142">
        <v>11</v>
      </c>
      <c r="AM197" s="140">
        <f t="shared" si="5"/>
        <v>45</v>
      </c>
      <c r="AN197" s="142" t="s">
        <v>826</v>
      </c>
      <c r="AP197" s="142">
        <v>0</v>
      </c>
    </row>
    <row r="198" spans="1:42" ht="31">
      <c r="A198" s="142">
        <v>1</v>
      </c>
      <c r="B198" s="134" t="s">
        <v>375</v>
      </c>
      <c r="C198" s="135" t="s">
        <v>32</v>
      </c>
      <c r="D198" s="176">
        <v>17</v>
      </c>
      <c r="E198" s="136" t="s">
        <v>32</v>
      </c>
      <c r="F198" s="176">
        <v>8</v>
      </c>
      <c r="G198" s="136">
        <v>88</v>
      </c>
      <c r="H198" s="136">
        <v>74</v>
      </c>
      <c r="I198" s="136">
        <v>2008</v>
      </c>
      <c r="J198" s="144" t="s">
        <v>1211</v>
      </c>
      <c r="K198" s="167" t="s">
        <v>1212</v>
      </c>
      <c r="L198" s="156" t="s">
        <v>1213</v>
      </c>
      <c r="M198" s="142">
        <v>2019</v>
      </c>
      <c r="N198" s="142" t="s">
        <v>1214</v>
      </c>
      <c r="O198" s="142" t="s">
        <v>393</v>
      </c>
      <c r="P198" s="142" t="s">
        <v>35</v>
      </c>
      <c r="Q198" s="25"/>
      <c r="R198" s="142" t="s">
        <v>30</v>
      </c>
      <c r="S198" s="142" t="s">
        <v>30</v>
      </c>
      <c r="T198" s="142" t="s">
        <v>394</v>
      </c>
      <c r="U198" s="25" t="s">
        <v>101</v>
      </c>
      <c r="V198" s="25">
        <v>35</v>
      </c>
      <c r="W198" s="142">
        <v>10</v>
      </c>
      <c r="X198" s="140">
        <v>47</v>
      </c>
      <c r="Y198" s="142">
        <v>10</v>
      </c>
      <c r="Z198" s="142">
        <v>37</v>
      </c>
      <c r="AA198" s="142">
        <v>14</v>
      </c>
      <c r="AH198" s="142">
        <v>1</v>
      </c>
      <c r="AI198" s="142">
        <v>28</v>
      </c>
      <c r="AJ198" s="142">
        <v>0</v>
      </c>
      <c r="AK198" s="142">
        <v>4</v>
      </c>
      <c r="AL198" s="142">
        <v>14</v>
      </c>
      <c r="AM198" s="140">
        <f t="shared" si="5"/>
        <v>47</v>
      </c>
      <c r="AN198" s="142" t="s">
        <v>826</v>
      </c>
      <c r="AP198" s="142">
        <v>0</v>
      </c>
    </row>
    <row r="199" spans="1:42">
      <c r="B199" s="134" t="s">
        <v>395</v>
      </c>
      <c r="C199" s="135" t="s">
        <v>85</v>
      </c>
      <c r="D199" s="135" t="s">
        <v>85</v>
      </c>
      <c r="E199" s="135" t="s">
        <v>85</v>
      </c>
      <c r="F199" s="135" t="s">
        <v>85</v>
      </c>
      <c r="G199" s="136">
        <v>38</v>
      </c>
      <c r="H199" s="136">
        <v>85</v>
      </c>
      <c r="I199" s="136">
        <v>2009</v>
      </c>
      <c r="J199" s="144"/>
      <c r="K199" s="145" t="s">
        <v>1215</v>
      </c>
      <c r="L199" s="145" t="s">
        <v>1216</v>
      </c>
      <c r="M199" s="142">
        <v>2022</v>
      </c>
      <c r="N199" s="142">
        <v>1</v>
      </c>
      <c r="O199" s="142" t="s">
        <v>396</v>
      </c>
      <c r="P199" s="142" t="s">
        <v>35</v>
      </c>
      <c r="Q199" s="25"/>
      <c r="R199" s="142" t="s">
        <v>30</v>
      </c>
      <c r="S199" s="142" t="s">
        <v>30</v>
      </c>
      <c r="T199" s="142" t="s">
        <v>260</v>
      </c>
      <c r="U199" s="25" t="s">
        <v>874</v>
      </c>
      <c r="V199" s="25" t="s">
        <v>849</v>
      </c>
      <c r="W199" s="142">
        <v>1</v>
      </c>
      <c r="X199" s="140">
        <v>1</v>
      </c>
      <c r="Y199" s="142">
        <v>1</v>
      </c>
      <c r="Z199" s="142">
        <v>0</v>
      </c>
      <c r="AA199" s="142">
        <v>0</v>
      </c>
      <c r="AC199" s="150">
        <v>1</v>
      </c>
      <c r="AD199" s="150">
        <v>0</v>
      </c>
      <c r="AE199" s="150">
        <v>0</v>
      </c>
      <c r="AF199" s="150">
        <v>0</v>
      </c>
      <c r="AG199" s="150">
        <v>0</v>
      </c>
      <c r="AH199" s="142">
        <v>1</v>
      </c>
      <c r="AI199" s="142">
        <v>0</v>
      </c>
      <c r="AJ199" s="142">
        <v>0</v>
      </c>
      <c r="AK199" s="142">
        <v>0</v>
      </c>
      <c r="AL199" s="142">
        <v>0</v>
      </c>
      <c r="AM199" s="140">
        <f t="shared" si="5"/>
        <v>1</v>
      </c>
      <c r="AN199" s="142">
        <v>0</v>
      </c>
      <c r="AP199" s="142">
        <v>0</v>
      </c>
    </row>
    <row r="200" spans="1:42">
      <c r="A200" s="142">
        <v>1</v>
      </c>
      <c r="B200" s="134" t="s">
        <v>395</v>
      </c>
      <c r="C200" s="135" t="s">
        <v>85</v>
      </c>
      <c r="D200" s="135" t="s">
        <v>85</v>
      </c>
      <c r="E200" s="135" t="s">
        <v>85</v>
      </c>
      <c r="F200" s="135" t="s">
        <v>85</v>
      </c>
      <c r="G200" s="136">
        <v>38</v>
      </c>
      <c r="H200" s="136">
        <v>85</v>
      </c>
      <c r="I200" s="136">
        <v>2009</v>
      </c>
      <c r="J200" s="144"/>
      <c r="K200" s="167"/>
      <c r="L200" s="145" t="s">
        <v>1217</v>
      </c>
      <c r="M200" s="142">
        <v>2021</v>
      </c>
      <c r="N200" s="142">
        <v>2</v>
      </c>
      <c r="O200" s="142" t="s">
        <v>397</v>
      </c>
      <c r="P200" s="142" t="s">
        <v>28</v>
      </c>
      <c r="Q200" s="25"/>
      <c r="R200" s="142" t="s">
        <v>30</v>
      </c>
      <c r="S200" s="142" t="s">
        <v>30</v>
      </c>
      <c r="T200" s="142" t="s">
        <v>398</v>
      </c>
      <c r="U200" s="25" t="s">
        <v>84</v>
      </c>
      <c r="V200" s="25">
        <v>58</v>
      </c>
      <c r="W200" s="142">
        <v>3</v>
      </c>
      <c r="X200" s="140">
        <v>6</v>
      </c>
      <c r="Y200" s="142">
        <v>3</v>
      </c>
      <c r="Z200" s="142">
        <v>3</v>
      </c>
      <c r="AA200" s="142">
        <v>5</v>
      </c>
      <c r="AH200" s="142">
        <v>0</v>
      </c>
      <c r="AI200" s="142">
        <v>4</v>
      </c>
      <c r="AJ200" s="142">
        <v>0</v>
      </c>
      <c r="AK200" s="142">
        <v>2</v>
      </c>
      <c r="AL200" s="142">
        <v>0</v>
      </c>
      <c r="AM200" s="140">
        <f t="shared" si="5"/>
        <v>6</v>
      </c>
      <c r="AN200" s="143" t="s">
        <v>1218</v>
      </c>
      <c r="AO200" s="143"/>
      <c r="AP200" s="143" t="s">
        <v>1219</v>
      </c>
    </row>
    <row r="201" spans="1:42" ht="77.5">
      <c r="A201" s="142">
        <v>1</v>
      </c>
      <c r="B201" s="134" t="s">
        <v>395</v>
      </c>
      <c r="C201" s="135" t="s">
        <v>85</v>
      </c>
      <c r="D201" s="135" t="s">
        <v>85</v>
      </c>
      <c r="E201" s="135" t="s">
        <v>85</v>
      </c>
      <c r="F201" s="135" t="s">
        <v>85</v>
      </c>
      <c r="G201" s="136">
        <v>38</v>
      </c>
      <c r="H201" s="136">
        <v>85</v>
      </c>
      <c r="I201" s="136">
        <v>2009</v>
      </c>
      <c r="J201" s="144" t="s">
        <v>1220</v>
      </c>
      <c r="K201" s="145" t="s">
        <v>1221</v>
      </c>
      <c r="L201" s="145" t="s">
        <v>1222</v>
      </c>
      <c r="M201" s="142">
        <v>2020</v>
      </c>
      <c r="N201" s="142">
        <v>3</v>
      </c>
      <c r="O201" s="142" t="s">
        <v>399</v>
      </c>
      <c r="P201" s="142" t="s">
        <v>28</v>
      </c>
      <c r="Q201" s="25"/>
      <c r="R201" s="142" t="s">
        <v>30</v>
      </c>
      <c r="S201" s="142" t="s">
        <v>30</v>
      </c>
      <c r="T201" s="142" t="s">
        <v>400</v>
      </c>
      <c r="U201" s="25" t="s">
        <v>84</v>
      </c>
      <c r="V201" s="25">
        <v>57</v>
      </c>
      <c r="W201" s="142">
        <v>2</v>
      </c>
      <c r="X201" s="140">
        <v>8</v>
      </c>
      <c r="Y201" s="142">
        <v>6</v>
      </c>
      <c r="Z201" s="142">
        <v>2</v>
      </c>
      <c r="AA201" s="142">
        <v>5</v>
      </c>
      <c r="AH201" s="142">
        <v>0</v>
      </c>
      <c r="AI201" s="142">
        <v>3</v>
      </c>
      <c r="AJ201" s="142">
        <v>1</v>
      </c>
      <c r="AK201" s="142">
        <v>2</v>
      </c>
      <c r="AL201" s="142">
        <v>2</v>
      </c>
      <c r="AM201" s="140">
        <f t="shared" si="5"/>
        <v>8</v>
      </c>
      <c r="AN201" s="142">
        <v>0</v>
      </c>
      <c r="AP201" s="142">
        <v>0</v>
      </c>
    </row>
    <row r="202" spans="1:42" ht="93">
      <c r="A202" s="142">
        <v>1</v>
      </c>
      <c r="B202" s="134" t="s">
        <v>395</v>
      </c>
      <c r="C202" s="135" t="s">
        <v>85</v>
      </c>
      <c r="D202" s="135" t="s">
        <v>85</v>
      </c>
      <c r="E202" s="135" t="s">
        <v>85</v>
      </c>
      <c r="F202" s="135" t="s">
        <v>85</v>
      </c>
      <c r="G202" s="136">
        <v>38</v>
      </c>
      <c r="H202" s="136">
        <v>85</v>
      </c>
      <c r="I202" s="136">
        <v>2009</v>
      </c>
      <c r="J202" s="144" t="s">
        <v>1223</v>
      </c>
      <c r="K202" s="167" t="s">
        <v>1224</v>
      </c>
      <c r="L202" s="145" t="s">
        <v>1225</v>
      </c>
      <c r="M202" s="142">
        <v>2019</v>
      </c>
      <c r="N202" s="142">
        <v>4</v>
      </c>
      <c r="O202" s="142" t="s">
        <v>401</v>
      </c>
      <c r="P202" s="142" t="s">
        <v>28</v>
      </c>
      <c r="Q202" s="25"/>
      <c r="R202" s="142" t="s">
        <v>39</v>
      </c>
      <c r="S202" s="142" t="s">
        <v>1226</v>
      </c>
      <c r="T202" s="142" t="s">
        <v>1227</v>
      </c>
      <c r="U202" s="25" t="s">
        <v>218</v>
      </c>
      <c r="V202" s="25">
        <v>5</v>
      </c>
      <c r="W202" s="142">
        <v>6</v>
      </c>
      <c r="X202" s="140">
        <v>14</v>
      </c>
      <c r="Y202" s="142">
        <v>5</v>
      </c>
      <c r="Z202" s="142">
        <v>9</v>
      </c>
      <c r="AA202" s="142">
        <v>8</v>
      </c>
      <c r="AH202" s="142">
        <v>0</v>
      </c>
      <c r="AI202" s="142">
        <v>9</v>
      </c>
      <c r="AJ202" s="142">
        <v>4</v>
      </c>
      <c r="AK202" s="142">
        <v>1</v>
      </c>
      <c r="AL202" s="142">
        <v>0</v>
      </c>
      <c r="AM202" s="140">
        <f t="shared" si="5"/>
        <v>14</v>
      </c>
      <c r="AN202" s="179" t="s">
        <v>1228</v>
      </c>
      <c r="AO202" s="179"/>
      <c r="AP202" s="179" t="s">
        <v>1229</v>
      </c>
    </row>
    <row r="203" spans="1:42" ht="31">
      <c r="A203" s="142">
        <v>1</v>
      </c>
      <c r="B203" s="134" t="s">
        <v>395</v>
      </c>
      <c r="C203" s="135" t="s">
        <v>85</v>
      </c>
      <c r="D203" s="135" t="s">
        <v>85</v>
      </c>
      <c r="E203" s="135" t="s">
        <v>85</v>
      </c>
      <c r="F203" s="135" t="s">
        <v>85</v>
      </c>
      <c r="G203" s="136">
        <v>38</v>
      </c>
      <c r="H203" s="136">
        <v>85</v>
      </c>
      <c r="I203" s="136">
        <v>2009</v>
      </c>
      <c r="J203" s="144" t="s">
        <v>1230</v>
      </c>
      <c r="K203" s="145" t="s">
        <v>851</v>
      </c>
      <c r="L203" s="145" t="s">
        <v>1231</v>
      </c>
      <c r="M203" s="142">
        <v>2017</v>
      </c>
      <c r="N203" s="142">
        <v>6</v>
      </c>
      <c r="O203" s="142" t="s">
        <v>1232</v>
      </c>
      <c r="P203" s="142" t="s">
        <v>28</v>
      </c>
      <c r="Q203" s="25"/>
      <c r="R203" s="142" t="s">
        <v>30</v>
      </c>
      <c r="S203" s="142" t="s">
        <v>30</v>
      </c>
      <c r="T203" s="142" t="s">
        <v>1233</v>
      </c>
      <c r="U203" s="25" t="s">
        <v>101</v>
      </c>
      <c r="V203" s="25">
        <v>25</v>
      </c>
      <c r="W203" s="142">
        <v>9</v>
      </c>
      <c r="X203" s="140">
        <v>33</v>
      </c>
      <c r="Y203" s="142">
        <v>14</v>
      </c>
      <c r="Z203" s="142">
        <v>19</v>
      </c>
      <c r="AA203" s="142">
        <v>15</v>
      </c>
      <c r="AH203" s="142">
        <v>0</v>
      </c>
      <c r="AI203" s="142">
        <v>18</v>
      </c>
      <c r="AJ203" s="142">
        <v>10</v>
      </c>
      <c r="AK203" s="142">
        <v>2</v>
      </c>
      <c r="AL203" s="142">
        <v>3</v>
      </c>
      <c r="AM203" s="140">
        <f t="shared" si="5"/>
        <v>33</v>
      </c>
      <c r="AN203" s="142">
        <v>0</v>
      </c>
      <c r="AP203" s="142">
        <v>0</v>
      </c>
    </row>
    <row r="204" spans="1:42" ht="77.5">
      <c r="B204" s="134" t="s">
        <v>403</v>
      </c>
      <c r="C204" s="188" t="s">
        <v>32</v>
      </c>
      <c r="D204" s="188" t="s">
        <v>1234</v>
      </c>
      <c r="E204" s="188" t="s">
        <v>32</v>
      </c>
      <c r="F204" s="188" t="s">
        <v>1235</v>
      </c>
      <c r="G204" s="136">
        <v>44</v>
      </c>
      <c r="H204" s="136">
        <v>74</v>
      </c>
      <c r="I204" s="136">
        <v>2011</v>
      </c>
      <c r="J204" s="144"/>
      <c r="K204" s="144" t="s">
        <v>1236</v>
      </c>
      <c r="L204" s="145" t="s">
        <v>1237</v>
      </c>
      <c r="M204" s="142">
        <v>2022</v>
      </c>
      <c r="N204" s="142">
        <v>1</v>
      </c>
      <c r="O204" s="142" t="s">
        <v>404</v>
      </c>
      <c r="P204" s="142" t="s">
        <v>35</v>
      </c>
      <c r="Q204" s="142" t="s">
        <v>405</v>
      </c>
      <c r="R204" s="142" t="s">
        <v>54</v>
      </c>
      <c r="S204" s="142" t="s">
        <v>846</v>
      </c>
      <c r="T204" s="142" t="s">
        <v>406</v>
      </c>
      <c r="V204" s="25" t="s">
        <v>849</v>
      </c>
      <c r="W204" s="142">
        <v>3</v>
      </c>
      <c r="X204" s="140">
        <v>14</v>
      </c>
      <c r="Y204" s="142">
        <v>14</v>
      </c>
      <c r="Z204" s="142">
        <v>0</v>
      </c>
      <c r="AA204" s="142">
        <v>11</v>
      </c>
      <c r="AC204" s="150">
        <v>0</v>
      </c>
      <c r="AD204" s="150">
        <v>9</v>
      </c>
      <c r="AE204" s="150">
        <v>3</v>
      </c>
      <c r="AF204" s="150">
        <v>2</v>
      </c>
      <c r="AG204" s="150">
        <v>9</v>
      </c>
      <c r="AH204" s="142">
        <v>0</v>
      </c>
      <c r="AI204" s="142">
        <v>9</v>
      </c>
      <c r="AJ204" s="142">
        <v>3</v>
      </c>
      <c r="AK204" s="142">
        <v>2</v>
      </c>
      <c r="AL204" s="142">
        <v>9</v>
      </c>
      <c r="AM204" s="140">
        <f t="shared" si="5"/>
        <v>23</v>
      </c>
      <c r="AN204" s="142" t="s">
        <v>837</v>
      </c>
      <c r="AP204" s="179" t="s">
        <v>1238</v>
      </c>
    </row>
    <row r="205" spans="1:42" ht="29">
      <c r="B205" s="134" t="s">
        <v>403</v>
      </c>
      <c r="C205" s="188" t="s">
        <v>32</v>
      </c>
      <c r="D205" s="188" t="s">
        <v>1234</v>
      </c>
      <c r="E205" s="188" t="s">
        <v>32</v>
      </c>
      <c r="F205" s="188" t="s">
        <v>1235</v>
      </c>
      <c r="G205" s="136">
        <v>44</v>
      </c>
      <c r="H205" s="136">
        <v>74</v>
      </c>
      <c r="I205" s="136">
        <v>2011</v>
      </c>
      <c r="J205" s="144"/>
      <c r="K205" s="145" t="s">
        <v>1239</v>
      </c>
      <c r="L205" s="160" t="s">
        <v>1240</v>
      </c>
      <c r="M205" s="142">
        <v>2022</v>
      </c>
      <c r="N205" s="142">
        <v>1</v>
      </c>
      <c r="O205" s="142" t="s">
        <v>407</v>
      </c>
      <c r="P205" s="142" t="s">
        <v>35</v>
      </c>
      <c r="Q205" s="25"/>
      <c r="R205" s="142" t="s">
        <v>30</v>
      </c>
      <c r="S205" s="142" t="s">
        <v>30</v>
      </c>
      <c r="T205" s="142" t="s">
        <v>147</v>
      </c>
      <c r="U205" s="25" t="s">
        <v>218</v>
      </c>
      <c r="V205" s="25">
        <v>13</v>
      </c>
      <c r="W205" s="142">
        <v>3</v>
      </c>
      <c r="X205" s="140">
        <v>3</v>
      </c>
      <c r="Y205" s="142">
        <v>3</v>
      </c>
      <c r="Z205" s="142">
        <v>0</v>
      </c>
      <c r="AA205" s="142">
        <v>1</v>
      </c>
      <c r="AC205" s="150">
        <v>2</v>
      </c>
      <c r="AD205" s="150">
        <v>1</v>
      </c>
      <c r="AE205" s="150">
        <v>0</v>
      </c>
      <c r="AF205" s="150">
        <v>0</v>
      </c>
      <c r="AG205" s="150">
        <v>0</v>
      </c>
      <c r="AH205" s="142">
        <v>2</v>
      </c>
      <c r="AI205" s="142">
        <v>1</v>
      </c>
      <c r="AJ205" s="142">
        <v>0</v>
      </c>
      <c r="AK205" s="142">
        <v>0</v>
      </c>
      <c r="AL205" s="142">
        <v>0</v>
      </c>
      <c r="AM205" s="140">
        <f t="shared" si="5"/>
        <v>3</v>
      </c>
      <c r="AN205" s="142">
        <v>0</v>
      </c>
      <c r="AP205" s="142">
        <v>0</v>
      </c>
    </row>
    <row r="206" spans="1:42" s="143" customFormat="1" ht="58">
      <c r="B206" s="134" t="s">
        <v>403</v>
      </c>
      <c r="C206" s="188" t="s">
        <v>32</v>
      </c>
      <c r="D206" s="188" t="s">
        <v>1234</v>
      </c>
      <c r="E206" s="188" t="s">
        <v>32</v>
      </c>
      <c r="F206" s="188" t="s">
        <v>1235</v>
      </c>
      <c r="G206" s="136">
        <v>44</v>
      </c>
      <c r="H206" s="136">
        <v>74</v>
      </c>
      <c r="I206" s="136">
        <v>2011</v>
      </c>
      <c r="J206" s="144" t="s">
        <v>1241</v>
      </c>
      <c r="K206" s="160" t="s">
        <v>1242</v>
      </c>
      <c r="L206" s="189" t="s">
        <v>1243</v>
      </c>
      <c r="M206" s="142">
        <v>2021</v>
      </c>
      <c r="N206" s="142">
        <v>2</v>
      </c>
      <c r="O206" s="142" t="s">
        <v>1244</v>
      </c>
      <c r="P206" s="142" t="s">
        <v>28</v>
      </c>
      <c r="Q206" s="25"/>
      <c r="R206" s="142" t="s">
        <v>30</v>
      </c>
      <c r="S206" s="142" t="s">
        <v>30</v>
      </c>
      <c r="T206" s="142" t="s">
        <v>1245</v>
      </c>
      <c r="U206" s="25" t="s">
        <v>101</v>
      </c>
      <c r="V206" s="25">
        <v>35</v>
      </c>
      <c r="W206" s="142">
        <v>0</v>
      </c>
      <c r="X206" s="140">
        <v>1</v>
      </c>
      <c r="Y206" s="142">
        <v>1</v>
      </c>
      <c r="Z206" s="142">
        <v>0</v>
      </c>
      <c r="AA206" s="142">
        <v>0</v>
      </c>
      <c r="AB206" s="142"/>
      <c r="AC206" s="150">
        <v>1</v>
      </c>
      <c r="AD206" s="150">
        <v>0</v>
      </c>
      <c r="AE206" s="150">
        <v>0</v>
      </c>
      <c r="AF206" s="150">
        <v>0</v>
      </c>
      <c r="AG206" s="150">
        <v>0</v>
      </c>
      <c r="AH206" s="142">
        <v>1</v>
      </c>
      <c r="AI206" s="142">
        <v>0</v>
      </c>
      <c r="AJ206" s="142">
        <v>0</v>
      </c>
      <c r="AK206" s="142">
        <v>0</v>
      </c>
      <c r="AL206" s="142">
        <v>0</v>
      </c>
      <c r="AM206" s="140">
        <f t="shared" si="5"/>
        <v>1</v>
      </c>
    </row>
    <row r="207" spans="1:42" ht="31">
      <c r="A207" s="142">
        <v>1</v>
      </c>
      <c r="B207" s="134" t="s">
        <v>403</v>
      </c>
      <c r="C207" s="188" t="s">
        <v>32</v>
      </c>
      <c r="D207" s="188" t="s">
        <v>1234</v>
      </c>
      <c r="E207" s="188" t="s">
        <v>32</v>
      </c>
      <c r="F207" s="188" t="s">
        <v>1235</v>
      </c>
      <c r="G207" s="136">
        <v>44</v>
      </c>
      <c r="H207" s="136">
        <v>74</v>
      </c>
      <c r="I207" s="136">
        <v>2011</v>
      </c>
      <c r="J207" s="144"/>
      <c r="K207" s="144" t="s">
        <v>1246</v>
      </c>
      <c r="L207" s="145" t="s">
        <v>1247</v>
      </c>
      <c r="M207" s="142">
        <v>2021</v>
      </c>
      <c r="N207" s="142">
        <v>2</v>
      </c>
      <c r="O207" s="142" t="s">
        <v>409</v>
      </c>
      <c r="P207" s="142" t="s">
        <v>35</v>
      </c>
      <c r="Q207" s="25"/>
      <c r="R207" s="142" t="s">
        <v>39</v>
      </c>
      <c r="S207" s="142" t="s">
        <v>994</v>
      </c>
      <c r="T207" s="142" t="s">
        <v>147</v>
      </c>
      <c r="U207" s="25" t="s">
        <v>218</v>
      </c>
      <c r="V207" s="25">
        <v>13</v>
      </c>
      <c r="W207" s="142">
        <v>11</v>
      </c>
      <c r="X207" s="140">
        <v>74</v>
      </c>
      <c r="Y207" s="142">
        <v>32</v>
      </c>
      <c r="Z207" s="142">
        <v>42</v>
      </c>
      <c r="AA207" s="142">
        <v>40</v>
      </c>
      <c r="AH207" s="142">
        <v>0</v>
      </c>
      <c r="AI207" s="142">
        <v>55</v>
      </c>
      <c r="AJ207" s="142">
        <v>0</v>
      </c>
      <c r="AK207" s="142">
        <v>4</v>
      </c>
      <c r="AL207" s="142">
        <v>15</v>
      </c>
      <c r="AM207" s="140">
        <f t="shared" si="5"/>
        <v>74</v>
      </c>
      <c r="AN207" s="143" t="s">
        <v>1248</v>
      </c>
      <c r="AO207" s="143"/>
      <c r="AP207" s="143"/>
    </row>
    <row r="208" spans="1:42" ht="124">
      <c r="A208" s="142">
        <v>1</v>
      </c>
      <c r="B208" s="134" t="s">
        <v>403</v>
      </c>
      <c r="C208" s="188" t="s">
        <v>32</v>
      </c>
      <c r="D208" s="188" t="s">
        <v>1234</v>
      </c>
      <c r="E208" s="188" t="s">
        <v>32</v>
      </c>
      <c r="F208" s="188" t="s">
        <v>1235</v>
      </c>
      <c r="G208" s="136">
        <v>44</v>
      </c>
      <c r="H208" s="136">
        <v>74</v>
      </c>
      <c r="I208" s="136">
        <v>2011</v>
      </c>
      <c r="J208" s="145" t="s">
        <v>1249</v>
      </c>
      <c r="K208" s="144" t="s">
        <v>1250</v>
      </c>
      <c r="L208" s="145" t="s">
        <v>933</v>
      </c>
      <c r="M208" s="142">
        <v>2020</v>
      </c>
      <c r="N208" s="142">
        <v>3</v>
      </c>
      <c r="O208" s="142" t="s">
        <v>410</v>
      </c>
      <c r="P208" s="142" t="s">
        <v>28</v>
      </c>
      <c r="Q208" s="142" t="s">
        <v>411</v>
      </c>
      <c r="R208" s="142" t="s">
        <v>30</v>
      </c>
      <c r="S208" s="142" t="s">
        <v>1251</v>
      </c>
      <c r="T208" s="142" t="s">
        <v>412</v>
      </c>
      <c r="V208" s="25" t="s">
        <v>849</v>
      </c>
      <c r="W208" s="142">
        <v>3</v>
      </c>
      <c r="X208" s="140">
        <v>14</v>
      </c>
      <c r="Y208" s="142">
        <v>11</v>
      </c>
      <c r="Z208" s="142">
        <v>3</v>
      </c>
      <c r="AA208" s="142">
        <v>4</v>
      </c>
      <c r="AH208" s="142">
        <v>1</v>
      </c>
      <c r="AI208" s="142">
        <v>8</v>
      </c>
      <c r="AJ208" s="142">
        <v>1</v>
      </c>
      <c r="AK208" s="142">
        <v>3</v>
      </c>
      <c r="AL208" s="142">
        <v>1</v>
      </c>
      <c r="AM208" s="140">
        <f t="shared" si="5"/>
        <v>14</v>
      </c>
      <c r="AN208" s="142" t="s">
        <v>837</v>
      </c>
      <c r="AP208" s="143" t="s">
        <v>1252</v>
      </c>
    </row>
    <row r="209" spans="1:42">
      <c r="B209" s="134" t="s">
        <v>403</v>
      </c>
      <c r="C209" s="188" t="s">
        <v>32</v>
      </c>
      <c r="D209" s="188" t="s">
        <v>1234</v>
      </c>
      <c r="E209" s="188" t="s">
        <v>32</v>
      </c>
      <c r="F209" s="188" t="s">
        <v>1235</v>
      </c>
      <c r="G209" s="136">
        <v>44</v>
      </c>
      <c r="H209" s="136">
        <v>74</v>
      </c>
      <c r="I209" s="136">
        <v>2011</v>
      </c>
      <c r="J209" s="144"/>
      <c r="K209" s="144"/>
      <c r="L209" s="145" t="s">
        <v>1253</v>
      </c>
      <c r="M209" s="142">
        <v>2019</v>
      </c>
      <c r="N209" s="142">
        <v>4</v>
      </c>
      <c r="O209" s="142" t="s">
        <v>413</v>
      </c>
      <c r="P209" s="142" t="s">
        <v>35</v>
      </c>
      <c r="Q209" s="25"/>
      <c r="R209" s="142" t="s">
        <v>30</v>
      </c>
      <c r="S209" s="142" t="s">
        <v>30</v>
      </c>
      <c r="T209" s="142" t="s">
        <v>147</v>
      </c>
      <c r="U209" s="25" t="s">
        <v>218</v>
      </c>
      <c r="V209" s="25">
        <v>13</v>
      </c>
      <c r="W209" s="142">
        <v>1</v>
      </c>
      <c r="X209" s="140">
        <v>6</v>
      </c>
      <c r="Y209" s="142">
        <v>0</v>
      </c>
      <c r="Z209" s="142">
        <v>6</v>
      </c>
      <c r="AA209" s="142">
        <v>5</v>
      </c>
      <c r="AC209" s="150">
        <v>0</v>
      </c>
      <c r="AD209" s="150">
        <v>0</v>
      </c>
      <c r="AE209" s="150">
        <v>0</v>
      </c>
      <c r="AF209" s="150">
        <v>0</v>
      </c>
      <c r="AG209" s="150">
        <v>0</v>
      </c>
      <c r="AH209" s="142">
        <v>0</v>
      </c>
      <c r="AI209" s="142">
        <v>1</v>
      </c>
      <c r="AJ209" s="142">
        <v>5</v>
      </c>
      <c r="AK209" s="142">
        <v>0</v>
      </c>
      <c r="AL209" s="142">
        <v>0</v>
      </c>
      <c r="AM209" s="140">
        <f t="shared" si="5"/>
        <v>6</v>
      </c>
      <c r="AN209" s="143" t="s">
        <v>831</v>
      </c>
      <c r="AO209" s="143"/>
      <c r="AP209" s="143" t="s">
        <v>1219</v>
      </c>
    </row>
    <row r="210" spans="1:42">
      <c r="A210" s="142">
        <v>1</v>
      </c>
      <c r="B210" s="134" t="s">
        <v>403</v>
      </c>
      <c r="C210" s="188" t="s">
        <v>32</v>
      </c>
      <c r="D210" s="188" t="s">
        <v>1234</v>
      </c>
      <c r="E210" s="188" t="s">
        <v>32</v>
      </c>
      <c r="F210" s="188" t="s">
        <v>1235</v>
      </c>
      <c r="G210" s="136">
        <v>44</v>
      </c>
      <c r="H210" s="136">
        <v>74</v>
      </c>
      <c r="I210" s="136">
        <v>2011</v>
      </c>
      <c r="J210" s="145" t="s">
        <v>1254</v>
      </c>
      <c r="K210" s="145" t="s">
        <v>1255</v>
      </c>
      <c r="L210" s="145" t="s">
        <v>1256</v>
      </c>
      <c r="M210" s="142">
        <v>2019</v>
      </c>
      <c r="N210" s="142">
        <v>4</v>
      </c>
      <c r="O210" s="142" t="s">
        <v>1257</v>
      </c>
      <c r="P210" s="142" t="s">
        <v>28</v>
      </c>
      <c r="Q210" s="25"/>
      <c r="R210" s="142" t="s">
        <v>39</v>
      </c>
      <c r="S210" s="142" t="s">
        <v>1226</v>
      </c>
      <c r="T210" s="142" t="s">
        <v>415</v>
      </c>
      <c r="U210" s="25" t="s">
        <v>84</v>
      </c>
      <c r="V210" s="25">
        <v>44</v>
      </c>
      <c r="W210" s="142">
        <v>2</v>
      </c>
      <c r="X210" s="140">
        <v>10</v>
      </c>
      <c r="Y210" s="142">
        <v>1</v>
      </c>
      <c r="Z210" s="142">
        <v>9</v>
      </c>
      <c r="AA210" s="142">
        <v>4</v>
      </c>
      <c r="AH210" s="142">
        <v>0</v>
      </c>
      <c r="AI210" s="142">
        <v>6</v>
      </c>
      <c r="AJ210" s="142">
        <v>1</v>
      </c>
      <c r="AK210" s="142">
        <v>1</v>
      </c>
      <c r="AL210" s="142">
        <v>2</v>
      </c>
      <c r="AM210" s="140">
        <f t="shared" si="5"/>
        <v>10</v>
      </c>
      <c r="AN210" s="142">
        <v>0</v>
      </c>
      <c r="AP210" s="142">
        <v>0</v>
      </c>
    </row>
    <row r="211" spans="1:42" ht="31">
      <c r="A211" s="142">
        <v>1</v>
      </c>
      <c r="B211" s="134" t="s">
        <v>403</v>
      </c>
      <c r="C211" s="188" t="s">
        <v>32</v>
      </c>
      <c r="D211" s="188" t="s">
        <v>1234</v>
      </c>
      <c r="E211" s="188" t="s">
        <v>32</v>
      </c>
      <c r="F211" s="188" t="s">
        <v>1235</v>
      </c>
      <c r="G211" s="136">
        <v>44</v>
      </c>
      <c r="H211" s="136">
        <v>74</v>
      </c>
      <c r="I211" s="136">
        <v>2011</v>
      </c>
      <c r="J211" s="145" t="s">
        <v>1258</v>
      </c>
      <c r="K211" s="144" t="s">
        <v>1259</v>
      </c>
      <c r="L211" s="145" t="s">
        <v>1260</v>
      </c>
      <c r="M211" s="142">
        <v>2018</v>
      </c>
      <c r="N211" s="142">
        <v>4</v>
      </c>
      <c r="O211" s="142" t="s">
        <v>416</v>
      </c>
      <c r="P211" s="142" t="s">
        <v>28</v>
      </c>
      <c r="Q211" s="25"/>
      <c r="R211" s="142" t="s">
        <v>39</v>
      </c>
      <c r="S211" s="142" t="s">
        <v>994</v>
      </c>
      <c r="T211" s="142" t="s">
        <v>1261</v>
      </c>
      <c r="U211" s="25" t="s">
        <v>218</v>
      </c>
      <c r="V211" s="25">
        <v>13</v>
      </c>
      <c r="W211" s="142">
        <v>4</v>
      </c>
      <c r="X211" s="140">
        <v>52</v>
      </c>
      <c r="Y211" s="142">
        <v>1</v>
      </c>
      <c r="Z211" s="142">
        <v>51</v>
      </c>
      <c r="AA211" s="142">
        <v>22</v>
      </c>
      <c r="AH211" s="142">
        <v>0</v>
      </c>
      <c r="AI211" s="142">
        <v>38</v>
      </c>
      <c r="AJ211" s="142">
        <v>0</v>
      </c>
      <c r="AK211" s="142">
        <v>6</v>
      </c>
      <c r="AL211" s="142">
        <v>8</v>
      </c>
      <c r="AM211" s="140">
        <f t="shared" si="5"/>
        <v>52</v>
      </c>
      <c r="AN211" s="142">
        <v>0</v>
      </c>
      <c r="AP211" s="142">
        <v>0</v>
      </c>
    </row>
    <row r="212" spans="1:42" ht="31">
      <c r="A212" s="142">
        <v>1</v>
      </c>
      <c r="B212" s="134" t="s">
        <v>403</v>
      </c>
      <c r="C212" s="188" t="s">
        <v>32</v>
      </c>
      <c r="D212" s="188" t="s">
        <v>1234</v>
      </c>
      <c r="E212" s="188" t="s">
        <v>32</v>
      </c>
      <c r="F212" s="188" t="s">
        <v>1235</v>
      </c>
      <c r="G212" s="136">
        <v>44</v>
      </c>
      <c r="H212" s="136">
        <v>74</v>
      </c>
      <c r="I212" s="136">
        <v>2011</v>
      </c>
      <c r="J212" s="144" t="s">
        <v>1262</v>
      </c>
      <c r="K212" s="144"/>
      <c r="L212" s="145" t="s">
        <v>1263</v>
      </c>
      <c r="M212" s="142">
        <v>2018</v>
      </c>
      <c r="N212" s="142">
        <v>4</v>
      </c>
      <c r="O212" s="142" t="s">
        <v>417</v>
      </c>
      <c r="P212" s="142" t="s">
        <v>35</v>
      </c>
      <c r="Q212" s="142" t="s">
        <v>418</v>
      </c>
      <c r="R212" s="142" t="s">
        <v>30</v>
      </c>
      <c r="S212" s="142" t="s">
        <v>1251</v>
      </c>
      <c r="T212" s="142" t="s">
        <v>419</v>
      </c>
      <c r="V212" s="25" t="s">
        <v>849</v>
      </c>
      <c r="W212" s="142">
        <v>6</v>
      </c>
      <c r="X212" s="140">
        <v>18</v>
      </c>
      <c r="Y212" s="142">
        <v>4</v>
      </c>
      <c r="Z212" s="142">
        <v>14</v>
      </c>
      <c r="AA212" s="142">
        <v>6</v>
      </c>
      <c r="AH212" s="142">
        <v>0</v>
      </c>
      <c r="AI212" s="142">
        <v>11</v>
      </c>
      <c r="AJ212" s="142">
        <v>0</v>
      </c>
      <c r="AK212" s="142">
        <v>2</v>
      </c>
      <c r="AL212" s="142">
        <v>5</v>
      </c>
      <c r="AM212" s="140">
        <f t="shared" si="5"/>
        <v>18</v>
      </c>
      <c r="AN212" s="143" t="s">
        <v>831</v>
      </c>
      <c r="AO212" s="143"/>
      <c r="AP212" s="143" t="s">
        <v>1009</v>
      </c>
    </row>
    <row r="213" spans="1:42" ht="46.5">
      <c r="A213" s="142">
        <v>1</v>
      </c>
      <c r="B213" s="134" t="s">
        <v>403</v>
      </c>
      <c r="C213" s="188" t="s">
        <v>32</v>
      </c>
      <c r="D213" s="188" t="s">
        <v>1234</v>
      </c>
      <c r="E213" s="188" t="s">
        <v>32</v>
      </c>
      <c r="F213" s="188" t="s">
        <v>1235</v>
      </c>
      <c r="G213" s="136">
        <v>44</v>
      </c>
      <c r="H213" s="136">
        <v>74</v>
      </c>
      <c r="I213" s="136">
        <v>2011</v>
      </c>
      <c r="J213" s="144" t="s">
        <v>1264</v>
      </c>
      <c r="K213" s="144" t="s">
        <v>1265</v>
      </c>
      <c r="L213" s="145" t="s">
        <v>1266</v>
      </c>
      <c r="M213" s="142">
        <v>2017</v>
      </c>
      <c r="N213" s="142">
        <v>4</v>
      </c>
      <c r="O213" s="142" t="s">
        <v>420</v>
      </c>
      <c r="P213" s="142" t="s">
        <v>35</v>
      </c>
      <c r="Q213" s="25"/>
      <c r="R213" s="142" t="s">
        <v>30</v>
      </c>
      <c r="S213" s="142" t="s">
        <v>30</v>
      </c>
      <c r="T213" s="142" t="s">
        <v>1267</v>
      </c>
      <c r="U213" s="25" t="s">
        <v>218</v>
      </c>
      <c r="V213" s="25">
        <v>13</v>
      </c>
      <c r="W213" s="142">
        <v>7</v>
      </c>
      <c r="X213" s="140">
        <v>55</v>
      </c>
      <c r="Y213" s="142">
        <v>8</v>
      </c>
      <c r="Z213" s="142">
        <v>47</v>
      </c>
      <c r="AA213" s="142">
        <v>40</v>
      </c>
      <c r="AH213" s="142">
        <v>0</v>
      </c>
      <c r="AI213" s="142">
        <v>31</v>
      </c>
      <c r="AJ213" s="142">
        <v>2</v>
      </c>
      <c r="AK213" s="142">
        <v>11</v>
      </c>
      <c r="AL213" s="142">
        <v>11</v>
      </c>
      <c r="AM213" s="140">
        <f t="shared" si="5"/>
        <v>55</v>
      </c>
      <c r="AN213" s="142">
        <v>0</v>
      </c>
      <c r="AP213" s="142">
        <v>0</v>
      </c>
    </row>
    <row r="214" spans="1:42" ht="46.5">
      <c r="B214" s="134" t="s">
        <v>403</v>
      </c>
      <c r="C214" s="188" t="s">
        <v>32</v>
      </c>
      <c r="D214" s="188" t="s">
        <v>1234</v>
      </c>
      <c r="E214" s="188" t="s">
        <v>32</v>
      </c>
      <c r="F214" s="188" t="s">
        <v>1235</v>
      </c>
      <c r="G214" s="136">
        <v>44</v>
      </c>
      <c r="H214" s="136">
        <v>74</v>
      </c>
      <c r="I214" s="136">
        <v>2011</v>
      </c>
      <c r="J214" s="144"/>
      <c r="K214" s="144" t="s">
        <v>1268</v>
      </c>
      <c r="L214" s="145" t="s">
        <v>1269</v>
      </c>
      <c r="M214" s="142">
        <v>2017</v>
      </c>
      <c r="N214" s="142">
        <v>5</v>
      </c>
      <c r="O214" s="142" t="s">
        <v>1270</v>
      </c>
      <c r="P214" s="142" t="s">
        <v>35</v>
      </c>
      <c r="Q214" s="25"/>
      <c r="R214" s="142" t="s">
        <v>30</v>
      </c>
      <c r="S214" s="142" t="s">
        <v>30</v>
      </c>
      <c r="T214" s="142" t="s">
        <v>422</v>
      </c>
      <c r="U214" s="25" t="s">
        <v>218</v>
      </c>
      <c r="V214" s="25">
        <v>3</v>
      </c>
      <c r="W214" s="142">
        <v>8</v>
      </c>
      <c r="X214" s="140">
        <v>24</v>
      </c>
      <c r="Y214" s="142">
        <v>0</v>
      </c>
      <c r="Z214" s="142">
        <v>24</v>
      </c>
      <c r="AA214" s="142">
        <v>8</v>
      </c>
      <c r="AC214" s="150">
        <v>0</v>
      </c>
      <c r="AD214" s="150">
        <v>0</v>
      </c>
      <c r="AE214" s="150">
        <v>0</v>
      </c>
      <c r="AF214" s="150">
        <v>0</v>
      </c>
      <c r="AG214" s="150">
        <v>0</v>
      </c>
      <c r="AH214" s="142">
        <v>0</v>
      </c>
      <c r="AI214" s="142">
        <v>19</v>
      </c>
      <c r="AJ214" s="142">
        <v>0</v>
      </c>
      <c r="AK214" s="142">
        <v>1</v>
      </c>
      <c r="AL214" s="142">
        <v>4</v>
      </c>
      <c r="AM214" s="140">
        <f>SUM(AH214:AL214)</f>
        <v>24</v>
      </c>
      <c r="AN214" s="142">
        <v>0</v>
      </c>
      <c r="AP214" s="142">
        <v>0</v>
      </c>
    </row>
    <row r="215" spans="1:42" ht="46.5">
      <c r="A215" s="142">
        <v>1</v>
      </c>
      <c r="B215" s="134" t="s">
        <v>403</v>
      </c>
      <c r="C215" s="188" t="s">
        <v>32</v>
      </c>
      <c r="D215" s="188" t="s">
        <v>1234</v>
      </c>
      <c r="E215" s="188" t="s">
        <v>32</v>
      </c>
      <c r="F215" s="188" t="s">
        <v>1235</v>
      </c>
      <c r="G215" s="136">
        <v>44</v>
      </c>
      <c r="H215" s="136">
        <v>74</v>
      </c>
      <c r="I215" s="136">
        <v>2011</v>
      </c>
      <c r="J215" s="144"/>
      <c r="K215" s="144" t="s">
        <v>1271</v>
      </c>
      <c r="L215" s="145" t="s">
        <v>1272</v>
      </c>
      <c r="M215" s="165">
        <v>2016</v>
      </c>
      <c r="N215" s="142">
        <v>5</v>
      </c>
      <c r="O215" s="142" t="s">
        <v>1273</v>
      </c>
      <c r="P215" s="142" t="s">
        <v>35</v>
      </c>
      <c r="Q215" s="25"/>
      <c r="R215" s="142" t="s">
        <v>39</v>
      </c>
      <c r="S215" s="142" t="s">
        <v>829</v>
      </c>
      <c r="T215" s="142" t="s">
        <v>164</v>
      </c>
      <c r="U215" s="25" t="s">
        <v>84</v>
      </c>
      <c r="V215" s="25">
        <v>57</v>
      </c>
      <c r="W215" s="142">
        <v>10</v>
      </c>
      <c r="X215" s="140">
        <v>81</v>
      </c>
      <c r="Y215" s="142">
        <v>13</v>
      </c>
      <c r="Z215" s="142">
        <v>68</v>
      </c>
      <c r="AA215" s="142">
        <v>28</v>
      </c>
      <c r="AC215" s="141"/>
      <c r="AD215" s="141"/>
      <c r="AE215" s="141"/>
      <c r="AF215" s="141"/>
      <c r="AG215" s="141"/>
      <c r="AH215" s="142">
        <v>0</v>
      </c>
      <c r="AI215" s="142">
        <v>42</v>
      </c>
      <c r="AJ215" s="142">
        <v>12</v>
      </c>
      <c r="AK215" s="142">
        <v>9</v>
      </c>
      <c r="AL215" s="142">
        <v>18</v>
      </c>
      <c r="AM215" s="140">
        <f t="shared" si="5"/>
        <v>81</v>
      </c>
      <c r="AN215" s="143" t="s">
        <v>1274</v>
      </c>
      <c r="AO215" s="143"/>
      <c r="AP215" s="143"/>
    </row>
    <row r="216" spans="1:42">
      <c r="A216" s="142">
        <v>1</v>
      </c>
      <c r="B216" s="134" t="s">
        <v>403</v>
      </c>
      <c r="C216" s="188" t="s">
        <v>32</v>
      </c>
      <c r="D216" s="188" t="s">
        <v>1234</v>
      </c>
      <c r="E216" s="188" t="s">
        <v>32</v>
      </c>
      <c r="F216" s="188" t="s">
        <v>1235</v>
      </c>
      <c r="G216" s="136">
        <v>44</v>
      </c>
      <c r="H216" s="136">
        <v>74</v>
      </c>
      <c r="I216" s="136">
        <v>2011</v>
      </c>
      <c r="J216" s="145" t="s">
        <v>1275</v>
      </c>
      <c r="K216" s="145" t="s">
        <v>1276</v>
      </c>
      <c r="L216" s="145" t="s">
        <v>1277</v>
      </c>
      <c r="M216" s="165">
        <v>2017</v>
      </c>
      <c r="N216" s="142">
        <v>5</v>
      </c>
      <c r="O216" s="142" t="s">
        <v>424</v>
      </c>
      <c r="P216" s="142" t="s">
        <v>28</v>
      </c>
      <c r="Q216" s="25"/>
      <c r="R216" s="142" t="s">
        <v>30</v>
      </c>
      <c r="S216" s="142" t="s">
        <v>30</v>
      </c>
      <c r="T216" s="142" t="s">
        <v>1278</v>
      </c>
      <c r="U216" s="25" t="s">
        <v>218</v>
      </c>
      <c r="V216" s="25">
        <v>13</v>
      </c>
      <c r="W216" s="142">
        <v>1</v>
      </c>
      <c r="X216" s="140">
        <v>3</v>
      </c>
      <c r="Y216" s="142">
        <v>2</v>
      </c>
      <c r="Z216" s="142">
        <v>1</v>
      </c>
      <c r="AA216" s="142">
        <v>1</v>
      </c>
      <c r="AC216" s="141"/>
      <c r="AD216" s="141"/>
      <c r="AE216" s="141"/>
      <c r="AF216" s="141"/>
      <c r="AG216" s="141"/>
      <c r="AH216" s="142">
        <v>2</v>
      </c>
      <c r="AI216" s="142">
        <v>1</v>
      </c>
      <c r="AJ216" s="142">
        <v>0</v>
      </c>
      <c r="AK216" s="142">
        <v>0</v>
      </c>
      <c r="AL216" s="142">
        <v>0</v>
      </c>
      <c r="AM216" s="140">
        <f t="shared" si="5"/>
        <v>3</v>
      </c>
      <c r="AN216" s="143" t="s">
        <v>1279</v>
      </c>
      <c r="AO216" s="143"/>
      <c r="AP216" s="143">
        <v>1</v>
      </c>
    </row>
    <row r="217" spans="1:42" s="25" customFormat="1">
      <c r="B217" s="134" t="s">
        <v>403</v>
      </c>
      <c r="C217" s="188" t="s">
        <v>32</v>
      </c>
      <c r="D217" s="188" t="s">
        <v>1234</v>
      </c>
      <c r="E217" s="188" t="s">
        <v>32</v>
      </c>
      <c r="F217" s="188" t="s">
        <v>1235</v>
      </c>
      <c r="G217" s="136">
        <v>44</v>
      </c>
      <c r="H217" s="136">
        <v>74</v>
      </c>
      <c r="I217" s="136">
        <v>2011</v>
      </c>
      <c r="J217" s="136"/>
      <c r="K217" s="136"/>
      <c r="L217" s="149" t="s">
        <v>1280</v>
      </c>
      <c r="M217" s="25">
        <v>2015</v>
      </c>
      <c r="N217" s="25">
        <v>6</v>
      </c>
      <c r="O217" s="25" t="s">
        <v>1281</v>
      </c>
      <c r="P217" s="25" t="s">
        <v>35</v>
      </c>
      <c r="R217" s="25" t="s">
        <v>30</v>
      </c>
      <c r="S217" s="25" t="s">
        <v>30</v>
      </c>
      <c r="T217" s="25" t="s">
        <v>427</v>
      </c>
      <c r="U217" s="25" t="s">
        <v>101</v>
      </c>
      <c r="V217" s="25">
        <v>28</v>
      </c>
      <c r="W217" s="25">
        <v>6</v>
      </c>
      <c r="X217" s="25">
        <v>21</v>
      </c>
      <c r="Y217" s="25">
        <v>0</v>
      </c>
      <c r="Z217" s="25">
        <v>21</v>
      </c>
      <c r="AA217" s="25">
        <v>12</v>
      </c>
      <c r="AC217" s="141">
        <v>0</v>
      </c>
      <c r="AD217" s="141">
        <v>0</v>
      </c>
      <c r="AE217" s="141">
        <v>0</v>
      </c>
      <c r="AF217" s="141">
        <v>0</v>
      </c>
      <c r="AG217" s="141">
        <v>0</v>
      </c>
      <c r="AH217" s="25">
        <v>3</v>
      </c>
      <c r="AI217" s="25">
        <v>7</v>
      </c>
      <c r="AJ217" s="25">
        <v>4</v>
      </c>
      <c r="AK217" s="25">
        <v>3</v>
      </c>
      <c r="AL217" s="25">
        <v>4</v>
      </c>
      <c r="AM217" s="25">
        <f t="shared" si="5"/>
        <v>21</v>
      </c>
      <c r="AN217" s="25">
        <v>0</v>
      </c>
      <c r="AP217" s="25">
        <v>0</v>
      </c>
    </row>
    <row r="218" spans="1:42" s="25" customFormat="1">
      <c r="B218" s="134" t="s">
        <v>403</v>
      </c>
      <c r="C218" s="188" t="s">
        <v>32</v>
      </c>
      <c r="D218" s="188" t="s">
        <v>1234</v>
      </c>
      <c r="E218" s="188" t="s">
        <v>32</v>
      </c>
      <c r="F218" s="188" t="s">
        <v>1235</v>
      </c>
      <c r="G218" s="136">
        <v>44</v>
      </c>
      <c r="H218" s="136">
        <v>74</v>
      </c>
      <c r="I218" s="136">
        <v>2011</v>
      </c>
      <c r="J218" s="25" t="s">
        <v>1282</v>
      </c>
      <c r="K218" s="149" t="s">
        <v>1283</v>
      </c>
      <c r="L218" s="149" t="s">
        <v>1284</v>
      </c>
      <c r="M218" s="25">
        <v>2015</v>
      </c>
      <c r="N218" s="25">
        <v>6</v>
      </c>
      <c r="O218" s="25" t="s">
        <v>1285</v>
      </c>
      <c r="P218" s="25" t="s">
        <v>28</v>
      </c>
      <c r="R218" s="142" t="s">
        <v>39</v>
      </c>
      <c r="S218" s="25" t="s">
        <v>829</v>
      </c>
      <c r="T218" s="25" t="s">
        <v>1286</v>
      </c>
      <c r="U218" s="25" t="s">
        <v>84</v>
      </c>
      <c r="V218" s="25">
        <v>114</v>
      </c>
      <c r="W218" s="25">
        <v>5</v>
      </c>
      <c r="X218" s="25">
        <v>13</v>
      </c>
      <c r="Y218" s="25">
        <v>0</v>
      </c>
      <c r="Z218" s="25">
        <v>13</v>
      </c>
      <c r="AA218" s="25">
        <v>6</v>
      </c>
      <c r="AC218" s="141">
        <v>0</v>
      </c>
      <c r="AD218" s="141">
        <v>0</v>
      </c>
      <c r="AE218" s="141">
        <v>0</v>
      </c>
      <c r="AF218" s="141">
        <v>0</v>
      </c>
      <c r="AG218" s="141">
        <v>0</v>
      </c>
      <c r="AH218" s="25">
        <v>1</v>
      </c>
      <c r="AI218" s="25">
        <v>4</v>
      </c>
      <c r="AJ218" s="25">
        <v>3</v>
      </c>
      <c r="AK218" s="25">
        <v>3</v>
      </c>
      <c r="AL218" s="25">
        <v>2</v>
      </c>
      <c r="AM218" s="25">
        <f t="shared" si="5"/>
        <v>13</v>
      </c>
      <c r="AN218" s="25">
        <v>0</v>
      </c>
      <c r="AO218" s="25">
        <v>2</v>
      </c>
      <c r="AP218" s="25">
        <v>0</v>
      </c>
    </row>
    <row r="219" spans="1:42" s="25" customFormat="1" ht="46.5">
      <c r="B219" s="134" t="s">
        <v>403</v>
      </c>
      <c r="C219" s="188" t="s">
        <v>32</v>
      </c>
      <c r="D219" s="188" t="s">
        <v>1234</v>
      </c>
      <c r="E219" s="188" t="s">
        <v>32</v>
      </c>
      <c r="F219" s="188" t="s">
        <v>1235</v>
      </c>
      <c r="G219" s="136">
        <v>44</v>
      </c>
      <c r="H219" s="136">
        <v>74</v>
      </c>
      <c r="I219" s="136">
        <v>2011</v>
      </c>
      <c r="J219" s="136"/>
      <c r="K219" s="136" t="s">
        <v>1287</v>
      </c>
      <c r="L219" s="149" t="s">
        <v>1288</v>
      </c>
      <c r="M219" s="25">
        <v>2015</v>
      </c>
      <c r="N219" s="25">
        <v>6</v>
      </c>
      <c r="O219" s="25" t="s">
        <v>1289</v>
      </c>
      <c r="P219" s="25" t="s">
        <v>28</v>
      </c>
      <c r="R219" s="25" t="s">
        <v>30</v>
      </c>
      <c r="S219" s="25" t="s">
        <v>30</v>
      </c>
      <c r="T219" s="25" t="s">
        <v>432</v>
      </c>
      <c r="U219" s="25" t="s">
        <v>84</v>
      </c>
      <c r="V219" s="25">
        <v>44</v>
      </c>
      <c r="W219" s="25">
        <v>9</v>
      </c>
      <c r="X219" s="25">
        <v>76</v>
      </c>
      <c r="Y219" s="25">
        <v>0</v>
      </c>
      <c r="Z219" s="25">
        <v>76</v>
      </c>
      <c r="AA219" s="25">
        <v>32</v>
      </c>
      <c r="AC219" s="141">
        <v>0</v>
      </c>
      <c r="AD219" s="141">
        <v>0</v>
      </c>
      <c r="AE219" s="141">
        <v>0</v>
      </c>
      <c r="AF219" s="141">
        <v>0</v>
      </c>
      <c r="AG219" s="141">
        <v>0</v>
      </c>
      <c r="AH219" s="25">
        <v>0</v>
      </c>
      <c r="AI219" s="25">
        <v>54</v>
      </c>
      <c r="AJ219" s="25">
        <v>7</v>
      </c>
      <c r="AK219" s="25">
        <v>4</v>
      </c>
      <c r="AL219" s="25">
        <v>11</v>
      </c>
      <c r="AM219" s="25">
        <f t="shared" si="5"/>
        <v>76</v>
      </c>
      <c r="AN219" s="25">
        <v>0</v>
      </c>
      <c r="AP219" s="25">
        <v>0</v>
      </c>
    </row>
    <row r="220" spans="1:42">
      <c r="A220" s="142">
        <v>1</v>
      </c>
      <c r="B220" s="134" t="s">
        <v>433</v>
      </c>
      <c r="C220" s="188" t="s">
        <v>32</v>
      </c>
      <c r="D220" s="135">
        <v>19</v>
      </c>
      <c r="E220" s="188" t="s">
        <v>32</v>
      </c>
      <c r="F220" s="135">
        <v>25</v>
      </c>
      <c r="G220" s="136">
        <v>41</v>
      </c>
      <c r="H220" s="136">
        <v>94</v>
      </c>
      <c r="I220" s="136">
        <v>2011</v>
      </c>
      <c r="J220" s="144"/>
      <c r="K220" s="144"/>
      <c r="L220" s="145" t="s">
        <v>1290</v>
      </c>
      <c r="M220" s="142">
        <v>2022</v>
      </c>
      <c r="N220" s="142">
        <v>1</v>
      </c>
      <c r="O220" s="142" t="s">
        <v>434</v>
      </c>
      <c r="P220" s="142" t="s">
        <v>28</v>
      </c>
      <c r="Q220" s="25"/>
      <c r="R220" s="142" t="s">
        <v>30</v>
      </c>
      <c r="S220" s="142" t="s">
        <v>30</v>
      </c>
      <c r="T220" s="142" t="s">
        <v>435</v>
      </c>
      <c r="U220" s="25" t="s">
        <v>101</v>
      </c>
      <c r="V220" s="25">
        <v>28</v>
      </c>
      <c r="W220" s="142">
        <v>1</v>
      </c>
      <c r="X220" s="140">
        <v>5</v>
      </c>
      <c r="Y220" s="142">
        <v>3</v>
      </c>
      <c r="Z220" s="142">
        <v>2</v>
      </c>
      <c r="AA220" s="142">
        <v>1</v>
      </c>
      <c r="AC220" s="141"/>
      <c r="AD220" s="141"/>
      <c r="AE220" s="141"/>
      <c r="AF220" s="141"/>
      <c r="AG220" s="141"/>
      <c r="AH220" s="142">
        <v>0</v>
      </c>
      <c r="AI220" s="142">
        <v>4</v>
      </c>
      <c r="AJ220" s="142">
        <v>0</v>
      </c>
      <c r="AK220" s="142">
        <v>0</v>
      </c>
      <c r="AL220" s="142">
        <v>1</v>
      </c>
      <c r="AM220" s="140">
        <f t="shared" si="5"/>
        <v>5</v>
      </c>
      <c r="AN220" s="142">
        <v>0</v>
      </c>
      <c r="AP220" s="142">
        <v>0</v>
      </c>
    </row>
    <row r="221" spans="1:42">
      <c r="B221" s="134" t="s">
        <v>433</v>
      </c>
      <c r="C221" s="188" t="s">
        <v>32</v>
      </c>
      <c r="D221" s="135">
        <v>19</v>
      </c>
      <c r="E221" s="188" t="s">
        <v>32</v>
      </c>
      <c r="F221" s="135">
        <v>25</v>
      </c>
      <c r="G221" s="136">
        <v>41</v>
      </c>
      <c r="H221" s="136">
        <v>94</v>
      </c>
      <c r="I221" s="136">
        <v>2011</v>
      </c>
      <c r="J221" s="144"/>
      <c r="K221" s="144"/>
      <c r="L221" s="144" t="s">
        <v>1291</v>
      </c>
      <c r="M221" s="142">
        <v>2022</v>
      </c>
      <c r="N221" s="142">
        <v>1</v>
      </c>
      <c r="O221" s="142" t="s">
        <v>436</v>
      </c>
      <c r="P221" s="142" t="s">
        <v>35</v>
      </c>
      <c r="Q221" s="25"/>
      <c r="R221" s="142" t="s">
        <v>30</v>
      </c>
      <c r="S221" s="142" t="s">
        <v>30</v>
      </c>
      <c r="T221" s="142" t="s">
        <v>437</v>
      </c>
      <c r="U221" s="25" t="s">
        <v>107</v>
      </c>
      <c r="V221" s="25" t="s">
        <v>849</v>
      </c>
      <c r="W221" s="142">
        <v>0</v>
      </c>
      <c r="X221" s="140">
        <v>2</v>
      </c>
      <c r="Y221" s="142">
        <v>2</v>
      </c>
      <c r="Z221" s="142">
        <v>0</v>
      </c>
      <c r="AA221" s="142">
        <v>0</v>
      </c>
      <c r="AC221" s="141">
        <v>2</v>
      </c>
      <c r="AD221" s="141">
        <v>0</v>
      </c>
      <c r="AE221" s="141">
        <v>0</v>
      </c>
      <c r="AF221" s="141">
        <v>0</v>
      </c>
      <c r="AG221" s="141">
        <v>0</v>
      </c>
      <c r="AH221" s="142">
        <v>2</v>
      </c>
      <c r="AI221" s="142">
        <v>0</v>
      </c>
      <c r="AJ221" s="142">
        <v>0</v>
      </c>
      <c r="AK221" s="142">
        <v>0</v>
      </c>
      <c r="AL221" s="142">
        <v>0</v>
      </c>
      <c r="AM221" s="140">
        <f t="shared" si="5"/>
        <v>2</v>
      </c>
      <c r="AN221" s="142">
        <v>0</v>
      </c>
      <c r="AP221" s="142">
        <v>0</v>
      </c>
    </row>
    <row r="222" spans="1:42">
      <c r="A222" s="142">
        <v>1</v>
      </c>
      <c r="B222" s="134" t="s">
        <v>433</v>
      </c>
      <c r="C222" s="188" t="s">
        <v>32</v>
      </c>
      <c r="D222" s="135">
        <v>19</v>
      </c>
      <c r="E222" s="188" t="s">
        <v>32</v>
      </c>
      <c r="F222" s="135">
        <v>25</v>
      </c>
      <c r="G222" s="136">
        <v>41</v>
      </c>
      <c r="H222" s="136">
        <v>94</v>
      </c>
      <c r="I222" s="136">
        <v>2011</v>
      </c>
      <c r="J222" s="144"/>
      <c r="K222" s="144"/>
      <c r="L222" s="145" t="s">
        <v>1292</v>
      </c>
      <c r="M222" s="142">
        <v>2021</v>
      </c>
      <c r="N222" s="142">
        <v>2</v>
      </c>
      <c r="O222" s="142" t="s">
        <v>438</v>
      </c>
      <c r="P222" s="142" t="s">
        <v>35</v>
      </c>
      <c r="Q222" s="25"/>
      <c r="R222" s="142" t="s">
        <v>30</v>
      </c>
      <c r="S222" s="142" t="s">
        <v>30</v>
      </c>
      <c r="T222" s="142" t="s">
        <v>439</v>
      </c>
      <c r="U222" s="25" t="s">
        <v>101</v>
      </c>
      <c r="V222" s="25">
        <v>35</v>
      </c>
      <c r="W222" s="142">
        <v>2</v>
      </c>
      <c r="X222" s="140">
        <v>4</v>
      </c>
      <c r="Y222" s="142">
        <v>2</v>
      </c>
      <c r="Z222" s="142">
        <v>2</v>
      </c>
      <c r="AA222" s="142">
        <v>1</v>
      </c>
      <c r="AC222" s="141"/>
      <c r="AD222" s="141"/>
      <c r="AE222" s="141"/>
      <c r="AF222" s="141"/>
      <c r="AG222" s="141"/>
      <c r="AH222" s="142">
        <v>0</v>
      </c>
      <c r="AI222" s="142">
        <v>2</v>
      </c>
      <c r="AJ222" s="142">
        <v>0</v>
      </c>
      <c r="AK222" s="142">
        <v>0</v>
      </c>
      <c r="AL222" s="142">
        <v>2</v>
      </c>
      <c r="AM222" s="140">
        <f t="shared" si="5"/>
        <v>4</v>
      </c>
      <c r="AN222" s="143" t="s">
        <v>831</v>
      </c>
      <c r="AO222" s="143"/>
      <c r="AP222" s="143" t="s">
        <v>1009</v>
      </c>
    </row>
    <row r="223" spans="1:42">
      <c r="A223" s="142">
        <v>1</v>
      </c>
      <c r="B223" s="134" t="s">
        <v>433</v>
      </c>
      <c r="C223" s="188" t="s">
        <v>32</v>
      </c>
      <c r="D223" s="135">
        <v>19</v>
      </c>
      <c r="E223" s="188" t="s">
        <v>32</v>
      </c>
      <c r="F223" s="135">
        <v>25</v>
      </c>
      <c r="G223" s="136">
        <v>41</v>
      </c>
      <c r="H223" s="136">
        <v>94</v>
      </c>
      <c r="I223" s="136">
        <v>2011</v>
      </c>
      <c r="J223" s="144"/>
      <c r="K223" s="145" t="s">
        <v>1293</v>
      </c>
      <c r="L223" s="145" t="s">
        <v>1294</v>
      </c>
      <c r="M223" s="142">
        <v>2021</v>
      </c>
      <c r="N223" s="142">
        <v>2</v>
      </c>
      <c r="O223" s="142" t="s">
        <v>440</v>
      </c>
      <c r="P223" s="142" t="s">
        <v>28</v>
      </c>
      <c r="Q223" s="25"/>
      <c r="R223" s="142" t="s">
        <v>30</v>
      </c>
      <c r="S223" s="142" t="s">
        <v>30</v>
      </c>
      <c r="T223" s="142" t="s">
        <v>441</v>
      </c>
      <c r="U223" s="25" t="s">
        <v>218</v>
      </c>
      <c r="V223" s="25">
        <v>10</v>
      </c>
      <c r="W223" s="142">
        <v>2</v>
      </c>
      <c r="X223" s="140">
        <v>5</v>
      </c>
      <c r="Y223" s="142">
        <v>4</v>
      </c>
      <c r="Z223" s="142">
        <v>1</v>
      </c>
      <c r="AA223" s="142">
        <v>0</v>
      </c>
      <c r="AC223" s="141"/>
      <c r="AD223" s="141"/>
      <c r="AE223" s="141"/>
      <c r="AF223" s="141"/>
      <c r="AG223" s="141"/>
      <c r="AH223" s="142">
        <v>0</v>
      </c>
      <c r="AI223" s="142">
        <v>3</v>
      </c>
      <c r="AJ223" s="142">
        <v>1</v>
      </c>
      <c r="AK223" s="142">
        <v>1</v>
      </c>
      <c r="AL223" s="142">
        <v>0</v>
      </c>
      <c r="AM223" s="140">
        <f t="shared" si="5"/>
        <v>5</v>
      </c>
      <c r="AN223" s="142">
        <v>0</v>
      </c>
      <c r="AP223" s="142">
        <v>0</v>
      </c>
    </row>
    <row r="224" spans="1:42">
      <c r="A224" s="142">
        <v>1</v>
      </c>
      <c r="B224" s="134" t="s">
        <v>433</v>
      </c>
      <c r="C224" s="188" t="s">
        <v>32</v>
      </c>
      <c r="D224" s="135">
        <v>19</v>
      </c>
      <c r="E224" s="188" t="s">
        <v>32</v>
      </c>
      <c r="F224" s="135">
        <v>25</v>
      </c>
      <c r="G224" s="136">
        <v>41</v>
      </c>
      <c r="H224" s="136">
        <v>94</v>
      </c>
      <c r="I224" s="136">
        <v>2011</v>
      </c>
      <c r="J224" s="144"/>
      <c r="K224" s="145" t="s">
        <v>1295</v>
      </c>
      <c r="L224" s="145" t="s">
        <v>1296</v>
      </c>
      <c r="M224" s="142">
        <v>2020</v>
      </c>
      <c r="N224" s="142">
        <v>3</v>
      </c>
      <c r="O224" s="142" t="s">
        <v>442</v>
      </c>
      <c r="P224" s="142" t="s">
        <v>35</v>
      </c>
      <c r="Q224" s="25"/>
      <c r="R224" s="142" t="s">
        <v>39</v>
      </c>
      <c r="S224" s="142" t="s">
        <v>1297</v>
      </c>
      <c r="T224" s="142" t="s">
        <v>1298</v>
      </c>
      <c r="U224" s="25" t="s">
        <v>84</v>
      </c>
      <c r="V224" s="25">
        <v>88</v>
      </c>
      <c r="W224" s="142">
        <v>6</v>
      </c>
      <c r="X224" s="140">
        <v>14</v>
      </c>
      <c r="Y224" s="142">
        <v>10</v>
      </c>
      <c r="Z224" s="142">
        <v>4</v>
      </c>
      <c r="AA224" s="142">
        <v>10</v>
      </c>
      <c r="AH224" s="142">
        <v>0</v>
      </c>
      <c r="AI224" s="142">
        <v>11</v>
      </c>
      <c r="AJ224" s="142">
        <v>2</v>
      </c>
      <c r="AK224" s="142">
        <v>0</v>
      </c>
      <c r="AL224" s="142">
        <v>1</v>
      </c>
      <c r="AM224" s="140">
        <f t="shared" si="5"/>
        <v>14</v>
      </c>
      <c r="AN224" s="142">
        <v>0</v>
      </c>
      <c r="AP224" s="142">
        <v>0</v>
      </c>
    </row>
    <row r="225" spans="1:42">
      <c r="B225" s="134" t="s">
        <v>433</v>
      </c>
      <c r="C225" s="188" t="s">
        <v>32</v>
      </c>
      <c r="D225" s="135">
        <v>19</v>
      </c>
      <c r="E225" s="188" t="s">
        <v>32</v>
      </c>
      <c r="F225" s="135">
        <v>25</v>
      </c>
      <c r="G225" s="136">
        <v>41</v>
      </c>
      <c r="H225" s="136">
        <v>94</v>
      </c>
      <c r="I225" s="136">
        <v>2011</v>
      </c>
      <c r="J225" s="144"/>
      <c r="K225" s="144"/>
      <c r="L225" s="145" t="s">
        <v>933</v>
      </c>
      <c r="M225" s="142">
        <v>2020</v>
      </c>
      <c r="N225" s="142">
        <v>3</v>
      </c>
      <c r="O225" s="142" t="s">
        <v>443</v>
      </c>
      <c r="P225" s="142" t="s">
        <v>35</v>
      </c>
      <c r="Q225" s="25"/>
      <c r="R225" s="142" t="s">
        <v>30</v>
      </c>
      <c r="S225" s="142" t="s">
        <v>30</v>
      </c>
      <c r="T225" s="142" t="s">
        <v>439</v>
      </c>
      <c r="U225" s="25" t="s">
        <v>101</v>
      </c>
      <c r="V225" s="25">
        <v>35</v>
      </c>
      <c r="W225" s="142">
        <v>3</v>
      </c>
      <c r="X225" s="140">
        <v>5</v>
      </c>
      <c r="Y225" s="142">
        <v>5</v>
      </c>
      <c r="Z225" s="142">
        <v>0</v>
      </c>
      <c r="AA225" s="142">
        <v>2</v>
      </c>
      <c r="AC225" s="150">
        <v>0</v>
      </c>
      <c r="AD225" s="150">
        <v>2</v>
      </c>
      <c r="AE225" s="150">
        <v>1</v>
      </c>
      <c r="AF225" s="150">
        <v>1</v>
      </c>
      <c r="AG225" s="150">
        <v>1</v>
      </c>
      <c r="AH225" s="142">
        <v>0</v>
      </c>
      <c r="AI225" s="142">
        <v>2</v>
      </c>
      <c r="AJ225" s="142">
        <v>1</v>
      </c>
      <c r="AK225" s="142">
        <v>1</v>
      </c>
      <c r="AL225" s="142">
        <v>1</v>
      </c>
      <c r="AM225" s="140">
        <f t="shared" si="5"/>
        <v>5</v>
      </c>
      <c r="AN225" s="143" t="s">
        <v>831</v>
      </c>
      <c r="AO225" s="143"/>
      <c r="AP225" s="143" t="s">
        <v>1009</v>
      </c>
    </row>
    <row r="226" spans="1:42">
      <c r="A226" s="142">
        <v>1</v>
      </c>
      <c r="B226" s="134" t="s">
        <v>433</v>
      </c>
      <c r="C226" s="188" t="s">
        <v>32</v>
      </c>
      <c r="D226" s="135">
        <v>19</v>
      </c>
      <c r="E226" s="188" t="s">
        <v>32</v>
      </c>
      <c r="F226" s="135">
        <v>25</v>
      </c>
      <c r="G226" s="136">
        <v>41</v>
      </c>
      <c r="H226" s="136">
        <v>94</v>
      </c>
      <c r="I226" s="136">
        <v>2011</v>
      </c>
      <c r="J226" s="144"/>
      <c r="K226" s="142" t="s">
        <v>1299</v>
      </c>
      <c r="L226" s="145" t="s">
        <v>1300</v>
      </c>
      <c r="M226" s="142">
        <v>2019</v>
      </c>
      <c r="N226" s="142">
        <v>4</v>
      </c>
      <c r="O226" s="142" t="s">
        <v>1301</v>
      </c>
      <c r="P226" s="142" t="s">
        <v>35</v>
      </c>
      <c r="Q226" s="25"/>
      <c r="R226" s="142" t="s">
        <v>30</v>
      </c>
      <c r="S226" s="142" t="s">
        <v>30</v>
      </c>
      <c r="T226" s="142" t="s">
        <v>435</v>
      </c>
      <c r="U226" s="25" t="s">
        <v>101</v>
      </c>
      <c r="V226" s="25">
        <v>28</v>
      </c>
      <c r="W226" s="142">
        <v>3</v>
      </c>
      <c r="X226" s="140">
        <v>6</v>
      </c>
      <c r="Y226" s="142">
        <v>5</v>
      </c>
      <c r="Z226" s="142">
        <v>1</v>
      </c>
      <c r="AA226" s="142">
        <v>1</v>
      </c>
      <c r="AH226" s="142">
        <v>0</v>
      </c>
      <c r="AI226" s="142">
        <v>5</v>
      </c>
      <c r="AJ226" s="142">
        <v>0</v>
      </c>
      <c r="AK226" s="142">
        <v>0</v>
      </c>
      <c r="AL226" s="142">
        <v>1</v>
      </c>
      <c r="AM226" s="140">
        <f t="shared" si="5"/>
        <v>6</v>
      </c>
      <c r="AN226" s="143" t="s">
        <v>831</v>
      </c>
      <c r="AO226" s="143"/>
      <c r="AP226" s="143" t="s">
        <v>1009</v>
      </c>
    </row>
    <row r="227" spans="1:42" ht="31">
      <c r="A227" s="142">
        <v>1</v>
      </c>
      <c r="B227" s="134" t="s">
        <v>433</v>
      </c>
      <c r="C227" s="188" t="s">
        <v>32</v>
      </c>
      <c r="D227" s="135">
        <v>19</v>
      </c>
      <c r="E227" s="188" t="s">
        <v>32</v>
      </c>
      <c r="F227" s="135">
        <v>25</v>
      </c>
      <c r="G227" s="136">
        <v>41</v>
      </c>
      <c r="H227" s="136">
        <v>94</v>
      </c>
      <c r="I227" s="136">
        <v>2011</v>
      </c>
      <c r="J227" s="144"/>
      <c r="K227" s="144" t="s">
        <v>1302</v>
      </c>
      <c r="L227" s="145" t="s">
        <v>1303</v>
      </c>
      <c r="M227" s="142">
        <v>2019</v>
      </c>
      <c r="N227" s="142">
        <v>4</v>
      </c>
      <c r="O227" s="142" t="s">
        <v>1304</v>
      </c>
      <c r="P227" s="142" t="s">
        <v>28</v>
      </c>
      <c r="Q227" s="25"/>
      <c r="R227" s="142" t="s">
        <v>30</v>
      </c>
      <c r="S227" s="142" t="s">
        <v>30</v>
      </c>
      <c r="T227" s="142" t="s">
        <v>445</v>
      </c>
      <c r="U227" s="25" t="s">
        <v>84</v>
      </c>
      <c r="V227" s="25">
        <v>68</v>
      </c>
      <c r="W227" s="142">
        <v>7</v>
      </c>
      <c r="X227" s="140">
        <v>16</v>
      </c>
      <c r="Y227" s="142">
        <v>13</v>
      </c>
      <c r="Z227" s="142">
        <v>3</v>
      </c>
      <c r="AA227" s="142">
        <v>8</v>
      </c>
      <c r="AH227" s="142">
        <v>0</v>
      </c>
      <c r="AI227" s="142">
        <v>15</v>
      </c>
      <c r="AJ227" s="142">
        <v>0</v>
      </c>
      <c r="AK227" s="142">
        <v>0</v>
      </c>
      <c r="AL227" s="142">
        <v>1</v>
      </c>
      <c r="AM227" s="140">
        <f t="shared" si="5"/>
        <v>16</v>
      </c>
      <c r="AN227" s="142" t="s">
        <v>837</v>
      </c>
      <c r="AP227" s="142">
        <v>1</v>
      </c>
    </row>
    <row r="228" spans="1:42">
      <c r="A228" s="142">
        <v>1</v>
      </c>
      <c r="B228" s="134" t="s">
        <v>433</v>
      </c>
      <c r="C228" s="188" t="s">
        <v>32</v>
      </c>
      <c r="D228" s="135">
        <v>19</v>
      </c>
      <c r="E228" s="188" t="s">
        <v>32</v>
      </c>
      <c r="F228" s="135">
        <v>25</v>
      </c>
      <c r="G228" s="136">
        <v>41</v>
      </c>
      <c r="H228" s="136">
        <v>94</v>
      </c>
      <c r="I228" s="136">
        <v>2011</v>
      </c>
      <c r="J228" s="144"/>
      <c r="K228" s="144" t="s">
        <v>1305</v>
      </c>
      <c r="L228" s="145" t="s">
        <v>1306</v>
      </c>
      <c r="M228" s="142">
        <v>2017</v>
      </c>
      <c r="N228" s="142">
        <v>6</v>
      </c>
      <c r="O228" s="142" t="s">
        <v>1307</v>
      </c>
      <c r="P228" s="142" t="s">
        <v>35</v>
      </c>
      <c r="Q228" s="25"/>
      <c r="R228" s="142" t="s">
        <v>30</v>
      </c>
      <c r="S228" s="142" t="s">
        <v>30</v>
      </c>
      <c r="T228" s="142" t="s">
        <v>1308</v>
      </c>
      <c r="U228" s="25" t="s">
        <v>101</v>
      </c>
      <c r="V228" s="25">
        <v>26</v>
      </c>
      <c r="W228" s="142">
        <v>2</v>
      </c>
      <c r="X228" s="140">
        <v>5</v>
      </c>
      <c r="Y228" s="142">
        <v>3</v>
      </c>
      <c r="Z228" s="142">
        <v>2</v>
      </c>
      <c r="AA228" s="142">
        <v>0</v>
      </c>
      <c r="AC228" s="141"/>
      <c r="AD228" s="141"/>
      <c r="AE228" s="141"/>
      <c r="AF228" s="141"/>
      <c r="AG228" s="141"/>
      <c r="AH228" s="142">
        <v>1</v>
      </c>
      <c r="AI228" s="142">
        <v>3</v>
      </c>
      <c r="AJ228" s="142">
        <v>0</v>
      </c>
      <c r="AK228" s="142">
        <v>0</v>
      </c>
      <c r="AL228" s="142">
        <v>1</v>
      </c>
      <c r="AM228" s="140">
        <f t="shared" si="5"/>
        <v>5</v>
      </c>
      <c r="AN228" s="142" t="s">
        <v>826</v>
      </c>
      <c r="AP228" s="142">
        <v>0</v>
      </c>
    </row>
    <row r="229" spans="1:42" s="25" customFormat="1">
      <c r="B229" s="134" t="s">
        <v>433</v>
      </c>
      <c r="C229" s="188" t="s">
        <v>32</v>
      </c>
      <c r="D229" s="135">
        <v>19</v>
      </c>
      <c r="E229" s="188" t="s">
        <v>32</v>
      </c>
      <c r="F229" s="135">
        <v>25</v>
      </c>
      <c r="G229" s="136">
        <v>41</v>
      </c>
      <c r="H229" s="136">
        <v>94</v>
      </c>
      <c r="I229" s="136">
        <v>2011</v>
      </c>
      <c r="J229" s="190" t="s">
        <v>1309</v>
      </c>
      <c r="K229" s="149" t="s">
        <v>1310</v>
      </c>
      <c r="M229" s="25">
        <v>2016</v>
      </c>
      <c r="N229" s="25" t="s">
        <v>1311</v>
      </c>
      <c r="O229" s="25" t="s">
        <v>1312</v>
      </c>
      <c r="P229" s="25" t="s">
        <v>35</v>
      </c>
      <c r="R229" s="25" t="s">
        <v>30</v>
      </c>
      <c r="S229" s="25" t="s">
        <v>30</v>
      </c>
      <c r="T229" s="25" t="s">
        <v>448</v>
      </c>
      <c r="U229" s="25" t="s">
        <v>84</v>
      </c>
      <c r="V229" s="25">
        <v>58</v>
      </c>
      <c r="W229" s="25">
        <v>1</v>
      </c>
      <c r="X229" s="25">
        <v>3</v>
      </c>
      <c r="Y229" s="25">
        <v>0</v>
      </c>
      <c r="Z229" s="25">
        <v>3</v>
      </c>
      <c r="AA229" s="25">
        <v>2</v>
      </c>
      <c r="AC229" s="141">
        <v>0</v>
      </c>
      <c r="AD229" s="141">
        <v>0</v>
      </c>
      <c r="AE229" s="141">
        <v>0</v>
      </c>
      <c r="AF229" s="141">
        <v>0</v>
      </c>
      <c r="AG229" s="141">
        <v>0</v>
      </c>
      <c r="AH229" s="25">
        <v>0</v>
      </c>
      <c r="AI229" s="25">
        <v>0</v>
      </c>
      <c r="AJ229" s="25">
        <v>0</v>
      </c>
      <c r="AK229" s="25">
        <v>0</v>
      </c>
      <c r="AL229" s="25">
        <v>3</v>
      </c>
      <c r="AM229" s="25">
        <f t="shared" si="5"/>
        <v>3</v>
      </c>
      <c r="AN229" s="25">
        <v>0</v>
      </c>
      <c r="AO229" s="25">
        <v>0</v>
      </c>
      <c r="AP229" s="25">
        <v>0</v>
      </c>
    </row>
    <row r="230" spans="1:42" s="25" customFormat="1" ht="31">
      <c r="B230" s="134" t="s">
        <v>433</v>
      </c>
      <c r="C230" s="188" t="s">
        <v>32</v>
      </c>
      <c r="D230" s="135">
        <v>19</v>
      </c>
      <c r="E230" s="188" t="s">
        <v>32</v>
      </c>
      <c r="F230" s="135">
        <v>25</v>
      </c>
      <c r="G230" s="136">
        <v>41</v>
      </c>
      <c r="H230" s="136">
        <v>94</v>
      </c>
      <c r="I230" s="136">
        <v>2011</v>
      </c>
      <c r="J230" s="190" t="s">
        <v>1313</v>
      </c>
      <c r="K230" s="136" t="s">
        <v>1314</v>
      </c>
      <c r="L230" s="149" t="s">
        <v>1315</v>
      </c>
      <c r="M230" s="25">
        <v>2018</v>
      </c>
      <c r="O230" s="25" t="s">
        <v>1316</v>
      </c>
      <c r="P230" s="25" t="s">
        <v>35</v>
      </c>
      <c r="R230" s="25" t="s">
        <v>30</v>
      </c>
      <c r="S230" s="25" t="s">
        <v>30</v>
      </c>
      <c r="T230" s="25" t="s">
        <v>450</v>
      </c>
      <c r="U230" s="25" t="s">
        <v>84</v>
      </c>
      <c r="V230" s="25">
        <v>47</v>
      </c>
      <c r="W230" s="25">
        <v>4</v>
      </c>
      <c r="X230" s="25">
        <v>5</v>
      </c>
      <c r="Y230" s="25">
        <v>4</v>
      </c>
      <c r="Z230" s="25">
        <v>1</v>
      </c>
      <c r="AA230" s="25">
        <v>2</v>
      </c>
      <c r="AC230" s="141">
        <v>4</v>
      </c>
      <c r="AD230" s="141">
        <v>0</v>
      </c>
      <c r="AE230" s="141">
        <v>0</v>
      </c>
      <c r="AF230" s="141">
        <v>0</v>
      </c>
      <c r="AG230" s="141">
        <v>0</v>
      </c>
      <c r="AH230" s="25">
        <v>4</v>
      </c>
      <c r="AI230" s="25">
        <v>0</v>
      </c>
      <c r="AJ230" s="25">
        <v>1</v>
      </c>
      <c r="AK230" s="25">
        <v>0</v>
      </c>
      <c r="AL230" s="25">
        <v>0</v>
      </c>
      <c r="AM230" s="25">
        <f t="shared" si="5"/>
        <v>5</v>
      </c>
      <c r="AN230" s="25">
        <v>0</v>
      </c>
      <c r="AO230" s="25">
        <v>0</v>
      </c>
      <c r="AP230" s="25">
        <v>0</v>
      </c>
    </row>
    <row r="231" spans="1:42">
      <c r="B231" s="134" t="s">
        <v>433</v>
      </c>
      <c r="C231" s="188" t="s">
        <v>32</v>
      </c>
      <c r="D231" s="135">
        <v>19</v>
      </c>
      <c r="E231" s="188" t="s">
        <v>32</v>
      </c>
      <c r="F231" s="135">
        <v>25</v>
      </c>
      <c r="G231" s="136">
        <v>41</v>
      </c>
      <c r="H231" s="136">
        <v>94</v>
      </c>
      <c r="I231" s="136">
        <v>2011</v>
      </c>
      <c r="J231" s="145" t="s">
        <v>851</v>
      </c>
      <c r="K231" s="145" t="s">
        <v>1317</v>
      </c>
      <c r="L231" s="145" t="s">
        <v>1318</v>
      </c>
      <c r="M231" s="142">
        <v>2018</v>
      </c>
      <c r="N231" s="142">
        <v>5</v>
      </c>
      <c r="O231" s="142" t="s">
        <v>451</v>
      </c>
      <c r="P231" s="142" t="s">
        <v>28</v>
      </c>
      <c r="Q231" s="25"/>
      <c r="R231" s="142" t="s">
        <v>30</v>
      </c>
      <c r="S231" s="142" t="s">
        <v>30</v>
      </c>
      <c r="T231" s="142" t="s">
        <v>435</v>
      </c>
      <c r="U231" s="25" t="s">
        <v>101</v>
      </c>
      <c r="V231" s="25">
        <v>28</v>
      </c>
      <c r="W231" s="142">
        <v>2</v>
      </c>
      <c r="X231" s="140">
        <v>6</v>
      </c>
      <c r="Y231" s="142">
        <v>0</v>
      </c>
      <c r="Z231" s="142">
        <v>6</v>
      </c>
      <c r="AA231" s="142">
        <v>1</v>
      </c>
      <c r="AC231" s="141">
        <v>0</v>
      </c>
      <c r="AD231" s="141">
        <v>0</v>
      </c>
      <c r="AE231" s="141">
        <v>0</v>
      </c>
      <c r="AF231" s="141">
        <v>0</v>
      </c>
      <c r="AG231" s="141">
        <v>0</v>
      </c>
      <c r="AH231" s="142">
        <v>0</v>
      </c>
      <c r="AI231" s="142">
        <v>4</v>
      </c>
      <c r="AJ231" s="142">
        <v>0</v>
      </c>
      <c r="AK231" s="142">
        <v>1</v>
      </c>
      <c r="AL231" s="142">
        <v>1</v>
      </c>
      <c r="AM231" s="140">
        <f t="shared" si="5"/>
        <v>6</v>
      </c>
      <c r="AN231" s="143" t="s">
        <v>831</v>
      </c>
      <c r="AO231" s="143"/>
      <c r="AP231" s="143" t="s">
        <v>1009</v>
      </c>
    </row>
    <row r="232" spans="1:42">
      <c r="B232" s="134" t="s">
        <v>452</v>
      </c>
      <c r="C232" s="135" t="s">
        <v>85</v>
      </c>
      <c r="D232" s="135" t="s">
        <v>85</v>
      </c>
      <c r="E232" s="135" t="s">
        <v>85</v>
      </c>
      <c r="F232" s="135" t="s">
        <v>85</v>
      </c>
      <c r="G232" s="136">
        <v>29</v>
      </c>
      <c r="H232" s="136">
        <v>74</v>
      </c>
      <c r="I232" s="136">
        <v>2008</v>
      </c>
      <c r="J232" s="144"/>
      <c r="K232" s="144"/>
      <c r="L232" s="145" t="s">
        <v>933</v>
      </c>
      <c r="M232" s="142">
        <v>2017</v>
      </c>
      <c r="N232" s="142">
        <v>6</v>
      </c>
      <c r="O232" s="16" t="s">
        <v>1319</v>
      </c>
      <c r="P232" s="142" t="s">
        <v>28</v>
      </c>
      <c r="Q232" s="25"/>
      <c r="R232" s="142" t="s">
        <v>252</v>
      </c>
      <c r="S232" s="142" t="s">
        <v>252</v>
      </c>
      <c r="T232" s="142" t="s">
        <v>454</v>
      </c>
      <c r="U232" s="25" t="s">
        <v>874</v>
      </c>
      <c r="V232" s="25" t="s">
        <v>822</v>
      </c>
      <c r="W232" s="142">
        <v>0</v>
      </c>
      <c r="X232" s="140">
        <v>1</v>
      </c>
      <c r="Y232" s="142">
        <v>0</v>
      </c>
      <c r="Z232" s="142">
        <v>1</v>
      </c>
      <c r="AA232" s="142">
        <v>1</v>
      </c>
      <c r="AC232" s="141">
        <v>0</v>
      </c>
      <c r="AD232" s="141">
        <v>0</v>
      </c>
      <c r="AE232" s="141">
        <v>0</v>
      </c>
      <c r="AF232" s="141">
        <v>0</v>
      </c>
      <c r="AG232" s="141">
        <v>0</v>
      </c>
      <c r="AH232" s="142">
        <v>0</v>
      </c>
      <c r="AI232" s="142">
        <v>0</v>
      </c>
      <c r="AJ232" s="142">
        <v>0</v>
      </c>
      <c r="AK232" s="142">
        <v>0</v>
      </c>
      <c r="AL232" s="142">
        <v>1</v>
      </c>
      <c r="AM232" s="140">
        <f t="shared" si="5"/>
        <v>1</v>
      </c>
      <c r="AN232" s="143" t="s">
        <v>1320</v>
      </c>
      <c r="AO232" s="143"/>
      <c r="AP232" s="143" t="s">
        <v>1009</v>
      </c>
    </row>
    <row r="233" spans="1:42">
      <c r="B233" s="134" t="s">
        <v>452</v>
      </c>
      <c r="C233" s="135" t="s">
        <v>85</v>
      </c>
      <c r="D233" s="135" t="s">
        <v>85</v>
      </c>
      <c r="E233" s="135" t="s">
        <v>85</v>
      </c>
      <c r="F233" s="135" t="s">
        <v>85</v>
      </c>
      <c r="G233" s="136">
        <v>29</v>
      </c>
      <c r="H233" s="136">
        <v>74</v>
      </c>
      <c r="I233" s="136">
        <v>2008</v>
      </c>
      <c r="J233" s="144"/>
      <c r="K233" s="144"/>
      <c r="L233" s="145" t="s">
        <v>1321</v>
      </c>
      <c r="M233" s="142">
        <v>2018</v>
      </c>
      <c r="N233" s="142">
        <v>5</v>
      </c>
      <c r="O233" s="16" t="s">
        <v>455</v>
      </c>
      <c r="P233" s="142" t="s">
        <v>28</v>
      </c>
      <c r="Q233" s="25"/>
      <c r="R233" s="142" t="s">
        <v>30</v>
      </c>
      <c r="S233" s="142" t="s">
        <v>30</v>
      </c>
      <c r="T233" s="142" t="s">
        <v>456</v>
      </c>
      <c r="U233" s="25" t="s">
        <v>84</v>
      </c>
      <c r="V233" s="25">
        <v>118</v>
      </c>
      <c r="W233" s="142">
        <v>1</v>
      </c>
      <c r="X233" s="140">
        <v>6</v>
      </c>
      <c r="Y233" s="142">
        <v>0</v>
      </c>
      <c r="Z233" s="142">
        <v>6</v>
      </c>
      <c r="AA233" s="142">
        <v>4</v>
      </c>
      <c r="AC233" s="141">
        <v>0</v>
      </c>
      <c r="AD233" s="141">
        <v>0</v>
      </c>
      <c r="AE233" s="141">
        <v>0</v>
      </c>
      <c r="AF233" s="141">
        <v>0</v>
      </c>
      <c r="AG233" s="141">
        <v>0</v>
      </c>
      <c r="AH233" s="142">
        <v>0</v>
      </c>
      <c r="AI233" s="142">
        <v>1</v>
      </c>
      <c r="AJ233" s="142">
        <v>0</v>
      </c>
      <c r="AK233" s="142">
        <v>0</v>
      </c>
      <c r="AL233" s="142">
        <v>5</v>
      </c>
      <c r="AM233" s="140">
        <f t="shared" si="5"/>
        <v>6</v>
      </c>
      <c r="AN233" s="142" t="s">
        <v>826</v>
      </c>
      <c r="AP233" s="142">
        <v>0</v>
      </c>
    </row>
    <row r="234" spans="1:42">
      <c r="B234" s="134" t="s">
        <v>452</v>
      </c>
      <c r="C234" s="135" t="s">
        <v>85</v>
      </c>
      <c r="D234" s="135" t="s">
        <v>85</v>
      </c>
      <c r="E234" s="135" t="s">
        <v>85</v>
      </c>
      <c r="F234" s="135" t="s">
        <v>85</v>
      </c>
      <c r="G234" s="136">
        <v>29</v>
      </c>
      <c r="H234" s="136">
        <v>74</v>
      </c>
      <c r="I234" s="136">
        <v>2008</v>
      </c>
      <c r="J234" s="144"/>
      <c r="K234" s="144"/>
      <c r="L234" s="145" t="s">
        <v>1322</v>
      </c>
      <c r="M234" s="142">
        <v>2019</v>
      </c>
      <c r="N234" s="142">
        <v>4</v>
      </c>
      <c r="O234" s="16" t="s">
        <v>1323</v>
      </c>
      <c r="P234" s="142" t="s">
        <v>35</v>
      </c>
      <c r="Q234" s="25"/>
      <c r="R234" s="142" t="s">
        <v>30</v>
      </c>
      <c r="S234" s="142" t="s">
        <v>30</v>
      </c>
      <c r="T234" s="142" t="s">
        <v>457</v>
      </c>
      <c r="U234" s="25" t="s">
        <v>84</v>
      </c>
      <c r="V234" s="25">
        <v>93</v>
      </c>
      <c r="W234" s="142">
        <v>1</v>
      </c>
      <c r="X234" s="140">
        <v>4</v>
      </c>
      <c r="Y234" s="142">
        <v>0</v>
      </c>
      <c r="Z234" s="142">
        <v>4</v>
      </c>
      <c r="AA234" s="142">
        <v>2</v>
      </c>
      <c r="AC234" s="150">
        <v>0</v>
      </c>
      <c r="AD234" s="150">
        <v>0</v>
      </c>
      <c r="AE234" s="150">
        <v>0</v>
      </c>
      <c r="AF234" s="150">
        <v>0</v>
      </c>
      <c r="AG234" s="150">
        <v>0</v>
      </c>
      <c r="AH234" s="142">
        <v>0</v>
      </c>
      <c r="AI234" s="142">
        <v>0</v>
      </c>
      <c r="AJ234" s="142">
        <v>1</v>
      </c>
      <c r="AK234" s="142">
        <v>1</v>
      </c>
      <c r="AL234" s="142">
        <v>2</v>
      </c>
      <c r="AM234" s="140">
        <f t="shared" si="5"/>
        <v>4</v>
      </c>
      <c r="AN234" s="142" t="s">
        <v>826</v>
      </c>
      <c r="AP234" s="142">
        <v>0</v>
      </c>
    </row>
    <row r="235" spans="1:42">
      <c r="B235" s="134" t="s">
        <v>452</v>
      </c>
      <c r="C235" s="135" t="s">
        <v>85</v>
      </c>
      <c r="D235" s="135" t="s">
        <v>85</v>
      </c>
      <c r="E235" s="135" t="s">
        <v>85</v>
      </c>
      <c r="F235" s="135" t="s">
        <v>85</v>
      </c>
      <c r="G235" s="136">
        <v>29</v>
      </c>
      <c r="H235" s="136">
        <v>74</v>
      </c>
      <c r="I235" s="136">
        <v>2008</v>
      </c>
      <c r="J235" s="144"/>
      <c r="K235" s="144"/>
      <c r="L235" s="145" t="s">
        <v>1324</v>
      </c>
      <c r="M235" s="142">
        <v>2020</v>
      </c>
      <c r="N235" s="142">
        <v>3</v>
      </c>
      <c r="O235" s="16" t="s">
        <v>458</v>
      </c>
      <c r="P235" s="142" t="s">
        <v>28</v>
      </c>
      <c r="Q235" s="25"/>
      <c r="R235" s="142" t="s">
        <v>30</v>
      </c>
      <c r="S235" s="142" t="s">
        <v>30</v>
      </c>
      <c r="T235" s="142" t="s">
        <v>459</v>
      </c>
      <c r="U235" s="25" t="s">
        <v>84</v>
      </c>
      <c r="V235" s="25">
        <v>118</v>
      </c>
      <c r="W235" s="142">
        <v>1</v>
      </c>
      <c r="X235" s="140">
        <v>2</v>
      </c>
      <c r="Y235" s="142">
        <v>0</v>
      </c>
      <c r="Z235" s="142">
        <v>2</v>
      </c>
      <c r="AA235" s="142">
        <v>2</v>
      </c>
      <c r="AC235" s="150">
        <v>0</v>
      </c>
      <c r="AD235" s="150">
        <v>0</v>
      </c>
      <c r="AE235" s="150">
        <v>0</v>
      </c>
      <c r="AF235" s="150">
        <v>0</v>
      </c>
      <c r="AG235" s="150">
        <v>0</v>
      </c>
      <c r="AH235" s="142">
        <v>0</v>
      </c>
      <c r="AI235" s="142">
        <v>1</v>
      </c>
      <c r="AJ235" s="142">
        <v>0</v>
      </c>
      <c r="AK235" s="142">
        <v>0</v>
      </c>
      <c r="AL235" s="142">
        <v>1</v>
      </c>
      <c r="AM235" s="140">
        <f t="shared" si="5"/>
        <v>2</v>
      </c>
      <c r="AN235" s="142" t="s">
        <v>826</v>
      </c>
      <c r="AP235" s="142">
        <v>0</v>
      </c>
    </row>
    <row r="236" spans="1:42">
      <c r="A236" s="142">
        <v>1</v>
      </c>
      <c r="B236" s="134" t="s">
        <v>452</v>
      </c>
      <c r="C236" s="135" t="s">
        <v>85</v>
      </c>
      <c r="D236" s="135" t="s">
        <v>85</v>
      </c>
      <c r="E236" s="135" t="s">
        <v>85</v>
      </c>
      <c r="F236" s="135" t="s">
        <v>85</v>
      </c>
      <c r="G236" s="136">
        <v>29</v>
      </c>
      <c r="H236" s="136">
        <v>74</v>
      </c>
      <c r="I236" s="136">
        <v>2008</v>
      </c>
      <c r="J236" s="144"/>
      <c r="K236" s="144"/>
      <c r="L236" s="145" t="s">
        <v>1325</v>
      </c>
      <c r="M236" s="142">
        <v>2021</v>
      </c>
      <c r="N236" s="142">
        <v>2</v>
      </c>
      <c r="O236" s="16" t="s">
        <v>460</v>
      </c>
      <c r="P236" s="142" t="s">
        <v>35</v>
      </c>
      <c r="Q236" s="25"/>
      <c r="R236" s="142" t="s">
        <v>30</v>
      </c>
      <c r="S236" s="142" t="s">
        <v>30</v>
      </c>
      <c r="T236" s="142" t="s">
        <v>461</v>
      </c>
      <c r="U236" s="25" t="s">
        <v>84</v>
      </c>
      <c r="V236" s="25">
        <v>68</v>
      </c>
      <c r="W236" s="142">
        <v>10</v>
      </c>
      <c r="X236" s="140">
        <v>100</v>
      </c>
      <c r="Y236" s="142">
        <v>67</v>
      </c>
      <c r="Z236" s="142">
        <v>33</v>
      </c>
      <c r="AA236" s="142">
        <v>28</v>
      </c>
      <c r="AH236" s="142">
        <v>50</v>
      </c>
      <c r="AI236" s="142">
        <v>14</v>
      </c>
      <c r="AJ236" s="142">
        <v>7</v>
      </c>
      <c r="AK236" s="142">
        <v>8</v>
      </c>
      <c r="AL236" s="142">
        <v>21</v>
      </c>
      <c r="AM236" s="140">
        <f t="shared" si="5"/>
        <v>100</v>
      </c>
      <c r="AN236" s="142" t="s">
        <v>826</v>
      </c>
      <c r="AP236" s="142">
        <v>0</v>
      </c>
    </row>
    <row r="237" spans="1:42">
      <c r="A237" s="142">
        <v>1</v>
      </c>
      <c r="B237" s="134" t="s">
        <v>452</v>
      </c>
      <c r="C237" s="135" t="s">
        <v>85</v>
      </c>
      <c r="D237" s="135" t="s">
        <v>85</v>
      </c>
      <c r="E237" s="135" t="s">
        <v>85</v>
      </c>
      <c r="F237" s="135" t="s">
        <v>85</v>
      </c>
      <c r="G237" s="136">
        <v>29</v>
      </c>
      <c r="H237" s="136">
        <v>74</v>
      </c>
      <c r="I237" s="136">
        <v>2008</v>
      </c>
      <c r="J237" s="144"/>
      <c r="K237" s="144"/>
      <c r="L237" s="145" t="s">
        <v>1326</v>
      </c>
      <c r="M237" s="142">
        <v>2022</v>
      </c>
      <c r="N237" s="142">
        <v>1</v>
      </c>
      <c r="O237" s="16" t="s">
        <v>462</v>
      </c>
      <c r="P237" s="142" t="s">
        <v>28</v>
      </c>
      <c r="Q237" s="25"/>
      <c r="R237" s="142" t="s">
        <v>30</v>
      </c>
      <c r="S237" s="142" t="s">
        <v>30</v>
      </c>
      <c r="T237" s="142" t="s">
        <v>463</v>
      </c>
      <c r="U237" s="25" t="s">
        <v>874</v>
      </c>
      <c r="V237" s="25" t="s">
        <v>849</v>
      </c>
      <c r="W237" s="142">
        <v>1</v>
      </c>
      <c r="X237" s="140">
        <v>6</v>
      </c>
      <c r="Y237" s="142">
        <v>5</v>
      </c>
      <c r="Z237" s="142">
        <v>1</v>
      </c>
      <c r="AA237" s="142">
        <v>0</v>
      </c>
      <c r="AH237" s="142">
        <v>0</v>
      </c>
      <c r="AI237" s="142">
        <v>5</v>
      </c>
      <c r="AJ237" s="142">
        <v>0</v>
      </c>
      <c r="AK237" s="142">
        <v>0</v>
      </c>
      <c r="AL237" s="142">
        <v>1</v>
      </c>
      <c r="AM237" s="140">
        <f t="shared" si="5"/>
        <v>6</v>
      </c>
      <c r="AN237" s="142" t="s">
        <v>826</v>
      </c>
      <c r="AP237" s="142">
        <v>0</v>
      </c>
    </row>
    <row r="238" spans="1:42">
      <c r="A238" s="142">
        <v>1</v>
      </c>
      <c r="B238" s="134" t="s">
        <v>464</v>
      </c>
      <c r="C238" s="135" t="s">
        <v>85</v>
      </c>
      <c r="D238" s="135" t="s">
        <v>85</v>
      </c>
      <c r="E238" s="135" t="s">
        <v>33</v>
      </c>
      <c r="F238" s="135" t="s">
        <v>33</v>
      </c>
      <c r="G238" s="136">
        <v>29</v>
      </c>
      <c r="H238" s="136">
        <v>74</v>
      </c>
      <c r="I238" s="136">
        <v>2019</v>
      </c>
      <c r="J238" s="144"/>
      <c r="K238" s="144"/>
      <c r="L238" s="145" t="s">
        <v>1327</v>
      </c>
      <c r="M238" s="142">
        <v>2021</v>
      </c>
      <c r="N238" s="142">
        <v>2</v>
      </c>
      <c r="O238" s="191" t="s">
        <v>465</v>
      </c>
      <c r="P238" s="142" t="s">
        <v>35</v>
      </c>
      <c r="Q238" s="25"/>
      <c r="R238" s="142" t="s">
        <v>225</v>
      </c>
      <c r="S238" s="142" t="s">
        <v>225</v>
      </c>
      <c r="T238" s="142" t="s">
        <v>1328</v>
      </c>
      <c r="U238" s="25" t="s">
        <v>84</v>
      </c>
      <c r="V238" s="25">
        <v>63</v>
      </c>
      <c r="W238" s="142">
        <v>6</v>
      </c>
      <c r="X238" s="140">
        <v>13</v>
      </c>
      <c r="Y238" s="142">
        <v>8</v>
      </c>
      <c r="Z238" s="142">
        <v>5</v>
      </c>
      <c r="AA238" s="142">
        <v>0</v>
      </c>
      <c r="AH238" s="142">
        <v>0</v>
      </c>
      <c r="AI238" s="142">
        <v>13</v>
      </c>
      <c r="AJ238" s="142">
        <v>0</v>
      </c>
      <c r="AK238" s="142">
        <v>0</v>
      </c>
      <c r="AL238" s="142">
        <v>0</v>
      </c>
      <c r="AM238" s="140">
        <f t="shared" si="5"/>
        <v>13</v>
      </c>
      <c r="AN238" s="142" t="s">
        <v>837</v>
      </c>
      <c r="AP238" s="142">
        <v>1</v>
      </c>
    </row>
    <row r="239" spans="1:42">
      <c r="B239" s="134" t="s">
        <v>464</v>
      </c>
      <c r="C239" s="135" t="s">
        <v>85</v>
      </c>
      <c r="D239" s="135" t="s">
        <v>85</v>
      </c>
      <c r="E239" s="135" t="s">
        <v>33</v>
      </c>
      <c r="F239" s="135" t="s">
        <v>33</v>
      </c>
      <c r="G239" s="136">
        <v>29</v>
      </c>
      <c r="H239" s="136">
        <v>74</v>
      </c>
      <c r="I239" s="136">
        <v>2019</v>
      </c>
      <c r="J239" s="144"/>
      <c r="K239" s="144"/>
      <c r="L239" s="145" t="s">
        <v>1329</v>
      </c>
      <c r="M239" s="142">
        <v>2022</v>
      </c>
      <c r="N239" s="142">
        <v>2</v>
      </c>
      <c r="O239" s="142" t="s">
        <v>1330</v>
      </c>
      <c r="P239" s="142" t="s">
        <v>28</v>
      </c>
      <c r="Q239" s="25"/>
      <c r="R239" s="142" t="s">
        <v>30</v>
      </c>
      <c r="S239" s="142" t="s">
        <v>30</v>
      </c>
      <c r="T239" s="142" t="s">
        <v>215</v>
      </c>
      <c r="U239" s="25" t="s">
        <v>37</v>
      </c>
      <c r="V239" s="25">
        <v>32</v>
      </c>
      <c r="W239" s="142">
        <v>5</v>
      </c>
      <c r="X239" s="140">
        <v>6</v>
      </c>
      <c r="Y239" s="142">
        <v>6</v>
      </c>
      <c r="Z239" s="142">
        <v>0</v>
      </c>
      <c r="AA239" s="142">
        <v>1</v>
      </c>
      <c r="AC239" s="150">
        <v>0</v>
      </c>
      <c r="AD239" s="150">
        <v>6</v>
      </c>
      <c r="AE239" s="150">
        <v>0</v>
      </c>
      <c r="AF239" s="150">
        <v>0</v>
      </c>
      <c r="AG239" s="150">
        <v>0</v>
      </c>
      <c r="AH239" s="142">
        <v>0</v>
      </c>
      <c r="AI239" s="142">
        <v>6</v>
      </c>
      <c r="AJ239" s="142">
        <v>0</v>
      </c>
      <c r="AK239" s="142">
        <v>0</v>
      </c>
      <c r="AL239" s="142">
        <v>0</v>
      </c>
      <c r="AM239" s="140">
        <f t="shared" si="5"/>
        <v>6</v>
      </c>
      <c r="AN239" s="142" t="s">
        <v>826</v>
      </c>
      <c r="AP239" s="142">
        <v>0</v>
      </c>
    </row>
    <row r="240" spans="1:42" s="25" customFormat="1" ht="46.5">
      <c r="B240" s="134" t="s">
        <v>467</v>
      </c>
      <c r="C240" s="135" t="s">
        <v>33</v>
      </c>
      <c r="D240" s="135" t="s">
        <v>33</v>
      </c>
      <c r="E240" s="135" t="s">
        <v>33</v>
      </c>
      <c r="F240" s="135" t="s">
        <v>33</v>
      </c>
      <c r="G240" s="136">
        <v>71</v>
      </c>
      <c r="H240" s="136">
        <v>74</v>
      </c>
      <c r="I240" s="136">
        <v>2011</v>
      </c>
      <c r="J240" s="136"/>
      <c r="K240" s="136" t="s">
        <v>1331</v>
      </c>
      <c r="L240" s="149" t="s">
        <v>1332</v>
      </c>
      <c r="M240" s="25">
        <v>2015</v>
      </c>
      <c r="N240" s="25">
        <v>6</v>
      </c>
      <c r="O240" s="25" t="s">
        <v>1333</v>
      </c>
      <c r="P240" s="25" t="s">
        <v>35</v>
      </c>
      <c r="R240" s="25" t="s">
        <v>30</v>
      </c>
      <c r="S240" s="25" t="s">
        <v>30</v>
      </c>
      <c r="T240" s="25" t="s">
        <v>271</v>
      </c>
      <c r="U240" s="25" t="s">
        <v>218</v>
      </c>
      <c r="V240" s="25">
        <v>10</v>
      </c>
      <c r="W240" s="25">
        <v>10</v>
      </c>
      <c r="X240" s="25">
        <v>49</v>
      </c>
      <c r="Y240" s="25">
        <v>3</v>
      </c>
      <c r="Z240" s="25">
        <v>46</v>
      </c>
      <c r="AA240" s="25">
        <v>25</v>
      </c>
      <c r="AC240" s="141">
        <v>0</v>
      </c>
      <c r="AD240" s="141">
        <v>1</v>
      </c>
      <c r="AE240" s="141">
        <v>1</v>
      </c>
      <c r="AF240" s="141">
        <v>0</v>
      </c>
      <c r="AG240" s="141">
        <v>1</v>
      </c>
      <c r="AH240" s="25">
        <v>1</v>
      </c>
      <c r="AI240" s="25">
        <v>34</v>
      </c>
      <c r="AJ240" s="25">
        <v>1</v>
      </c>
      <c r="AK240" s="25">
        <v>3</v>
      </c>
      <c r="AL240" s="25">
        <v>10</v>
      </c>
      <c r="AM240" s="25">
        <f t="shared" si="5"/>
        <v>49</v>
      </c>
      <c r="AN240" s="25" t="s">
        <v>831</v>
      </c>
      <c r="AP240" s="25" t="s">
        <v>1009</v>
      </c>
    </row>
    <row r="241" spans="2:42">
      <c r="B241" s="134" t="s">
        <v>467</v>
      </c>
      <c r="C241" s="135" t="s">
        <v>33</v>
      </c>
      <c r="D241" s="135" t="s">
        <v>33</v>
      </c>
      <c r="E241" s="135" t="s">
        <v>33</v>
      </c>
      <c r="F241" s="135" t="s">
        <v>33</v>
      </c>
      <c r="G241" s="136">
        <v>71</v>
      </c>
      <c r="H241" s="136">
        <v>74</v>
      </c>
      <c r="I241" s="136">
        <v>2011</v>
      </c>
      <c r="J241" s="144"/>
      <c r="K241" s="145" t="s">
        <v>1334</v>
      </c>
      <c r="L241" s="145" t="s">
        <v>1335</v>
      </c>
      <c r="M241" s="142">
        <v>2016</v>
      </c>
      <c r="N241" s="142">
        <v>5</v>
      </c>
      <c r="O241" s="142" t="s">
        <v>470</v>
      </c>
      <c r="P241" s="142" t="s">
        <v>35</v>
      </c>
      <c r="Q241" s="25"/>
      <c r="R241" s="142" t="s">
        <v>39</v>
      </c>
      <c r="S241" s="142" t="s">
        <v>1336</v>
      </c>
      <c r="T241" s="142" t="s">
        <v>471</v>
      </c>
      <c r="U241" s="25" t="s">
        <v>37</v>
      </c>
      <c r="V241" s="25">
        <v>23</v>
      </c>
      <c r="W241" s="142">
        <v>3</v>
      </c>
      <c r="X241" s="140">
        <v>8</v>
      </c>
      <c r="Y241" s="142">
        <v>0</v>
      </c>
      <c r="Z241" s="142">
        <v>8</v>
      </c>
      <c r="AA241" s="142">
        <v>2</v>
      </c>
      <c r="AC241" s="150">
        <v>0</v>
      </c>
      <c r="AD241" s="150">
        <v>0</v>
      </c>
      <c r="AE241" s="150">
        <v>0</v>
      </c>
      <c r="AF241" s="150">
        <v>0</v>
      </c>
      <c r="AG241" s="150">
        <v>0</v>
      </c>
      <c r="AH241" s="142">
        <v>1</v>
      </c>
      <c r="AI241" s="142">
        <v>4</v>
      </c>
      <c r="AJ241" s="142">
        <v>0</v>
      </c>
      <c r="AK241" s="142">
        <v>0</v>
      </c>
      <c r="AL241" s="142">
        <v>3</v>
      </c>
      <c r="AM241" s="140">
        <f t="shared" si="5"/>
        <v>8</v>
      </c>
      <c r="AN241" s="143" t="s">
        <v>831</v>
      </c>
      <c r="AO241" s="143"/>
      <c r="AP241" s="143" t="s">
        <v>1009</v>
      </c>
    </row>
    <row r="242" spans="2:42">
      <c r="B242" s="134" t="s">
        <v>467</v>
      </c>
      <c r="C242" s="135" t="s">
        <v>33</v>
      </c>
      <c r="D242" s="135" t="s">
        <v>33</v>
      </c>
      <c r="E242" s="135" t="s">
        <v>33</v>
      </c>
      <c r="F242" s="135" t="s">
        <v>33</v>
      </c>
      <c r="G242" s="136">
        <v>71</v>
      </c>
      <c r="H242" s="136">
        <v>74</v>
      </c>
      <c r="I242" s="136">
        <v>2011</v>
      </c>
      <c r="J242" s="144"/>
      <c r="K242" s="151"/>
      <c r="L242" s="145" t="s">
        <v>1337</v>
      </c>
      <c r="M242" s="142">
        <v>2017</v>
      </c>
      <c r="N242" s="143" t="s">
        <v>1338</v>
      </c>
      <c r="O242" s="142" t="s">
        <v>472</v>
      </c>
      <c r="P242" s="142" t="s">
        <v>35</v>
      </c>
      <c r="Q242" s="25"/>
      <c r="R242" s="142" t="s">
        <v>39</v>
      </c>
      <c r="S242" s="142" t="s">
        <v>900</v>
      </c>
      <c r="T242" s="142" t="s">
        <v>473</v>
      </c>
      <c r="U242" s="25" t="s">
        <v>84</v>
      </c>
      <c r="V242" s="25">
        <v>104</v>
      </c>
      <c r="W242" s="142">
        <v>2</v>
      </c>
      <c r="X242" s="140">
        <v>11</v>
      </c>
      <c r="Y242" s="142">
        <v>0</v>
      </c>
      <c r="Z242" s="142">
        <v>11</v>
      </c>
      <c r="AA242" s="142">
        <v>3</v>
      </c>
      <c r="AC242" s="150">
        <v>0</v>
      </c>
      <c r="AD242" s="150">
        <v>0</v>
      </c>
      <c r="AE242" s="150">
        <v>0</v>
      </c>
      <c r="AF242" s="150">
        <v>0</v>
      </c>
      <c r="AG242" s="150">
        <v>0</v>
      </c>
      <c r="AH242" s="142">
        <v>1</v>
      </c>
      <c r="AI242" s="142">
        <v>7</v>
      </c>
      <c r="AJ242" s="142">
        <v>1</v>
      </c>
      <c r="AK242" s="142">
        <v>0</v>
      </c>
      <c r="AL242" s="142">
        <v>2</v>
      </c>
      <c r="AM242" s="140">
        <f t="shared" si="5"/>
        <v>11</v>
      </c>
      <c r="AN242" s="142" t="s">
        <v>826</v>
      </c>
      <c r="AO242" s="142">
        <v>0</v>
      </c>
      <c r="AP242" s="142">
        <v>0</v>
      </c>
    </row>
    <row r="243" spans="2:42">
      <c r="B243" s="134" t="s">
        <v>467</v>
      </c>
      <c r="C243" s="135" t="s">
        <v>33</v>
      </c>
      <c r="D243" s="135" t="s">
        <v>33</v>
      </c>
      <c r="E243" s="135" t="s">
        <v>33</v>
      </c>
      <c r="F243" s="135" t="s">
        <v>33</v>
      </c>
      <c r="G243" s="136">
        <v>71</v>
      </c>
      <c r="H243" s="136">
        <v>74</v>
      </c>
      <c r="I243" s="136">
        <v>2011</v>
      </c>
      <c r="J243" s="144"/>
      <c r="K243" s="144"/>
      <c r="L243" s="145" t="s">
        <v>1339</v>
      </c>
      <c r="M243" s="142">
        <v>2018</v>
      </c>
      <c r="N243" s="143" t="s">
        <v>1340</v>
      </c>
      <c r="O243" s="142" t="s">
        <v>474</v>
      </c>
      <c r="P243" s="142" t="s">
        <v>35</v>
      </c>
      <c r="Q243" s="25"/>
      <c r="R243" s="142" t="s">
        <v>39</v>
      </c>
      <c r="S243" s="142" t="s">
        <v>994</v>
      </c>
      <c r="T243" s="142" t="s">
        <v>475</v>
      </c>
      <c r="U243" s="25" t="s">
        <v>84</v>
      </c>
      <c r="V243" s="25">
        <v>101</v>
      </c>
      <c r="W243" s="142">
        <v>4</v>
      </c>
      <c r="X243" s="140">
        <v>25</v>
      </c>
      <c r="Y243" s="142">
        <v>0</v>
      </c>
      <c r="Z243" s="142">
        <v>25</v>
      </c>
      <c r="AA243" s="142">
        <v>13</v>
      </c>
      <c r="AC243" s="150">
        <v>0</v>
      </c>
      <c r="AD243" s="150">
        <v>0</v>
      </c>
      <c r="AE243" s="150">
        <v>0</v>
      </c>
      <c r="AF243" s="150">
        <v>0</v>
      </c>
      <c r="AG243" s="150">
        <v>0</v>
      </c>
      <c r="AH243" s="142">
        <v>0</v>
      </c>
      <c r="AI243" s="142">
        <v>11</v>
      </c>
      <c r="AJ243" s="142">
        <v>0</v>
      </c>
      <c r="AK243" s="142">
        <v>2</v>
      </c>
      <c r="AL243" s="142">
        <v>12</v>
      </c>
      <c r="AM243" s="140">
        <f t="shared" si="5"/>
        <v>25</v>
      </c>
      <c r="AN243" s="142" t="s">
        <v>826</v>
      </c>
      <c r="AO243" s="142">
        <v>0</v>
      </c>
      <c r="AP243" s="142">
        <v>0</v>
      </c>
    </row>
    <row r="244" spans="2:42" ht="46.5">
      <c r="B244" s="134" t="s">
        <v>467</v>
      </c>
      <c r="C244" s="135" t="s">
        <v>33</v>
      </c>
      <c r="D244" s="135" t="s">
        <v>33</v>
      </c>
      <c r="E244" s="135" t="s">
        <v>33</v>
      </c>
      <c r="F244" s="135" t="s">
        <v>33</v>
      </c>
      <c r="G244" s="136">
        <v>71</v>
      </c>
      <c r="H244" s="136">
        <v>74</v>
      </c>
      <c r="I244" s="136">
        <v>2011</v>
      </c>
      <c r="J244" s="144"/>
      <c r="K244" s="144" t="s">
        <v>1341</v>
      </c>
      <c r="L244" s="145" t="s">
        <v>1342</v>
      </c>
      <c r="M244" s="142">
        <v>2019</v>
      </c>
      <c r="N244" s="143" t="s">
        <v>1214</v>
      </c>
      <c r="O244" s="142" t="s">
        <v>1343</v>
      </c>
      <c r="P244" s="142" t="s">
        <v>35</v>
      </c>
      <c r="Q244" s="25"/>
      <c r="R244" s="142" t="s">
        <v>39</v>
      </c>
      <c r="S244" s="142" t="s">
        <v>39</v>
      </c>
      <c r="T244" s="142" t="s">
        <v>343</v>
      </c>
      <c r="U244" s="25" t="s">
        <v>218</v>
      </c>
      <c r="V244" s="25">
        <v>13</v>
      </c>
      <c r="W244" s="142">
        <v>8</v>
      </c>
      <c r="X244" s="140">
        <v>43</v>
      </c>
      <c r="Y244" s="142">
        <v>8</v>
      </c>
      <c r="Z244" s="142">
        <v>35</v>
      </c>
      <c r="AA244" s="142">
        <v>17</v>
      </c>
      <c r="AC244" s="150">
        <v>1</v>
      </c>
      <c r="AD244" s="150">
        <v>7</v>
      </c>
      <c r="AE244" s="150">
        <v>0</v>
      </c>
      <c r="AF244" s="150">
        <v>0</v>
      </c>
      <c r="AG244" s="150">
        <v>0</v>
      </c>
      <c r="AH244" s="142">
        <v>2</v>
      </c>
      <c r="AI244" s="142">
        <v>32</v>
      </c>
      <c r="AJ244" s="142">
        <v>0</v>
      </c>
      <c r="AK244" s="142">
        <v>1</v>
      </c>
      <c r="AL244" s="142">
        <v>8</v>
      </c>
      <c r="AM244" s="140">
        <f t="shared" si="5"/>
        <v>43</v>
      </c>
      <c r="AN244" s="142" t="s">
        <v>826</v>
      </c>
      <c r="AP244" s="142">
        <v>0</v>
      </c>
    </row>
    <row r="245" spans="2:42">
      <c r="B245" s="134" t="s">
        <v>467</v>
      </c>
      <c r="C245" s="135" t="s">
        <v>33</v>
      </c>
      <c r="D245" s="135" t="s">
        <v>33</v>
      </c>
      <c r="E245" s="135" t="s">
        <v>33</v>
      </c>
      <c r="F245" s="135" t="s">
        <v>33</v>
      </c>
      <c r="G245" s="136">
        <v>71</v>
      </c>
      <c r="H245" s="136">
        <v>74</v>
      </c>
      <c r="I245" s="136">
        <v>2011</v>
      </c>
      <c r="J245" s="144"/>
      <c r="K245" s="144"/>
      <c r="L245" s="145" t="s">
        <v>1344</v>
      </c>
      <c r="M245" s="142">
        <v>2020</v>
      </c>
      <c r="N245" s="143" t="s">
        <v>1345</v>
      </c>
      <c r="O245" s="142" t="s">
        <v>477</v>
      </c>
      <c r="P245" s="142" t="s">
        <v>35</v>
      </c>
      <c r="Q245" s="25"/>
      <c r="R245" s="142" t="s">
        <v>30</v>
      </c>
      <c r="S245" s="142" t="s">
        <v>30</v>
      </c>
      <c r="T245" s="142" t="s">
        <v>475</v>
      </c>
      <c r="U245" s="25" t="s">
        <v>84</v>
      </c>
      <c r="V245" s="25">
        <v>101</v>
      </c>
      <c r="W245" s="142">
        <v>1</v>
      </c>
      <c r="X245" s="140">
        <v>6</v>
      </c>
      <c r="Y245" s="142">
        <v>0</v>
      </c>
      <c r="Z245" s="142">
        <v>6</v>
      </c>
      <c r="AA245" s="142">
        <v>5</v>
      </c>
      <c r="AC245" s="150">
        <v>0</v>
      </c>
      <c r="AD245" s="150">
        <v>0</v>
      </c>
      <c r="AE245" s="150">
        <v>0</v>
      </c>
      <c r="AF245" s="150">
        <v>0</v>
      </c>
      <c r="AG245" s="150">
        <v>0</v>
      </c>
      <c r="AH245" s="142">
        <v>0</v>
      </c>
      <c r="AI245" s="142">
        <v>2</v>
      </c>
      <c r="AJ245" s="142">
        <v>0</v>
      </c>
      <c r="AK245" s="142">
        <v>0</v>
      </c>
      <c r="AL245" s="142">
        <v>4</v>
      </c>
      <c r="AM245" s="140">
        <f t="shared" si="5"/>
        <v>6</v>
      </c>
      <c r="AN245" s="142" t="s">
        <v>826</v>
      </c>
      <c r="AP245" s="142">
        <v>0</v>
      </c>
    </row>
    <row r="246" spans="2:42" ht="46.5">
      <c r="B246" s="134" t="s">
        <v>467</v>
      </c>
      <c r="C246" s="135" t="s">
        <v>33</v>
      </c>
      <c r="D246" s="135" t="s">
        <v>33</v>
      </c>
      <c r="E246" s="135" t="s">
        <v>33</v>
      </c>
      <c r="F246" s="135" t="s">
        <v>33</v>
      </c>
      <c r="G246" s="136">
        <v>71</v>
      </c>
      <c r="H246" s="136">
        <v>74</v>
      </c>
      <c r="I246" s="136">
        <v>2011</v>
      </c>
      <c r="J246" s="144"/>
      <c r="K246" s="151" t="s">
        <v>1346</v>
      </c>
      <c r="L246" s="145" t="s">
        <v>1347</v>
      </c>
      <c r="M246" s="142">
        <v>2021</v>
      </c>
      <c r="N246" s="142">
        <v>2</v>
      </c>
      <c r="O246" s="142" t="s">
        <v>478</v>
      </c>
      <c r="P246" s="142" t="s">
        <v>35</v>
      </c>
      <c r="Q246" s="25"/>
      <c r="R246" s="142" t="s">
        <v>30</v>
      </c>
      <c r="S246" s="142" t="s">
        <v>30</v>
      </c>
      <c r="T246" s="142" t="s">
        <v>1348</v>
      </c>
      <c r="U246" s="25" t="s">
        <v>101</v>
      </c>
      <c r="V246" s="25">
        <v>30</v>
      </c>
      <c r="W246" s="142">
        <v>4</v>
      </c>
      <c r="X246" s="140">
        <v>5</v>
      </c>
      <c r="Y246" s="142">
        <v>4</v>
      </c>
      <c r="Z246" s="142">
        <v>1</v>
      </c>
      <c r="AA246" s="142">
        <v>0</v>
      </c>
      <c r="AC246" s="150">
        <v>0</v>
      </c>
      <c r="AD246" s="150">
        <v>3</v>
      </c>
      <c r="AE246" s="150">
        <v>0</v>
      </c>
      <c r="AF246" s="150">
        <v>1</v>
      </c>
      <c r="AG246" s="150">
        <v>0</v>
      </c>
      <c r="AH246" s="142">
        <v>0</v>
      </c>
      <c r="AI246" s="142">
        <v>3</v>
      </c>
      <c r="AJ246" s="142">
        <v>0</v>
      </c>
      <c r="AK246" s="142">
        <v>2</v>
      </c>
      <c r="AL246" s="142">
        <v>0</v>
      </c>
      <c r="AM246" s="140">
        <f t="shared" si="5"/>
        <v>5</v>
      </c>
      <c r="AN246" s="143" t="s">
        <v>831</v>
      </c>
      <c r="AO246" s="143"/>
      <c r="AP246" s="143" t="s">
        <v>831</v>
      </c>
    </row>
    <row r="247" spans="2:42">
      <c r="B247" s="134" t="s">
        <v>467</v>
      </c>
      <c r="C247" s="135" t="s">
        <v>33</v>
      </c>
      <c r="D247" s="135" t="s">
        <v>33</v>
      </c>
      <c r="E247" s="135" t="s">
        <v>33</v>
      </c>
      <c r="F247" s="135" t="s">
        <v>33</v>
      </c>
      <c r="G247" s="136">
        <v>71</v>
      </c>
      <c r="H247" s="136">
        <v>74</v>
      </c>
      <c r="I247" s="136">
        <v>2011</v>
      </c>
      <c r="J247" s="144"/>
      <c r="K247" s="144"/>
      <c r="L247" s="145" t="s">
        <v>1349</v>
      </c>
      <c r="M247" s="142">
        <v>2022</v>
      </c>
      <c r="N247" s="142">
        <v>1</v>
      </c>
      <c r="O247" s="142" t="s">
        <v>1350</v>
      </c>
      <c r="P247" s="142" t="s">
        <v>28</v>
      </c>
      <c r="Q247" s="25"/>
      <c r="R247" s="142" t="s">
        <v>30</v>
      </c>
      <c r="S247" s="142" t="s">
        <v>30</v>
      </c>
      <c r="T247" s="142" t="s">
        <v>480</v>
      </c>
      <c r="U247" s="25" t="s">
        <v>84</v>
      </c>
      <c r="V247" s="25">
        <v>58</v>
      </c>
      <c r="W247" s="142">
        <v>2</v>
      </c>
      <c r="X247" s="140">
        <v>5</v>
      </c>
      <c r="Y247" s="142">
        <v>4</v>
      </c>
      <c r="Z247" s="142">
        <v>1</v>
      </c>
      <c r="AA247" s="142">
        <v>0</v>
      </c>
      <c r="AC247" s="150">
        <v>1</v>
      </c>
      <c r="AD247" s="150">
        <v>2</v>
      </c>
      <c r="AE247" s="150">
        <v>0</v>
      </c>
      <c r="AF247" s="150">
        <v>0</v>
      </c>
      <c r="AG247" s="150">
        <v>1</v>
      </c>
      <c r="AH247" s="142">
        <v>1</v>
      </c>
      <c r="AI247" s="142">
        <v>2</v>
      </c>
      <c r="AJ247" s="142">
        <v>0</v>
      </c>
      <c r="AK247" s="142">
        <v>1</v>
      </c>
      <c r="AL247" s="142">
        <v>1</v>
      </c>
      <c r="AM247" s="140">
        <f t="shared" si="5"/>
        <v>5</v>
      </c>
      <c r="AN247" s="142" t="s">
        <v>826</v>
      </c>
      <c r="AP247" s="142">
        <v>0</v>
      </c>
    </row>
    <row r="248" spans="2:42">
      <c r="B248" s="131" t="s">
        <v>481</v>
      </c>
      <c r="C248" s="135" t="s">
        <v>32</v>
      </c>
      <c r="D248" s="135">
        <v>32</v>
      </c>
      <c r="E248" s="135" t="s">
        <v>32</v>
      </c>
      <c r="F248" s="135">
        <v>27</v>
      </c>
      <c r="G248" s="176">
        <v>53</v>
      </c>
      <c r="H248" s="176">
        <v>74</v>
      </c>
      <c r="I248" s="176">
        <v>2011</v>
      </c>
      <c r="L248" s="145" t="s">
        <v>933</v>
      </c>
      <c r="M248" s="142">
        <v>2017</v>
      </c>
      <c r="N248" s="142">
        <v>6</v>
      </c>
      <c r="O248" s="142" t="s">
        <v>1351</v>
      </c>
      <c r="P248" s="142" t="s">
        <v>28</v>
      </c>
      <c r="Q248" s="25"/>
      <c r="R248" s="142" t="s">
        <v>30</v>
      </c>
      <c r="S248" s="142" t="s">
        <v>30</v>
      </c>
      <c r="T248" s="142" t="s">
        <v>1352</v>
      </c>
      <c r="U248" s="25" t="s">
        <v>218</v>
      </c>
      <c r="V248" s="25">
        <v>13</v>
      </c>
      <c r="W248" s="142">
        <v>2</v>
      </c>
      <c r="X248" s="140">
        <v>5</v>
      </c>
      <c r="Y248" s="142">
        <v>2</v>
      </c>
      <c r="Z248" s="142">
        <v>3</v>
      </c>
      <c r="AA248" s="142">
        <v>1</v>
      </c>
      <c r="AC248" s="150">
        <v>0</v>
      </c>
      <c r="AD248" s="150">
        <v>3</v>
      </c>
      <c r="AE248" s="150">
        <v>0</v>
      </c>
      <c r="AF248" s="150">
        <v>0</v>
      </c>
      <c r="AG248" s="150">
        <v>0</v>
      </c>
      <c r="AH248" s="142">
        <v>0</v>
      </c>
      <c r="AI248" s="142">
        <v>3</v>
      </c>
      <c r="AJ248" s="142">
        <v>0</v>
      </c>
      <c r="AK248" s="142">
        <v>0</v>
      </c>
      <c r="AL248" s="142">
        <v>2</v>
      </c>
      <c r="AM248" s="140">
        <f t="shared" si="5"/>
        <v>5</v>
      </c>
      <c r="AN248" s="142" t="s">
        <v>826</v>
      </c>
      <c r="AP248" s="142">
        <v>0</v>
      </c>
    </row>
    <row r="249" spans="2:42">
      <c r="B249" s="131" t="s">
        <v>481</v>
      </c>
      <c r="C249" s="135" t="s">
        <v>32</v>
      </c>
      <c r="D249" s="135">
        <v>32</v>
      </c>
      <c r="E249" s="135" t="s">
        <v>32</v>
      </c>
      <c r="F249" s="135">
        <v>27</v>
      </c>
      <c r="G249" s="176">
        <v>53</v>
      </c>
      <c r="H249" s="176">
        <v>74</v>
      </c>
      <c r="I249" s="176">
        <v>2011</v>
      </c>
      <c r="K249" s="143" t="s">
        <v>1353</v>
      </c>
      <c r="L249" s="145" t="s">
        <v>1354</v>
      </c>
      <c r="M249" s="142">
        <v>2017</v>
      </c>
      <c r="N249" s="142">
        <v>6</v>
      </c>
      <c r="O249" s="142" t="s">
        <v>1355</v>
      </c>
      <c r="P249" s="142" t="s">
        <v>28</v>
      </c>
      <c r="Q249" s="25"/>
      <c r="R249" s="142" t="s">
        <v>252</v>
      </c>
      <c r="S249" s="142" t="s">
        <v>252</v>
      </c>
      <c r="T249" s="142" t="s">
        <v>483</v>
      </c>
      <c r="U249" s="25" t="s">
        <v>84</v>
      </c>
      <c r="V249" s="25">
        <v>118</v>
      </c>
      <c r="W249" s="142">
        <v>1</v>
      </c>
      <c r="X249" s="140">
        <v>1</v>
      </c>
      <c r="Y249" s="142">
        <v>0</v>
      </c>
      <c r="Z249" s="142">
        <v>1</v>
      </c>
      <c r="AA249" s="142">
        <v>0</v>
      </c>
      <c r="AC249" s="150">
        <v>0</v>
      </c>
      <c r="AD249" s="150">
        <v>0</v>
      </c>
      <c r="AE249" s="150">
        <v>0</v>
      </c>
      <c r="AF249" s="150">
        <v>0</v>
      </c>
      <c r="AG249" s="150">
        <v>0</v>
      </c>
      <c r="AH249" s="142">
        <v>0</v>
      </c>
      <c r="AI249" s="142">
        <v>0</v>
      </c>
      <c r="AJ249" s="142">
        <v>0</v>
      </c>
      <c r="AK249" s="142">
        <v>0</v>
      </c>
      <c r="AL249" s="142">
        <v>1</v>
      </c>
      <c r="AM249" s="140">
        <f t="shared" si="5"/>
        <v>1</v>
      </c>
      <c r="AN249" s="143" t="s">
        <v>831</v>
      </c>
      <c r="AO249" s="143"/>
      <c r="AP249" s="143" t="s">
        <v>831</v>
      </c>
    </row>
    <row r="250" spans="2:42">
      <c r="B250" s="131" t="s">
        <v>481</v>
      </c>
      <c r="C250" s="135" t="s">
        <v>32</v>
      </c>
      <c r="D250" s="135">
        <v>32</v>
      </c>
      <c r="E250" s="135" t="s">
        <v>32</v>
      </c>
      <c r="F250" s="135">
        <v>27</v>
      </c>
      <c r="G250" s="176">
        <v>53</v>
      </c>
      <c r="H250" s="176">
        <v>74</v>
      </c>
      <c r="I250" s="176">
        <v>2011</v>
      </c>
      <c r="K250" s="143" t="s">
        <v>1356</v>
      </c>
      <c r="L250" s="177" t="s">
        <v>1357</v>
      </c>
      <c r="M250" s="142">
        <v>2019</v>
      </c>
      <c r="N250" s="142">
        <v>4</v>
      </c>
      <c r="O250" s="142" t="s">
        <v>1358</v>
      </c>
      <c r="P250" s="142" t="s">
        <v>28</v>
      </c>
      <c r="Q250" s="25"/>
      <c r="R250" s="142" t="s">
        <v>30</v>
      </c>
      <c r="S250" s="142" t="s">
        <v>30</v>
      </c>
      <c r="T250" s="142" t="s">
        <v>398</v>
      </c>
      <c r="U250" s="25" t="s">
        <v>84</v>
      </c>
      <c r="V250" s="25">
        <v>58</v>
      </c>
      <c r="W250" s="142">
        <v>2</v>
      </c>
      <c r="X250" s="140">
        <v>3</v>
      </c>
      <c r="Y250" s="142">
        <v>1</v>
      </c>
      <c r="Z250" s="142">
        <v>2</v>
      </c>
      <c r="AA250" s="142">
        <v>1</v>
      </c>
      <c r="AC250" s="150">
        <v>0</v>
      </c>
      <c r="AD250" s="150">
        <v>0</v>
      </c>
      <c r="AE250" s="150">
        <v>0</v>
      </c>
      <c r="AF250" s="150">
        <v>1</v>
      </c>
      <c r="AG250" s="150">
        <v>0</v>
      </c>
      <c r="AH250" s="142">
        <v>0</v>
      </c>
      <c r="AI250" s="142">
        <v>2</v>
      </c>
      <c r="AJ250" s="142">
        <v>0</v>
      </c>
      <c r="AK250" s="142">
        <v>1</v>
      </c>
      <c r="AL250" s="142">
        <v>0</v>
      </c>
      <c r="AM250" s="140">
        <f t="shared" si="5"/>
        <v>3</v>
      </c>
      <c r="AN250" s="143" t="s">
        <v>831</v>
      </c>
      <c r="AO250" s="143"/>
      <c r="AP250" s="143" t="s">
        <v>831</v>
      </c>
    </row>
    <row r="251" spans="2:42">
      <c r="B251" s="131" t="s">
        <v>481</v>
      </c>
      <c r="C251" s="135" t="s">
        <v>32</v>
      </c>
      <c r="D251" s="135">
        <v>32</v>
      </c>
      <c r="E251" s="135" t="s">
        <v>32</v>
      </c>
      <c r="F251" s="135">
        <v>27</v>
      </c>
      <c r="G251" s="176">
        <v>53</v>
      </c>
      <c r="H251" s="176">
        <v>74</v>
      </c>
      <c r="I251" s="176">
        <v>2011</v>
      </c>
      <c r="K251" s="143" t="s">
        <v>1359</v>
      </c>
      <c r="L251" s="145" t="s">
        <v>1360</v>
      </c>
      <c r="M251" s="142">
        <v>2019</v>
      </c>
      <c r="N251" s="142">
        <v>4</v>
      </c>
      <c r="O251" s="142" t="s">
        <v>485</v>
      </c>
      <c r="P251" s="142" t="s">
        <v>28</v>
      </c>
      <c r="Q251" s="25"/>
      <c r="R251" s="142" t="s">
        <v>39</v>
      </c>
      <c r="S251" s="142" t="s">
        <v>39</v>
      </c>
      <c r="T251" s="142" t="s">
        <v>1361</v>
      </c>
      <c r="U251" s="25" t="s">
        <v>84</v>
      </c>
      <c r="V251" s="25">
        <v>50</v>
      </c>
      <c r="W251" s="142">
        <v>3</v>
      </c>
      <c r="X251" s="140">
        <v>14</v>
      </c>
      <c r="Y251" s="142">
        <v>1</v>
      </c>
      <c r="Z251" s="142">
        <v>13</v>
      </c>
      <c r="AA251" s="142">
        <v>0</v>
      </c>
      <c r="AC251" s="150">
        <v>0</v>
      </c>
      <c r="AD251" s="150">
        <v>0</v>
      </c>
      <c r="AE251" s="150">
        <v>1</v>
      </c>
      <c r="AF251" s="150">
        <v>0</v>
      </c>
      <c r="AG251" s="150">
        <v>0</v>
      </c>
      <c r="AH251" s="142">
        <v>0</v>
      </c>
      <c r="AI251" s="142">
        <v>8</v>
      </c>
      <c r="AJ251" s="142">
        <v>1</v>
      </c>
      <c r="AK251" s="142">
        <v>3</v>
      </c>
      <c r="AL251" s="142">
        <v>2</v>
      </c>
      <c r="AM251" s="140">
        <f t="shared" si="5"/>
        <v>14</v>
      </c>
      <c r="AN251" s="143" t="s">
        <v>831</v>
      </c>
      <c r="AO251" s="143"/>
      <c r="AP251" s="143" t="s">
        <v>831</v>
      </c>
    </row>
    <row r="252" spans="2:42">
      <c r="B252" s="131" t="s">
        <v>481</v>
      </c>
      <c r="C252" s="135" t="s">
        <v>32</v>
      </c>
      <c r="D252" s="135">
        <v>32</v>
      </c>
      <c r="E252" s="135" t="s">
        <v>32</v>
      </c>
      <c r="F252" s="135">
        <v>27</v>
      </c>
      <c r="G252" s="176">
        <v>53</v>
      </c>
      <c r="H252" s="176">
        <v>74</v>
      </c>
      <c r="I252" s="176">
        <v>2011</v>
      </c>
      <c r="K252" s="142" t="s">
        <v>1362</v>
      </c>
      <c r="L252" s="145" t="s">
        <v>933</v>
      </c>
      <c r="M252" s="142">
        <v>2020</v>
      </c>
      <c r="N252" s="142">
        <v>3</v>
      </c>
      <c r="O252" s="25" t="s">
        <v>486</v>
      </c>
      <c r="P252" s="142" t="s">
        <v>28</v>
      </c>
      <c r="Q252" s="25"/>
      <c r="R252" s="142" t="s">
        <v>30</v>
      </c>
      <c r="S252" s="142" t="s">
        <v>30</v>
      </c>
      <c r="T252" s="142" t="s">
        <v>291</v>
      </c>
      <c r="U252" s="25" t="s">
        <v>101</v>
      </c>
      <c r="V252" s="25">
        <v>26</v>
      </c>
      <c r="W252" s="142">
        <v>1</v>
      </c>
      <c r="X252" s="140">
        <v>7</v>
      </c>
      <c r="Y252" s="142">
        <v>3</v>
      </c>
      <c r="Z252" s="142">
        <v>4</v>
      </c>
      <c r="AA252" s="142">
        <v>2</v>
      </c>
      <c r="AC252" s="150">
        <v>1</v>
      </c>
      <c r="AD252" s="150">
        <v>1</v>
      </c>
      <c r="AE252" s="150">
        <v>1</v>
      </c>
      <c r="AF252" s="150">
        <v>0</v>
      </c>
      <c r="AG252" s="150">
        <v>0</v>
      </c>
      <c r="AH252" s="142">
        <v>1</v>
      </c>
      <c r="AI252" s="142">
        <v>4</v>
      </c>
      <c r="AJ252" s="142">
        <v>1</v>
      </c>
      <c r="AK252" s="142">
        <v>1</v>
      </c>
      <c r="AL252" s="142">
        <v>0</v>
      </c>
      <c r="AM252" s="140">
        <f t="shared" si="5"/>
        <v>7</v>
      </c>
      <c r="AN252" s="143" t="s">
        <v>831</v>
      </c>
      <c r="AO252" s="143"/>
      <c r="AP252" s="143" t="s">
        <v>831</v>
      </c>
    </row>
    <row r="253" spans="2:42">
      <c r="B253" s="131" t="s">
        <v>481</v>
      </c>
      <c r="C253" s="135" t="s">
        <v>32</v>
      </c>
      <c r="D253" s="135">
        <v>32</v>
      </c>
      <c r="E253" s="135" t="s">
        <v>32</v>
      </c>
      <c r="F253" s="135">
        <v>27</v>
      </c>
      <c r="G253" s="176">
        <v>53</v>
      </c>
      <c r="H253" s="176">
        <v>74</v>
      </c>
      <c r="I253" s="176">
        <v>2011</v>
      </c>
      <c r="L253" s="145" t="s">
        <v>1363</v>
      </c>
      <c r="M253" s="142">
        <v>2021</v>
      </c>
      <c r="N253" s="142">
        <v>2</v>
      </c>
      <c r="O253" s="142" t="s">
        <v>1364</v>
      </c>
      <c r="P253" s="142" t="s">
        <v>35</v>
      </c>
      <c r="Q253" s="25"/>
      <c r="R253" s="142" t="s">
        <v>30</v>
      </c>
      <c r="S253" s="142" t="s">
        <v>30</v>
      </c>
      <c r="T253" s="142" t="s">
        <v>487</v>
      </c>
      <c r="U253" s="25" t="s">
        <v>218</v>
      </c>
      <c r="V253" s="25">
        <v>10</v>
      </c>
      <c r="W253" s="142">
        <v>0</v>
      </c>
      <c r="X253" s="140">
        <v>2</v>
      </c>
      <c r="Y253" s="142">
        <v>2</v>
      </c>
      <c r="Z253" s="142">
        <v>0</v>
      </c>
      <c r="AA253" s="142">
        <v>0</v>
      </c>
      <c r="AC253" s="150">
        <v>0</v>
      </c>
      <c r="AD253" s="150">
        <v>2</v>
      </c>
      <c r="AE253" s="150">
        <v>0</v>
      </c>
      <c r="AF253" s="150">
        <v>0</v>
      </c>
      <c r="AG253" s="150">
        <v>0</v>
      </c>
      <c r="AH253" s="142">
        <v>0</v>
      </c>
      <c r="AI253" s="142">
        <v>2</v>
      </c>
      <c r="AJ253" s="142">
        <v>0</v>
      </c>
      <c r="AK253" s="142">
        <v>0</v>
      </c>
      <c r="AL253" s="142">
        <v>0</v>
      </c>
      <c r="AM253" s="140">
        <f t="shared" si="5"/>
        <v>2</v>
      </c>
      <c r="AN253" s="142" t="s">
        <v>826</v>
      </c>
      <c r="AP253" s="142">
        <v>0</v>
      </c>
    </row>
    <row r="254" spans="2:42">
      <c r="B254" s="131" t="s">
        <v>481</v>
      </c>
      <c r="C254" s="135" t="s">
        <v>32</v>
      </c>
      <c r="D254" s="135">
        <v>32</v>
      </c>
      <c r="E254" s="135" t="s">
        <v>32</v>
      </c>
      <c r="F254" s="135">
        <v>27</v>
      </c>
      <c r="G254" s="176">
        <v>53</v>
      </c>
      <c r="H254" s="176">
        <v>74</v>
      </c>
      <c r="I254" s="176">
        <v>2011</v>
      </c>
      <c r="K254" s="143" t="s">
        <v>1365</v>
      </c>
      <c r="L254" s="145" t="s">
        <v>1366</v>
      </c>
      <c r="M254" s="142">
        <v>2022</v>
      </c>
      <c r="N254" s="142">
        <v>1</v>
      </c>
      <c r="O254" s="142" t="s">
        <v>1367</v>
      </c>
      <c r="P254" s="142" t="s">
        <v>35</v>
      </c>
      <c r="Q254" s="25"/>
      <c r="R254" s="142" t="s">
        <v>30</v>
      </c>
      <c r="S254" s="142" t="s">
        <v>30</v>
      </c>
      <c r="T254" s="142" t="s">
        <v>489</v>
      </c>
      <c r="U254" s="25" t="s">
        <v>218</v>
      </c>
      <c r="V254" s="25">
        <v>13</v>
      </c>
      <c r="W254" s="142">
        <v>1</v>
      </c>
      <c r="X254" s="140">
        <v>3</v>
      </c>
      <c r="Y254" s="142">
        <v>3</v>
      </c>
      <c r="Z254" s="142">
        <v>0</v>
      </c>
      <c r="AA254" s="142">
        <v>0</v>
      </c>
      <c r="AC254" s="150">
        <v>3</v>
      </c>
      <c r="AD254" s="150">
        <v>0</v>
      </c>
      <c r="AE254" s="150">
        <v>0</v>
      </c>
      <c r="AF254" s="150">
        <v>0</v>
      </c>
      <c r="AG254" s="150">
        <v>0</v>
      </c>
      <c r="AH254" s="142">
        <v>3</v>
      </c>
      <c r="AI254" s="142">
        <v>0</v>
      </c>
      <c r="AJ254" s="142">
        <v>0</v>
      </c>
      <c r="AK254" s="142">
        <v>0</v>
      </c>
      <c r="AL254" s="142">
        <v>0</v>
      </c>
      <c r="AM254" s="140">
        <f t="shared" si="5"/>
        <v>3</v>
      </c>
      <c r="AN254" s="143" t="s">
        <v>831</v>
      </c>
      <c r="AO254" s="143"/>
      <c r="AP254" s="143" t="s">
        <v>831</v>
      </c>
    </row>
    <row r="255" spans="2:42">
      <c r="B255" s="131" t="s">
        <v>490</v>
      </c>
      <c r="C255" s="135" t="s">
        <v>33</v>
      </c>
      <c r="D255" s="135" t="s">
        <v>33</v>
      </c>
      <c r="E255" s="135" t="s">
        <v>32</v>
      </c>
      <c r="F255" s="135">
        <v>30</v>
      </c>
      <c r="G255" s="176">
        <v>74</v>
      </c>
      <c r="H255" s="176">
        <v>91</v>
      </c>
      <c r="I255" s="176">
        <v>2013</v>
      </c>
      <c r="K255" s="142" t="s">
        <v>1368</v>
      </c>
      <c r="L255" s="145" t="s">
        <v>1369</v>
      </c>
      <c r="M255" s="142">
        <v>2015</v>
      </c>
      <c r="N255" s="142">
        <v>7</v>
      </c>
      <c r="O255" s="142" t="s">
        <v>491</v>
      </c>
      <c r="P255" s="142" t="s">
        <v>35</v>
      </c>
      <c r="Q255" s="25"/>
      <c r="R255" s="142" t="s">
        <v>54</v>
      </c>
      <c r="S255" s="142" t="s">
        <v>54</v>
      </c>
      <c r="T255" s="142" t="s">
        <v>171</v>
      </c>
      <c r="U255" s="25" t="s">
        <v>101</v>
      </c>
      <c r="V255" s="25">
        <v>23</v>
      </c>
      <c r="W255" s="142">
        <v>19</v>
      </c>
      <c r="X255" s="140">
        <v>181</v>
      </c>
      <c r="Y255" s="142">
        <v>16</v>
      </c>
      <c r="Z255" s="142">
        <v>165</v>
      </c>
      <c r="AA255" s="142">
        <v>42</v>
      </c>
      <c r="AC255" s="150">
        <v>1</v>
      </c>
      <c r="AD255" s="150">
        <v>10</v>
      </c>
      <c r="AE255" s="150">
        <v>2</v>
      </c>
      <c r="AF255" s="150">
        <v>1</v>
      </c>
      <c r="AG255" s="150">
        <v>2</v>
      </c>
      <c r="AH255" s="142">
        <v>2</v>
      </c>
      <c r="AI255" s="142">
        <v>156</v>
      </c>
      <c r="AJ255" s="142">
        <v>6</v>
      </c>
      <c r="AK255" s="142">
        <v>9</v>
      </c>
      <c r="AL255" s="142">
        <v>8</v>
      </c>
      <c r="AM255" s="140">
        <f t="shared" si="5"/>
        <v>181</v>
      </c>
      <c r="AN255" s="142" t="s">
        <v>826</v>
      </c>
      <c r="AP255" s="142">
        <v>0</v>
      </c>
    </row>
    <row r="256" spans="2:42">
      <c r="B256" s="131" t="s">
        <v>490</v>
      </c>
      <c r="C256" s="135" t="s">
        <v>33</v>
      </c>
      <c r="D256" s="135" t="s">
        <v>33</v>
      </c>
      <c r="E256" s="135" t="s">
        <v>32</v>
      </c>
      <c r="F256" s="135">
        <v>30</v>
      </c>
      <c r="G256" s="176">
        <v>74</v>
      </c>
      <c r="H256" s="176">
        <v>91</v>
      </c>
      <c r="I256" s="176">
        <v>2013</v>
      </c>
      <c r="K256" s="142" t="s">
        <v>1370</v>
      </c>
      <c r="L256" s="145" t="s">
        <v>1371</v>
      </c>
      <c r="M256" s="142">
        <v>2018</v>
      </c>
      <c r="N256" s="142">
        <v>5</v>
      </c>
      <c r="O256" s="142" t="s">
        <v>492</v>
      </c>
      <c r="P256" s="142" t="s">
        <v>35</v>
      </c>
      <c r="Q256" s="142" t="s">
        <v>493</v>
      </c>
      <c r="R256" s="142" t="s">
        <v>30</v>
      </c>
      <c r="S256" s="142" t="s">
        <v>30</v>
      </c>
      <c r="T256" s="142" t="s">
        <v>494</v>
      </c>
      <c r="V256" s="25" t="s">
        <v>822</v>
      </c>
      <c r="W256" s="142">
        <v>3</v>
      </c>
      <c r="X256" s="140">
        <v>21</v>
      </c>
      <c r="Y256" s="142">
        <v>6</v>
      </c>
      <c r="Z256" s="142">
        <v>15</v>
      </c>
      <c r="AA256" s="142">
        <v>8</v>
      </c>
      <c r="AC256" s="150">
        <v>0</v>
      </c>
      <c r="AD256" s="150">
        <v>1</v>
      </c>
      <c r="AE256" s="150">
        <v>5</v>
      </c>
      <c r="AF256" s="150">
        <v>0</v>
      </c>
      <c r="AG256" s="150">
        <v>0</v>
      </c>
      <c r="AH256" s="142">
        <v>0</v>
      </c>
      <c r="AI256" s="142">
        <v>15</v>
      </c>
      <c r="AJ256" s="142">
        <v>4</v>
      </c>
      <c r="AK256" s="142">
        <v>1</v>
      </c>
      <c r="AL256" s="142">
        <v>1</v>
      </c>
      <c r="AM256" s="140">
        <f t="shared" si="5"/>
        <v>21</v>
      </c>
      <c r="AN256" s="142" t="s">
        <v>837</v>
      </c>
      <c r="AO256" s="142">
        <v>0</v>
      </c>
      <c r="AP256" s="142">
        <v>1</v>
      </c>
    </row>
    <row r="257" spans="1:42">
      <c r="B257" s="131" t="s">
        <v>490</v>
      </c>
      <c r="C257" s="135" t="s">
        <v>33</v>
      </c>
      <c r="D257" s="135" t="s">
        <v>33</v>
      </c>
      <c r="E257" s="135" t="s">
        <v>32</v>
      </c>
      <c r="F257" s="135">
        <v>30</v>
      </c>
      <c r="G257" s="176">
        <v>74</v>
      </c>
      <c r="H257" s="176">
        <v>91</v>
      </c>
      <c r="I257" s="176">
        <v>2013</v>
      </c>
      <c r="L257" s="145" t="s">
        <v>1372</v>
      </c>
      <c r="M257" s="142">
        <v>2019</v>
      </c>
      <c r="N257" s="142">
        <v>4</v>
      </c>
      <c r="O257" s="142" t="s">
        <v>495</v>
      </c>
      <c r="P257" s="142" t="s">
        <v>35</v>
      </c>
      <c r="Q257" s="25"/>
      <c r="R257" s="142" t="s">
        <v>30</v>
      </c>
      <c r="S257" s="142" t="s">
        <v>30</v>
      </c>
      <c r="T257" s="142" t="s">
        <v>1373</v>
      </c>
      <c r="U257" s="25" t="s">
        <v>84</v>
      </c>
      <c r="V257" s="25">
        <v>68</v>
      </c>
      <c r="W257" s="142">
        <v>3</v>
      </c>
      <c r="X257" s="140">
        <v>10</v>
      </c>
      <c r="Y257" s="142">
        <v>5</v>
      </c>
      <c r="Z257" s="142">
        <v>5</v>
      </c>
      <c r="AA257" s="142">
        <v>2</v>
      </c>
      <c r="AC257" s="150">
        <v>0</v>
      </c>
      <c r="AD257" s="150">
        <v>5</v>
      </c>
      <c r="AE257" s="150">
        <v>0</v>
      </c>
      <c r="AF257" s="150">
        <v>0</v>
      </c>
      <c r="AG257" s="150">
        <v>0</v>
      </c>
      <c r="AH257" s="142">
        <v>0</v>
      </c>
      <c r="AI257" s="142">
        <v>6</v>
      </c>
      <c r="AJ257" s="142">
        <v>1</v>
      </c>
      <c r="AK257" s="142">
        <v>0</v>
      </c>
      <c r="AL257" s="142">
        <v>3</v>
      </c>
      <c r="AM257" s="140">
        <f t="shared" si="5"/>
        <v>10</v>
      </c>
      <c r="AN257" s="142" t="s">
        <v>823</v>
      </c>
      <c r="AP257" s="142">
        <v>1</v>
      </c>
    </row>
    <row r="258" spans="1:42">
      <c r="A258" s="142">
        <v>1</v>
      </c>
      <c r="B258" s="131" t="s">
        <v>490</v>
      </c>
      <c r="C258" s="135" t="s">
        <v>33</v>
      </c>
      <c r="D258" s="135" t="s">
        <v>33</v>
      </c>
      <c r="E258" s="135" t="s">
        <v>32</v>
      </c>
      <c r="F258" s="135">
        <v>30</v>
      </c>
      <c r="G258" s="176">
        <v>74</v>
      </c>
      <c r="H258" s="176">
        <v>91</v>
      </c>
      <c r="I258" s="176">
        <v>2013</v>
      </c>
      <c r="K258" s="142" t="s">
        <v>1374</v>
      </c>
      <c r="L258" s="145" t="s">
        <v>1375</v>
      </c>
      <c r="M258" s="142">
        <v>2019</v>
      </c>
      <c r="N258" s="142">
        <v>4</v>
      </c>
      <c r="O258" s="142" t="s">
        <v>1376</v>
      </c>
      <c r="P258" s="142" t="s">
        <v>35</v>
      </c>
      <c r="Q258" s="25"/>
      <c r="R258" s="142" t="s">
        <v>39</v>
      </c>
      <c r="S258" s="142" t="s">
        <v>39</v>
      </c>
      <c r="T258" s="142" t="s">
        <v>497</v>
      </c>
      <c r="U258" s="25" t="s">
        <v>84</v>
      </c>
      <c r="V258" s="25">
        <v>53</v>
      </c>
      <c r="W258" s="142">
        <v>5</v>
      </c>
      <c r="X258" s="140">
        <v>25</v>
      </c>
      <c r="Y258" s="142">
        <v>3</v>
      </c>
      <c r="Z258" s="142">
        <v>22</v>
      </c>
      <c r="AA258" s="142">
        <v>6</v>
      </c>
      <c r="AC258" s="143" t="s">
        <v>1377</v>
      </c>
      <c r="AD258" s="143"/>
      <c r="AE258" s="143"/>
      <c r="AF258" s="143"/>
      <c r="AG258" s="143"/>
      <c r="AH258" s="142">
        <v>0</v>
      </c>
      <c r="AI258" s="142">
        <v>21</v>
      </c>
      <c r="AJ258" s="142">
        <v>0</v>
      </c>
      <c r="AK258" s="142">
        <v>1</v>
      </c>
      <c r="AL258" s="142">
        <v>4</v>
      </c>
      <c r="AM258" s="140">
        <f>SUM(AH258:AL258)</f>
        <v>26</v>
      </c>
      <c r="AN258" s="142" t="s">
        <v>826</v>
      </c>
      <c r="AP258" s="142">
        <v>0</v>
      </c>
    </row>
    <row r="259" spans="1:42">
      <c r="B259" s="131" t="s">
        <v>490</v>
      </c>
      <c r="C259" s="135" t="s">
        <v>33</v>
      </c>
      <c r="D259" s="135" t="s">
        <v>33</v>
      </c>
      <c r="E259" s="135" t="s">
        <v>32</v>
      </c>
      <c r="F259" s="135">
        <v>30</v>
      </c>
      <c r="G259" s="176">
        <v>74</v>
      </c>
      <c r="H259" s="176">
        <v>91</v>
      </c>
      <c r="I259" s="176">
        <v>2013</v>
      </c>
      <c r="L259" s="145" t="s">
        <v>1378</v>
      </c>
      <c r="M259" s="142">
        <v>2017</v>
      </c>
      <c r="N259" s="142">
        <v>6</v>
      </c>
      <c r="O259" s="142" t="s">
        <v>498</v>
      </c>
      <c r="P259" s="142" t="s">
        <v>35</v>
      </c>
      <c r="Q259" s="25"/>
      <c r="R259" s="142" t="s">
        <v>30</v>
      </c>
      <c r="S259" s="142" t="s">
        <v>30</v>
      </c>
      <c r="T259" s="142" t="s">
        <v>145</v>
      </c>
      <c r="U259" s="25" t="s">
        <v>218</v>
      </c>
      <c r="V259" s="25">
        <v>6</v>
      </c>
      <c r="W259" s="142">
        <v>2</v>
      </c>
      <c r="X259" s="140">
        <v>7</v>
      </c>
      <c r="Y259" s="142">
        <v>0</v>
      </c>
      <c r="Z259" s="142">
        <v>7</v>
      </c>
      <c r="AA259" s="142">
        <v>5</v>
      </c>
      <c r="AC259" s="150">
        <v>0</v>
      </c>
      <c r="AD259" s="150">
        <v>0</v>
      </c>
      <c r="AE259" s="150">
        <v>0</v>
      </c>
      <c r="AF259" s="150">
        <v>0</v>
      </c>
      <c r="AG259" s="150">
        <v>0</v>
      </c>
      <c r="AH259" s="142">
        <v>0</v>
      </c>
      <c r="AI259" s="142">
        <v>2</v>
      </c>
      <c r="AJ259" s="142">
        <v>0</v>
      </c>
      <c r="AK259" s="142">
        <v>0</v>
      </c>
      <c r="AL259" s="142">
        <v>5</v>
      </c>
      <c r="AM259" s="140">
        <f t="shared" ref="AM259:AM272" si="6">SUM(AH259:AL259)</f>
        <v>7</v>
      </c>
      <c r="AN259" s="142" t="s">
        <v>826</v>
      </c>
      <c r="AP259" s="142">
        <v>0</v>
      </c>
    </row>
    <row r="260" spans="1:42">
      <c r="B260" s="131" t="s">
        <v>490</v>
      </c>
      <c r="C260" s="135" t="s">
        <v>33</v>
      </c>
      <c r="D260" s="135" t="s">
        <v>33</v>
      </c>
      <c r="E260" s="135" t="s">
        <v>32</v>
      </c>
      <c r="F260" s="135">
        <v>30</v>
      </c>
      <c r="G260" s="176">
        <v>74</v>
      </c>
      <c r="H260" s="176">
        <v>91</v>
      </c>
      <c r="I260" s="176">
        <v>2013</v>
      </c>
      <c r="L260" s="145" t="s">
        <v>851</v>
      </c>
      <c r="M260" s="142">
        <v>2018</v>
      </c>
      <c r="N260" s="142">
        <v>5</v>
      </c>
      <c r="O260" s="192" t="s">
        <v>1379</v>
      </c>
      <c r="P260" s="142" t="s">
        <v>35</v>
      </c>
      <c r="Q260" s="25"/>
      <c r="R260" s="142" t="s">
        <v>30</v>
      </c>
      <c r="S260" s="142" t="s">
        <v>30</v>
      </c>
      <c r="T260" s="142" t="s">
        <v>1373</v>
      </c>
      <c r="U260" s="25" t="s">
        <v>84</v>
      </c>
      <c r="V260" s="25">
        <v>68</v>
      </c>
      <c r="W260" s="142">
        <v>11</v>
      </c>
      <c r="X260" s="140">
        <v>51</v>
      </c>
      <c r="Y260" s="142">
        <v>6</v>
      </c>
      <c r="Z260" s="142">
        <v>45</v>
      </c>
      <c r="AA260" s="142">
        <v>20</v>
      </c>
      <c r="AC260" s="150">
        <v>1</v>
      </c>
      <c r="AD260" s="150">
        <v>1</v>
      </c>
      <c r="AE260" s="150">
        <v>1</v>
      </c>
      <c r="AF260" s="150">
        <v>1</v>
      </c>
      <c r="AG260" s="150">
        <v>2</v>
      </c>
      <c r="AH260" s="142">
        <v>3</v>
      </c>
      <c r="AI260" s="142">
        <v>40</v>
      </c>
      <c r="AJ260" s="142">
        <v>1</v>
      </c>
      <c r="AK260" s="142">
        <v>1</v>
      </c>
      <c r="AL260" s="142">
        <v>6</v>
      </c>
      <c r="AM260" s="140">
        <f t="shared" si="6"/>
        <v>51</v>
      </c>
      <c r="AN260" s="142" t="s">
        <v>826</v>
      </c>
      <c r="AP260" s="142">
        <v>0</v>
      </c>
    </row>
    <row r="261" spans="1:42">
      <c r="B261" s="131" t="s">
        <v>490</v>
      </c>
      <c r="C261" s="135" t="s">
        <v>33</v>
      </c>
      <c r="D261" s="135" t="s">
        <v>33</v>
      </c>
      <c r="E261" s="135" t="s">
        <v>32</v>
      </c>
      <c r="F261" s="135">
        <v>30</v>
      </c>
      <c r="G261" s="176">
        <v>74</v>
      </c>
      <c r="H261" s="176">
        <v>91</v>
      </c>
      <c r="I261" s="176">
        <v>2013</v>
      </c>
      <c r="K261" s="142" t="s">
        <v>1380</v>
      </c>
      <c r="L261" s="145" t="s">
        <v>1381</v>
      </c>
      <c r="M261" s="142">
        <v>2019</v>
      </c>
      <c r="N261" s="142">
        <v>4</v>
      </c>
      <c r="O261" s="142" t="s">
        <v>501</v>
      </c>
      <c r="P261" s="142" t="s">
        <v>43</v>
      </c>
      <c r="Q261" s="142" t="s">
        <v>502</v>
      </c>
      <c r="R261" s="142" t="s">
        <v>225</v>
      </c>
      <c r="S261" s="142" t="s">
        <v>225</v>
      </c>
      <c r="T261" s="142" t="s">
        <v>503</v>
      </c>
      <c r="V261" s="25" t="s">
        <v>822</v>
      </c>
      <c r="W261" s="142">
        <v>13</v>
      </c>
      <c r="X261" s="140">
        <v>57</v>
      </c>
      <c r="Y261" s="142">
        <v>30</v>
      </c>
      <c r="Z261" s="142">
        <v>27</v>
      </c>
      <c r="AA261" s="142">
        <v>9</v>
      </c>
      <c r="AC261" s="150">
        <v>0</v>
      </c>
      <c r="AD261" s="150">
        <v>20</v>
      </c>
      <c r="AE261" s="150">
        <v>7</v>
      </c>
      <c r="AF261" s="150">
        <v>1</v>
      </c>
      <c r="AG261" s="150">
        <v>2</v>
      </c>
      <c r="AH261" s="142">
        <v>0</v>
      </c>
      <c r="AI261" s="142">
        <v>44</v>
      </c>
      <c r="AJ261" s="142">
        <v>9</v>
      </c>
      <c r="AK261" s="142">
        <v>2</v>
      </c>
      <c r="AL261" s="142">
        <v>2</v>
      </c>
      <c r="AM261" s="140">
        <f t="shared" si="6"/>
        <v>57</v>
      </c>
      <c r="AN261" s="142" t="s">
        <v>823</v>
      </c>
      <c r="AP261" s="142">
        <v>2</v>
      </c>
    </row>
    <row r="262" spans="1:42">
      <c r="B262" s="131" t="s">
        <v>490</v>
      </c>
      <c r="C262" s="135" t="s">
        <v>33</v>
      </c>
      <c r="D262" s="135" t="s">
        <v>33</v>
      </c>
      <c r="E262" s="135" t="s">
        <v>32</v>
      </c>
      <c r="F262" s="135">
        <v>30</v>
      </c>
      <c r="G262" s="176">
        <v>74</v>
      </c>
      <c r="H262" s="176">
        <v>91</v>
      </c>
      <c r="I262" s="176">
        <v>2013</v>
      </c>
      <c r="K262" s="142" t="s">
        <v>1382</v>
      </c>
      <c r="L262" s="145" t="s">
        <v>1383</v>
      </c>
      <c r="M262" s="142">
        <v>2020</v>
      </c>
      <c r="N262" s="142">
        <v>3</v>
      </c>
      <c r="O262" s="142" t="s">
        <v>504</v>
      </c>
      <c r="P262" s="142" t="s">
        <v>35</v>
      </c>
      <c r="Q262" s="25"/>
      <c r="R262" s="142" t="s">
        <v>30</v>
      </c>
      <c r="S262" s="142" t="s">
        <v>30</v>
      </c>
      <c r="T262" s="142" t="s">
        <v>145</v>
      </c>
      <c r="U262" s="25" t="s">
        <v>218</v>
      </c>
      <c r="V262" s="25">
        <v>6</v>
      </c>
      <c r="W262" s="142">
        <v>6</v>
      </c>
      <c r="X262" s="140">
        <v>6</v>
      </c>
      <c r="Y262" s="142">
        <v>6</v>
      </c>
      <c r="Z262" s="142">
        <v>0</v>
      </c>
      <c r="AA262" s="142">
        <v>3</v>
      </c>
      <c r="AC262" s="150">
        <v>0</v>
      </c>
      <c r="AD262" s="150">
        <v>5</v>
      </c>
      <c r="AE262" s="150">
        <v>1</v>
      </c>
      <c r="AF262" s="150">
        <v>0</v>
      </c>
      <c r="AG262" s="150">
        <v>0</v>
      </c>
      <c r="AH262" s="142">
        <v>0</v>
      </c>
      <c r="AI262" s="142">
        <v>5</v>
      </c>
      <c r="AJ262" s="142">
        <v>1</v>
      </c>
      <c r="AK262" s="142">
        <v>0</v>
      </c>
      <c r="AL262" s="142">
        <v>0</v>
      </c>
      <c r="AM262" s="140">
        <f t="shared" si="6"/>
        <v>6</v>
      </c>
      <c r="AN262" s="179">
        <v>0</v>
      </c>
      <c r="AO262" s="179">
        <v>0</v>
      </c>
      <c r="AP262" s="179">
        <v>0</v>
      </c>
    </row>
    <row r="263" spans="1:42">
      <c r="B263" s="131" t="s">
        <v>490</v>
      </c>
      <c r="C263" s="135" t="s">
        <v>33</v>
      </c>
      <c r="D263" s="135" t="s">
        <v>33</v>
      </c>
      <c r="E263" s="135" t="s">
        <v>32</v>
      </c>
      <c r="F263" s="135">
        <v>30</v>
      </c>
      <c r="G263" s="176">
        <v>74</v>
      </c>
      <c r="H263" s="176">
        <v>91</v>
      </c>
      <c r="I263" s="176">
        <v>2013</v>
      </c>
      <c r="L263" s="145" t="s">
        <v>1384</v>
      </c>
      <c r="M263" s="142">
        <v>2020</v>
      </c>
      <c r="N263" s="142">
        <v>3</v>
      </c>
      <c r="O263" s="142" t="s">
        <v>505</v>
      </c>
      <c r="P263" s="142" t="s">
        <v>35</v>
      </c>
      <c r="Q263" s="142" t="s">
        <v>1385</v>
      </c>
      <c r="R263" s="142" t="s">
        <v>30</v>
      </c>
      <c r="S263" s="142" t="s">
        <v>30</v>
      </c>
      <c r="T263" s="186" t="s">
        <v>506</v>
      </c>
      <c r="V263" s="25" t="s">
        <v>1386</v>
      </c>
      <c r="W263" s="142">
        <v>19</v>
      </c>
      <c r="X263" s="140">
        <v>101</v>
      </c>
      <c r="Y263" s="142">
        <v>38</v>
      </c>
      <c r="Z263" s="142">
        <v>73</v>
      </c>
      <c r="AA263" s="142">
        <v>31</v>
      </c>
      <c r="AC263" s="150">
        <v>2</v>
      </c>
      <c r="AD263" s="150">
        <v>16</v>
      </c>
      <c r="AE263" s="150">
        <v>6</v>
      </c>
      <c r="AF263" s="150">
        <v>19</v>
      </c>
      <c r="AG263" s="150">
        <v>14</v>
      </c>
      <c r="AH263" s="142">
        <v>1</v>
      </c>
      <c r="AI263" s="142">
        <v>48</v>
      </c>
      <c r="AJ263" s="142">
        <v>5</v>
      </c>
      <c r="AK263" s="142">
        <v>27</v>
      </c>
      <c r="AL263" s="142">
        <v>20</v>
      </c>
      <c r="AM263" s="140">
        <f t="shared" si="6"/>
        <v>101</v>
      </c>
      <c r="AN263" s="142" t="s">
        <v>823</v>
      </c>
      <c r="AO263" s="142">
        <v>0</v>
      </c>
      <c r="AP263" s="142">
        <v>2</v>
      </c>
    </row>
    <row r="264" spans="1:42">
      <c r="B264" s="131" t="s">
        <v>490</v>
      </c>
      <c r="C264" s="135" t="s">
        <v>33</v>
      </c>
      <c r="D264" s="135" t="s">
        <v>33</v>
      </c>
      <c r="E264" s="135" t="s">
        <v>32</v>
      </c>
      <c r="F264" s="135">
        <v>30</v>
      </c>
      <c r="G264" s="176">
        <v>74</v>
      </c>
      <c r="H264" s="176">
        <v>91</v>
      </c>
      <c r="I264" s="176">
        <v>2013</v>
      </c>
      <c r="K264" s="179" t="s">
        <v>1387</v>
      </c>
      <c r="L264" s="170" t="s">
        <v>1388</v>
      </c>
      <c r="M264" s="142">
        <v>2021</v>
      </c>
      <c r="N264" s="142">
        <v>2</v>
      </c>
      <c r="O264" s="142" t="s">
        <v>507</v>
      </c>
      <c r="P264" s="142" t="s">
        <v>28</v>
      </c>
      <c r="Q264" s="25"/>
      <c r="R264" s="142" t="s">
        <v>225</v>
      </c>
      <c r="S264" s="142" t="s">
        <v>225</v>
      </c>
      <c r="T264" s="142" t="s">
        <v>508</v>
      </c>
      <c r="U264" s="25" t="s">
        <v>84</v>
      </c>
      <c r="V264" s="25">
        <v>58</v>
      </c>
      <c r="W264" s="142">
        <v>12</v>
      </c>
      <c r="X264" s="140">
        <v>50</v>
      </c>
      <c r="Y264" s="142">
        <v>34</v>
      </c>
      <c r="Z264" s="142">
        <v>16</v>
      </c>
      <c r="AA264" s="142">
        <v>7</v>
      </c>
      <c r="AC264" s="150">
        <v>0</v>
      </c>
      <c r="AD264" s="150">
        <v>18</v>
      </c>
      <c r="AE264" s="150">
        <v>3</v>
      </c>
      <c r="AF264" s="150">
        <v>2</v>
      </c>
      <c r="AG264" s="150">
        <v>11</v>
      </c>
      <c r="AH264" s="25">
        <v>0</v>
      </c>
      <c r="AI264" s="25">
        <v>27</v>
      </c>
      <c r="AJ264" s="25">
        <v>4</v>
      </c>
      <c r="AK264" s="25">
        <v>4</v>
      </c>
      <c r="AL264" s="25">
        <v>15</v>
      </c>
      <c r="AM264" s="140">
        <f t="shared" si="6"/>
        <v>50</v>
      </c>
      <c r="AN264" s="142" t="s">
        <v>823</v>
      </c>
      <c r="AP264" s="142">
        <v>3</v>
      </c>
    </row>
    <row r="265" spans="1:42">
      <c r="B265" s="131" t="s">
        <v>490</v>
      </c>
      <c r="C265" s="135" t="s">
        <v>33</v>
      </c>
      <c r="D265" s="135" t="s">
        <v>33</v>
      </c>
      <c r="E265" s="135" t="s">
        <v>32</v>
      </c>
      <c r="F265" s="135">
        <v>30</v>
      </c>
      <c r="G265" s="176">
        <v>74</v>
      </c>
      <c r="H265" s="176">
        <v>91</v>
      </c>
      <c r="I265" s="176">
        <v>2013</v>
      </c>
      <c r="L265" s="145" t="s">
        <v>1389</v>
      </c>
      <c r="M265" s="142">
        <v>2021</v>
      </c>
      <c r="N265" s="142">
        <v>2</v>
      </c>
      <c r="O265" s="142" t="s">
        <v>509</v>
      </c>
      <c r="P265" s="142" t="s">
        <v>35</v>
      </c>
      <c r="Q265" s="25"/>
      <c r="R265" s="142" t="s">
        <v>30</v>
      </c>
      <c r="S265" s="142" t="s">
        <v>30</v>
      </c>
      <c r="T265" s="142" t="s">
        <v>510</v>
      </c>
      <c r="U265" s="25" t="s">
        <v>101</v>
      </c>
      <c r="V265" s="25">
        <v>28</v>
      </c>
      <c r="W265" s="142">
        <v>2</v>
      </c>
      <c r="X265" s="140">
        <v>8</v>
      </c>
      <c r="Y265" s="142">
        <v>6</v>
      </c>
      <c r="Z265" s="142">
        <v>2</v>
      </c>
      <c r="AA265" s="142">
        <v>2</v>
      </c>
      <c r="AC265" s="150">
        <v>1</v>
      </c>
      <c r="AD265" s="150">
        <v>3</v>
      </c>
      <c r="AE265" s="150">
        <v>0</v>
      </c>
      <c r="AF265" s="150">
        <v>1</v>
      </c>
      <c r="AG265" s="150">
        <v>1</v>
      </c>
      <c r="AH265" s="142">
        <v>1</v>
      </c>
      <c r="AI265" s="142">
        <v>5</v>
      </c>
      <c r="AJ265" s="142">
        <v>0</v>
      </c>
      <c r="AK265" s="142">
        <v>1</v>
      </c>
      <c r="AL265" s="142">
        <v>1</v>
      </c>
      <c r="AM265" s="140">
        <f t="shared" si="6"/>
        <v>8</v>
      </c>
      <c r="AN265" s="142" t="s">
        <v>826</v>
      </c>
      <c r="AP265" s="142">
        <v>0</v>
      </c>
    </row>
    <row r="266" spans="1:42">
      <c r="B266" s="131" t="s">
        <v>490</v>
      </c>
      <c r="C266" s="135" t="s">
        <v>33</v>
      </c>
      <c r="D266" s="135" t="s">
        <v>33</v>
      </c>
      <c r="E266" s="135" t="s">
        <v>32</v>
      </c>
      <c r="F266" s="135">
        <v>30</v>
      </c>
      <c r="G266" s="176">
        <v>74</v>
      </c>
      <c r="H266" s="176">
        <v>91</v>
      </c>
      <c r="I266" s="176">
        <v>2013</v>
      </c>
      <c r="L266" s="145" t="s">
        <v>1390</v>
      </c>
      <c r="M266" s="142">
        <v>2022</v>
      </c>
      <c r="N266" s="142">
        <v>1</v>
      </c>
      <c r="O266" s="142" t="s">
        <v>511</v>
      </c>
      <c r="P266" s="142" t="s">
        <v>28</v>
      </c>
      <c r="Q266" s="142" t="s">
        <v>512</v>
      </c>
      <c r="R266" s="142" t="s">
        <v>30</v>
      </c>
      <c r="S266" s="142" t="s">
        <v>30</v>
      </c>
      <c r="T266" s="142" t="s">
        <v>513</v>
      </c>
      <c r="V266" s="25" t="s">
        <v>822</v>
      </c>
      <c r="W266" s="142">
        <v>6</v>
      </c>
      <c r="X266" s="140">
        <v>21</v>
      </c>
      <c r="Y266" s="142">
        <v>14</v>
      </c>
      <c r="Z266" s="142">
        <v>7</v>
      </c>
      <c r="AA266" s="142">
        <v>6</v>
      </c>
      <c r="AC266" s="150">
        <v>0</v>
      </c>
      <c r="AD266" s="150">
        <v>12</v>
      </c>
      <c r="AE266" s="150">
        <v>0</v>
      </c>
      <c r="AF266" s="150">
        <v>2</v>
      </c>
      <c r="AG266" s="150">
        <v>0</v>
      </c>
      <c r="AH266" s="142">
        <v>2</v>
      </c>
      <c r="AI266" s="142">
        <v>15</v>
      </c>
      <c r="AJ266" s="142">
        <v>0</v>
      </c>
      <c r="AK266" s="142">
        <v>3</v>
      </c>
      <c r="AL266" s="142">
        <v>1</v>
      </c>
      <c r="AM266" s="140">
        <f t="shared" si="6"/>
        <v>21</v>
      </c>
      <c r="AN266" s="142" t="s">
        <v>823</v>
      </c>
      <c r="AP266" s="142">
        <v>2.5</v>
      </c>
    </row>
    <row r="267" spans="1:42">
      <c r="B267" s="131" t="s">
        <v>490</v>
      </c>
      <c r="C267" s="135" t="s">
        <v>33</v>
      </c>
      <c r="D267" s="135" t="s">
        <v>33</v>
      </c>
      <c r="E267" s="135" t="s">
        <v>32</v>
      </c>
      <c r="F267" s="135">
        <v>30</v>
      </c>
      <c r="G267" s="176">
        <v>74</v>
      </c>
      <c r="H267" s="176">
        <v>91</v>
      </c>
      <c r="I267" s="176">
        <v>2013</v>
      </c>
      <c r="L267" s="145" t="s">
        <v>1391</v>
      </c>
      <c r="M267" s="142">
        <v>2022</v>
      </c>
      <c r="N267" s="142">
        <v>1</v>
      </c>
      <c r="O267" s="142" t="s">
        <v>1392</v>
      </c>
      <c r="P267" s="142" t="s">
        <v>28</v>
      </c>
      <c r="Q267" s="25"/>
      <c r="R267" s="142" t="s">
        <v>30</v>
      </c>
      <c r="S267" s="142" t="s">
        <v>30</v>
      </c>
      <c r="T267" s="142" t="s">
        <v>514</v>
      </c>
      <c r="U267" s="25" t="s">
        <v>84</v>
      </c>
      <c r="V267" s="25">
        <v>53</v>
      </c>
      <c r="W267" s="142">
        <v>1</v>
      </c>
      <c r="X267" s="140">
        <v>6</v>
      </c>
      <c r="Y267" s="142">
        <v>3</v>
      </c>
      <c r="Z267" s="142">
        <v>3</v>
      </c>
      <c r="AA267" s="142">
        <v>3</v>
      </c>
      <c r="AC267" s="150">
        <v>0</v>
      </c>
      <c r="AD267" s="150">
        <v>1</v>
      </c>
      <c r="AE267" s="150">
        <v>1</v>
      </c>
      <c r="AF267" s="150">
        <v>0</v>
      </c>
      <c r="AG267" s="150">
        <v>1</v>
      </c>
      <c r="AH267" s="142">
        <v>1</v>
      </c>
      <c r="AI267" s="142">
        <v>2</v>
      </c>
      <c r="AJ267" s="142">
        <v>1</v>
      </c>
      <c r="AK267" s="142">
        <v>0</v>
      </c>
      <c r="AL267" s="142">
        <v>2</v>
      </c>
      <c r="AM267" s="140">
        <f t="shared" si="6"/>
        <v>6</v>
      </c>
      <c r="AN267" s="142" t="s">
        <v>826</v>
      </c>
      <c r="AP267" s="142">
        <v>0</v>
      </c>
    </row>
    <row r="268" spans="1:42">
      <c r="AM268" s="140">
        <f t="shared" si="6"/>
        <v>0</v>
      </c>
    </row>
    <row r="269" spans="1:42">
      <c r="AM269" s="140">
        <f t="shared" si="6"/>
        <v>0</v>
      </c>
    </row>
    <row r="270" spans="1:42">
      <c r="A270" s="142">
        <f>SUM(A7:A258)</f>
        <v>137</v>
      </c>
      <c r="AM270" s="140">
        <f t="shared" si="6"/>
        <v>0</v>
      </c>
    </row>
    <row r="271" spans="1:42">
      <c r="AM271" s="140">
        <f t="shared" si="6"/>
        <v>0</v>
      </c>
    </row>
    <row r="272" spans="1:42">
      <c r="AM272" s="140">
        <f t="shared" si="6"/>
        <v>0</v>
      </c>
    </row>
  </sheetData>
  <autoFilter ref="A1:A272" xr:uid="{01F40E26-2799-4CAA-8A8F-FCAC65D196B3}"/>
  <hyperlinks>
    <hyperlink ref="K7" r:id="rId1" xr:uid="{277EE5F4-41BD-4E31-9F8B-32B6CE6F45C3}"/>
    <hyperlink ref="J107" r:id="rId2" display="https://www.researchgate.net/profile/Mohamed-Abdullah-5" xr:uid="{E6EAC77F-ABE4-4D36-BFDC-6E1867AFADBF}"/>
    <hyperlink ref="K107" r:id="rId3" display="https://www.scopus.com/authid/detail.uri?authorId=57194204370" xr:uid="{69C27EF7-455F-4587-A6EA-4BBA3B53440B}"/>
    <hyperlink ref="L83" r:id="rId4" display="https://www.scopus.com/results/authorNamesList.uri?sort=count-f&amp;src=al&amp;sid=4e39b6709ce5cb2cfd2b48cab939fc41&amp;sot=al&amp;sdt=al&amp;sl=39&amp;s=AUTHLASTNAME%28Riggs%29+AND+AUTHFIRST%28Kyle%29&amp;st1=Riggs&amp;st2=Kyl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0b05e82b33c9d82529483843b1bbe8d" xr:uid="{BA076164-1223-4598-9016-E03EEE06285F}"/>
    <hyperlink ref="J79" r:id="rId5" display="https://pubmed.ncbi.nlm.nih.gov/32506571/" xr:uid="{ACAE024A-D560-4811-9933-C1726032BA04}"/>
    <hyperlink ref="K59" r:id="rId6" display="https://www.scopus.com/results/authorNamesList.uri?sort=count-f&amp;src=al&amp;affilName=columbia&amp;sid=8daa975cc13b807b50d5cd7746240237&amp;sot=al&amp;sdt=al&amp;sl=64&amp;s=AUTHLASTNAME%28Simpson%29+AND+AUTHFIRST%28Michael%29+AND+AFFIL%28columbia%29&amp;st1=Simpson&amp;st2=Michael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9d75e2c9d7cc2d049bf15a875cf2228" xr:uid="{B2F78051-F043-447A-BEC0-BDC862A3C8F5}"/>
    <hyperlink ref="L59" r:id="rId7" display="https://www.researchgate.net/profile/Michael-Simpson-24" xr:uid="{00C36849-1043-4C65-BA61-91C1DE2F3013}"/>
    <hyperlink ref="J15" r:id="rId8" display="https://scholar.google.com/citations?view_op=list_works&amp;hl=en&amp;hl=en&amp;user=PHE7lPsAAAAJ" xr:uid="{E9E692AC-0E81-42BC-8E00-6105C2CAC64C}"/>
    <hyperlink ref="L13" r:id="rId9" xr:uid="{50981924-0131-4B1C-959B-1F4C164B36DF}"/>
    <hyperlink ref="L7" r:id="rId10" xr:uid="{DDFA74BF-D75A-4724-873F-47B0A5BA76D4}"/>
    <hyperlink ref="L180" r:id="rId11" xr:uid="{5328FCEE-E560-4E90-A6F0-25A2ABA96EEF}"/>
    <hyperlink ref="L179" r:id="rId12" xr:uid="{004230B5-3794-433F-9EE2-16CAFE290DA8}"/>
    <hyperlink ref="L11" r:id="rId13" display="https://www.researchgate.net/profile/Hoda-Javadikasgari" xr:uid="{1EA047E9-0625-47CA-871E-7A5EDC4E6D11}"/>
    <hyperlink ref="K11" r:id="rId14" display="https://www.linkedin.com/in/hoda-javadikasgari-3302b5a8/" xr:uid="{9F19DBB6-EA83-486D-9987-F897C20E487E}"/>
    <hyperlink ref="J13" r:id="rId15" display="https://www.researchgate.net/profile/Morgan-Harloff" xr:uid="{448A0E69-2C6A-4C56-B294-6D14E8533A32}"/>
    <hyperlink ref="L12" r:id="rId16" display="https://www.researchgate.net/profile/John-Finnigan-2/research" xr:uid="{CD36EC8D-4E5A-4ACE-9B4B-5B52BCEB88D9}"/>
    <hyperlink ref="K12" r:id="rId17" display="https://www.linkedin.com/in/john-finnigan-aa366212a/" xr:uid="{0AA6BE1C-09DC-4D2F-B96E-CD5AE77B3E6B}"/>
    <hyperlink ref="J14" r:id="rId18" display="https://www.researchgate.net/profile/Philip-Allen" xr:uid="{127DFE7C-BB3F-4C66-BEF6-8790BABA2CC6}"/>
    <hyperlink ref="L14" r:id="rId19" display="https://www.linkedin.com/in/philipallen44/" xr:uid="{E2FDF10F-2EFA-4BAE-B340-F14FA715594C}"/>
    <hyperlink ref="L15" r:id="rId20" display="https://academic.oup.com/tbm/article/12/11/1076/6760369?login=false" xr:uid="{D5AA8748-DF2C-4FE5-8842-240E27E4E829}"/>
    <hyperlink ref="L16" r:id="rId21" display="https://www.linkedin.com/in/andreas-habertheuer-m-d-ph-d-5b14428b/" xr:uid="{658124C4-A01E-4C21-9B9E-37EB0432AEA1}"/>
    <hyperlink ref="L198" r:id="rId22" display="https://www.researchgate.net/profile/Benjamin-Smood" xr:uid="{87716ED1-B396-4AE3-ADBB-B6084B629B6E}"/>
    <hyperlink ref="K197" r:id="rId23" display="https://www.linkedin.com/in/john-kelly-7b690638/" xr:uid="{31E0DE9B-BCB1-4D71-985B-3AC0EDD11310}"/>
    <hyperlink ref="L197" r:id="rId24" display="https://www.researchgate.net/scientific-contributions/John-J-Kelly-2158869492" xr:uid="{1F148D39-00DE-4BC5-8B14-5A90E6046022}"/>
    <hyperlink ref="L184" r:id="rId25" xr:uid="{73199DD7-793C-4776-98A1-269C013ECFAD}"/>
    <hyperlink ref="L183" r:id="rId26" xr:uid="{D2D1A4E1-F8A6-4FA7-90DA-B1270AD01B99}"/>
    <hyperlink ref="L182" r:id="rId27" xr:uid="{5DC8893C-8396-494D-B5E6-342226787B0B}"/>
    <hyperlink ref="L181" r:id="rId28" display="https://www.scopus.com/results/authorNamesList.uri?sort=count-f&amp;src=al&amp;sid=e890ed643f8cd6ff90a12ef312646db7&amp;sot=al&amp;sdt=al&amp;sl=38&amp;s=AUTHLASTNAME%28parr%29+AND+AUTHFIRST%28alan%29&amp;st1=parr&amp;st2=al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841de32af5c87cdf0bb466e1f8bd01f" xr:uid="{6E6DEC5C-B1CA-4C80-8506-F7BC765238E7}"/>
    <hyperlink ref="L175" r:id="rId29" xr:uid="{8F64F1A8-CF14-4BE2-A00B-22D6178F2D19}"/>
    <hyperlink ref="L174" r:id="rId30" xr:uid="{02D76E15-16F5-4B98-9228-EB1BC035C68E}"/>
    <hyperlink ref="L173" r:id="rId31" xr:uid="{7EF58214-7565-48CD-9CE1-3A498DFFFB22}"/>
    <hyperlink ref="L172" r:id="rId32" xr:uid="{BDE0384C-252F-4AF5-8DC8-525869560C8E}"/>
    <hyperlink ref="K196" r:id="rId33" display="https://www.researchgate.net/profile/Amit-Iyengar/research" xr:uid="{C432D856-A0AC-4384-A501-3C207ADAF862}"/>
    <hyperlink ref="L196" r:id="rId34" display="https://www.researchgate.net/scientific-contributions/Amit-Iyengar-2150425943" xr:uid="{E33900AC-E63B-4105-AFA3-208C5C8C137B}"/>
    <hyperlink ref="L195" r:id="rId35" display="https://www.linkedin.com/in/mallorylynnirons/" xr:uid="{C33548B7-E070-4D4D-B6BF-080F15AEC7A2}"/>
    <hyperlink ref="J195" r:id="rId36" display="https://www.researchgate.net/scientific-contributions/Mallory-L-Hunt-2176800469" xr:uid="{99B06FF1-9D64-4721-98A2-DC621876F2E9}"/>
    <hyperlink ref="L194" r:id="rId37" display="https://www.researchgate.net/scientific-contributions/Mark-R-Helmers-2176350176" xr:uid="{BC596558-64CE-4233-9B20-BAC69A4A5F8F}"/>
    <hyperlink ref="J193" r:id="rId38" display="https://www.doximity.com/pub/matthew-woods-md-080c5e98" xr:uid="{5B623004-9C7E-4075-A228-C513D81F5D5A}"/>
    <hyperlink ref="K193" r:id="rId39" display="https://www.researchgate.net/scientific-contributions/MD-Matthew-Woods-2198947985" xr:uid="{33D170B1-7AE8-4950-A21F-141817721DC8}"/>
    <hyperlink ref="L171" r:id="rId40" xr:uid="{48774EA5-4A2E-4D9D-A6E4-5D7C5A90051A}"/>
    <hyperlink ref="L169" r:id="rId41" xr:uid="{6F39C702-4868-421F-AD4C-43DB69F52B05}"/>
    <hyperlink ref="L168" r:id="rId42" xr:uid="{7C432AA3-CFDF-46BC-B93D-8E461F4CF43F}"/>
    <hyperlink ref="L167" r:id="rId43" xr:uid="{1B693C07-0197-404D-808C-66E1C68DF478}"/>
    <hyperlink ref="L166" r:id="rId44" xr:uid="{BF1BC387-EA29-4E87-A952-B752D94A9471}"/>
    <hyperlink ref="L165" r:id="rId45" xr:uid="{AB1E6905-E3C5-4724-8008-BAE0C70D24A3}"/>
    <hyperlink ref="L164" r:id="rId46" xr:uid="{E79E78AD-5147-4817-8B17-94A6C19C202E}"/>
    <hyperlink ref="L163" r:id="rId47" xr:uid="{95FB4755-EFE7-4AD4-8180-4662DCC71D86}"/>
    <hyperlink ref="L162" r:id="rId48" xr:uid="{766B2379-9EC7-4825-98D6-B8BB08D08D24}"/>
    <hyperlink ref="L161" r:id="rId49" xr:uid="{7C5686A6-7B41-4063-AA58-AA867F527F8E}"/>
    <hyperlink ref="L160" r:id="rId50" xr:uid="{BDDD38C6-B3A1-4DE4-8E97-4B4DB32050A0}"/>
    <hyperlink ref="L159" r:id="rId51" xr:uid="{7B281ED3-AB7D-4E0F-8D79-100029B5B155}"/>
    <hyperlink ref="L158" r:id="rId52" xr:uid="{FE6CFEB5-771C-457F-B055-DC2801AF9792}"/>
    <hyperlink ref="K192" r:id="rId53" display="https://www.linkedin.com/in/william-patrick-6b259462/" xr:uid="{EE54468F-29B2-4A5B-A6EC-A60910AEF1E9}"/>
    <hyperlink ref="L192" r:id="rId54" display="https://www.researchgate.net/profile/William-Patrick-2" xr:uid="{922D37C0-8027-4104-88F8-0A8F734EF097}"/>
    <hyperlink ref="K191" r:id="rId55" display="https://www.researchgate.net/scientific-contributions/Jason-J-Han-2177406833" xr:uid="{55146773-6103-4AEE-84AE-03F93EC60162}"/>
    <hyperlink ref="L191" r:id="rId56" display="https://www.researchgate.net/profile/Jason-Han-6" xr:uid="{1A2A3024-2ECD-4D06-915D-E97C6A9EBC9B}"/>
    <hyperlink ref="K190" r:id="rId57" display="https://www.linkedin.com/in/andrew-acker-md-009b3260/" xr:uid="{2B8CD051-064C-4648-8E16-5DAF221D70EC}"/>
    <hyperlink ref="L190" r:id="rId58" display="https://www.researchgate.net/scientific-contributions/Andrew-Acker-2183040219" xr:uid="{5F965208-60C3-458A-8872-5A7D6D78731A}"/>
    <hyperlink ref="J189" r:id="rId59" display="https://www.researchgate.net/scientific-contributions/Nicholas-J-Goel-2161956616" xr:uid="{E750DA38-F80B-46FB-AD5E-CCDAA77B17D1}"/>
    <hyperlink ref="L189" r:id="rId60" display="https://www.researchgate.net/profile/Nicholas-Goel" xr:uid="{18648B9F-A988-402A-BDCA-7B4E220E89DB}"/>
    <hyperlink ref="L188" r:id="rId61" display="https://www.researchgate.net/profile/Michael-Catalano-3" xr:uid="{962904B9-0C4A-4B2B-9315-8612DB17FFBD}"/>
    <hyperlink ref="K187" r:id="rId62" display="https://www.linkedin.com/in/alexandra-sperry-52a913103/" xr:uid="{C31C978C-7118-4097-8036-43A1DED9C8D5}"/>
    <hyperlink ref="L187" r:id="rId63" display="https://www.scopus.com/results/authorNamesList.uri?sort=count-f&amp;src=al&amp;sid=74b09a26e0193eeb3b8fb396fa2f6d91&amp;sot=al&amp;sdt=al&amp;sl=45&amp;s=AUTHLASTNAME%28Sperry%29+AND+AUTHFIRST%28Alexandra%29&amp;st1=Sperry&amp;st2=Alexandr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a0dfd5531d729c5055ca6e91b0b4ee" xr:uid="{13D69B05-BDA4-4D35-AF62-4ACF958C9E25}"/>
    <hyperlink ref="L186" r:id="rId64" display="https://www.pennmedicine.org/departments-and-centers/department-of-surgery/education-and-training/residencies/cardiothoracic-residency/residents/pgy1/matthew-brown" xr:uid="{4520D965-08B2-4C5A-921D-8BF6A0D67E60}"/>
    <hyperlink ref="L157" r:id="rId65" xr:uid="{A43BF207-AAB4-4AB0-A2A8-9D7730B78E52}"/>
    <hyperlink ref="L156" r:id="rId66" xr:uid="{4EAE9D0D-DA97-45D9-9742-ED0A27EE96BB}"/>
    <hyperlink ref="L155" r:id="rId67" xr:uid="{F65705B7-17A5-401F-96B0-832F265EAE62}"/>
    <hyperlink ref="L185" r:id="rId68" xr:uid="{BD28AB9B-9D36-40D0-985F-6FCE693C2F9B}"/>
    <hyperlink ref="L203" r:id="rId69" xr:uid="{584DF631-9742-4829-9FAD-76FD233D8D69}"/>
    <hyperlink ref="K203" r:id="rId70" xr:uid="{F33CA025-3EA1-451B-9E89-3C893C1BDCAB}"/>
    <hyperlink ref="L202" r:id="rId71" display="Khoury AL - Search Results - PubMed (nih.gov)" xr:uid="{EC3966AE-1ABF-4F6B-B2AC-96D2AD834961}"/>
    <hyperlink ref="K201" r:id="rId72" xr:uid="{271B23BA-67A0-4F23-89AB-BCB480280949}"/>
    <hyperlink ref="L201" r:id="rId73" xr:uid="{D6A41E11-B2BA-4185-92F6-225D8E6DB18D}"/>
    <hyperlink ref="L200" r:id="rId74" xr:uid="{0D66BAF1-00C0-40AA-81C1-FBFC99439E2E}"/>
    <hyperlink ref="K199" r:id="rId75" xr:uid="{1806DBBC-28E2-4F7D-8292-90A2EE81F367}"/>
    <hyperlink ref="L199" r:id="rId76" xr:uid="{9E2074D1-E94B-4E8B-9DDC-FAC0456F5BD8}"/>
    <hyperlink ref="L204" r:id="rId77" xr:uid="{23DC24D8-06E3-4D16-BD2B-8653DB9D4B91}"/>
    <hyperlink ref="K205" r:id="rId78" display="https://www.researchgate.net/profile/Ian-Christie-2" xr:uid="{0959DC68-5C1D-4FC3-A74D-A54481267F63}"/>
    <hyperlink ref="L206" r:id="rId79" display="https://www.researchgate.net/profile/Meghan-Turner-2" xr:uid="{DFA984BA-E809-4439-8BF7-A08A8E0D1D6D}"/>
    <hyperlink ref="L207" r:id="rId80" display="https://www.researchgate.net/profile/James-Brown-147" xr:uid="{A846AA9D-64BB-44D3-9D72-226A738EDAA3}"/>
    <hyperlink ref="J208" r:id="rId81" display="https://www.researchgate.net/profile/Mahnoor-Imran-4" xr:uid="{037D6EC9-5295-4EBB-A3A6-2193C4C2C607}"/>
    <hyperlink ref="L208" r:id="rId82" display="https://www.scopus.com/results/authorNamesList.uri?sort=count-f&amp;src=al&amp;sid=b061efdfacd64994b413af35cd5e6a9b&amp;sot=al&amp;sdt=al&amp;sl=42&amp;s=AUTHLASTNAME%28Imran%29+AND+AUTHFIRST%28Mahnoor%29&amp;st1=Imran&amp;st2=Mahnoor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4e84d0a9a06bd137bbf615980e69121" xr:uid="{78D9F385-2120-4D5F-9B2D-A69C14CBD4D1}"/>
    <hyperlink ref="L209" r:id="rId83" display="https://www.researchgate.net/scientific-contributions/Bryant-Fisher-2174737662" xr:uid="{EC0835C9-3E20-4DE0-B254-443FEA31275F}"/>
    <hyperlink ref="J210" r:id="rId84" display="https://orcid.org/0000-0002-6494-599X" xr:uid="{595C701F-0093-4833-BB7B-3F16589889D1}"/>
    <hyperlink ref="K210" r:id="rId85" display="https://www.researchgate.net/scientific-contributions/Rachel-Deitz-2175432506" xr:uid="{672BFAE4-95C4-4559-B6B2-08203318AAC7}"/>
    <hyperlink ref="L210" r:id="rId86" display="https://www.linkedin.com/in/rachel-deitz-m-d-m-p-h-4ab83032/" xr:uid="{32EC0328-1494-439A-B0BA-73794F3B5A28}"/>
    <hyperlink ref="J211" r:id="rId87" display="https://www.linkedin.com/in/sarah-yousef-1a4465240/" xr:uid="{E462D355-80BF-40B5-B604-A96D564D2AAB}"/>
    <hyperlink ref="L211" r:id="rId88" display="https://www.researchgate.net/profile/Sarah-Yousef-6" xr:uid="{EED8D75A-839F-4492-9C33-F2D6C1F671CC}"/>
    <hyperlink ref="L212" r:id="rId89" display="https://www.researchgate.net/profile/Syed-Faaz-Ashraf" xr:uid="{56E82D90-0BD9-4E35-8B9D-65DD3C800B80}"/>
    <hyperlink ref="L213" r:id="rId90" display="https://www.researchgate.net/profile/Nicholas-Hess" xr:uid="{D49A0BF8-16F7-469D-B63A-B73DCEA301EC}"/>
    <hyperlink ref="L214" r:id="rId91" display="https://www.researchgate.net/scientific-contributions/Keith-Dufendach-2135352150" xr:uid="{D79314F1-DDC2-4569-B676-D1D40BAC2D93}"/>
    <hyperlink ref="L152" r:id="rId92" xr:uid="{0D7FEABC-414E-4F4B-A199-E92208A96AD6}"/>
    <hyperlink ref="L153" r:id="rId93" xr:uid="{9E0FB269-86CE-4902-98B6-612C14F8EE96}"/>
    <hyperlink ref="L154" r:id="rId94" xr:uid="{8E5196FD-E0A7-49C7-BCCD-BEF3FDC02904}"/>
    <hyperlink ref="L151" r:id="rId95" xr:uid="{CD2C1853-0487-4D7D-B9E6-69F3CC083FD3}"/>
    <hyperlink ref="L150" r:id="rId96" xr:uid="{7ADD4906-FA48-4D50-816D-0E826B72A2C7}"/>
    <hyperlink ref="L149" r:id="rId97" display="https://www.linkedin.com/in/michael-j-paulsen-md-1216bb61/" xr:uid="{5AC41D3C-F33C-4AEC-AB2E-CB461E65047C}"/>
    <hyperlink ref="L148" r:id="rId98" xr:uid="{79583CBB-62AB-4828-BC50-03226685D404}"/>
    <hyperlink ref="L215" r:id="rId99" display="https://www.researchgate.net/profile/Ernest-Chan" xr:uid="{6CA9691D-E751-43CE-BF52-5A6286FA58ED}"/>
    <hyperlink ref="K216" r:id="rId100" display="https://www.researchgate.net/scientific-contributions/Dongning-Zhang-2199488740" xr:uid="{A701C024-F83A-4FEA-8F2D-411943CBC0FD}"/>
    <hyperlink ref="J216" r:id="rId101" display="https://www.linkedin.com/in/dongning-zhang-19a00a34/" xr:uid="{5BCB26EA-B7F4-45A3-8112-560E46B5265E}"/>
    <hyperlink ref="L216" r:id="rId102" display="https://www.researchgate.net/profile/Dongning-Zhang-4" xr:uid="{A00342DD-C99B-4C74-815A-C9834538CE41}"/>
    <hyperlink ref="L217" r:id="rId103" display="https://www.researchgate.net/scientific-contributions/Chigozirim-N-Ekeke-2152533309" xr:uid="{5027F25C-778D-4ED6-BEB2-17A04B1712F4}"/>
    <hyperlink ref="K218" r:id="rId104" display="https://www.linkedin.com/in/kyla-joubert-515b9932/" xr:uid="{2DD43672-60F6-4EC9-A116-CFDB8E891DEF}"/>
    <hyperlink ref="L147" r:id="rId105" xr:uid="{C959919E-AAFA-426A-9B40-B19B353EF52A}"/>
    <hyperlink ref="L218" r:id="rId106" display="https://www.researchgate.net/scientific-contributions/Kyla-Joubert-2130181388" xr:uid="{96520764-85F5-4D54-A6D4-587862C49C01}"/>
    <hyperlink ref="L219" r:id="rId107" display="https://www.researchgate.net/profile/Laura-Seese" xr:uid="{3F8E4E4C-7893-4E09-BBBF-C6048391FBF7}"/>
    <hyperlink ref="L146" r:id="rId108" xr:uid="{1B06719E-1A2A-4D08-8910-96896035A6C1}"/>
    <hyperlink ref="L145" r:id="rId109" xr:uid="{6315C924-3740-411F-85E2-495B94306A80}"/>
    <hyperlink ref="L144" r:id="rId110" xr:uid="{85FB6BE9-E3CA-4C9A-9AAC-CBD1D8CD6527}"/>
    <hyperlink ref="L143" r:id="rId111" xr:uid="{B827252C-B2CD-4E74-9FCE-F05570B05942}"/>
    <hyperlink ref="L142" r:id="rId112" xr:uid="{D6CBF757-B31E-4872-9A37-59B610F964DF}"/>
    <hyperlink ref="L141" r:id="rId113" xr:uid="{9D615A7B-50C8-4BEC-B6AB-F52350171D9A}"/>
    <hyperlink ref="L140" r:id="rId114" xr:uid="{2C3E8C59-A8AB-45F7-8E0F-BDF84FE271B2}"/>
    <hyperlink ref="L139" r:id="rId115" xr:uid="{CEE115B7-2901-4E6B-91FE-7F3A2BE45C82}"/>
    <hyperlink ref="L138" r:id="rId116" xr:uid="{7496D74D-2B62-41DF-A7E7-3C493E411F8A}"/>
    <hyperlink ref="L137" r:id="rId117" xr:uid="{F027CEDB-C738-46F0-B8D5-21740E9D409E}"/>
    <hyperlink ref="L136" r:id="rId118" xr:uid="{93219943-C60C-44D4-90D4-BA767B192434}"/>
    <hyperlink ref="L135" r:id="rId119" xr:uid="{5497F564-3656-46AB-AB23-EA16CC823EF7}"/>
    <hyperlink ref="L134" r:id="rId120" xr:uid="{BEF05DF0-E299-45E9-BF40-2EF5ACACB3A4}"/>
    <hyperlink ref="L133" r:id="rId121" xr:uid="{5D58B322-14AB-43B6-B528-F48D6CC43144}"/>
    <hyperlink ref="L131" r:id="rId122" xr:uid="{AFE7FB8A-006D-44D3-8A6E-58D1A65B1A36}"/>
    <hyperlink ref="L132" r:id="rId123" xr:uid="{74CB25EA-A578-4717-892C-08E783A0BDD1}"/>
    <hyperlink ref="L130" r:id="rId124" xr:uid="{CC0F09AB-0E08-4CEA-A2B6-1C7DB0E5802E}"/>
    <hyperlink ref="L129" r:id="rId125" xr:uid="{70AA6383-0006-4014-B050-C7D3C683BD09}"/>
    <hyperlink ref="L128" r:id="rId126" xr:uid="{9B0DA4A1-4996-4BA0-BF58-FD94B6C6C8D6}"/>
    <hyperlink ref="L127" r:id="rId127" xr:uid="{727D7FEF-2944-4F3A-8EF7-864AB46489B3}"/>
    <hyperlink ref="L126" r:id="rId128" xr:uid="{96127395-0F34-4BA8-9350-1674A5FAD589}"/>
    <hyperlink ref="L125" r:id="rId129" xr:uid="{A45D987C-6111-4B56-8CA7-BEED31D1B6AF}"/>
    <hyperlink ref="L124" r:id="rId130" xr:uid="{113A4030-53A3-4942-99F9-09940E6DF3A6}"/>
    <hyperlink ref="L123" r:id="rId131" xr:uid="{11ECC1F1-4A37-449E-984C-2090026C488F}"/>
    <hyperlink ref="L121" r:id="rId132" xr:uid="{B9ABACAB-9FE0-4940-A0EE-9E9517E82BA6}"/>
    <hyperlink ref="L122" r:id="rId133" xr:uid="{D4B16331-8745-41F4-9BC3-FFE6346AA7C4}"/>
    <hyperlink ref="L119" r:id="rId134" xr:uid="{41145B5B-7A59-438A-BA50-DD94A93DFBC5}"/>
    <hyperlink ref="L120" r:id="rId135" xr:uid="{093D535E-12B1-4D4D-8E31-3F285EE38F70}"/>
    <hyperlink ref="L118" r:id="rId136" xr:uid="{82BA5773-FE70-4339-8C62-5F711FDA62D7}"/>
    <hyperlink ref="L117" r:id="rId137" xr:uid="{3062EDA0-F766-4EA8-A487-FF2718189EE8}"/>
    <hyperlink ref="L116" r:id="rId138" xr:uid="{35EA1C58-C1B0-49ED-9BC6-FB23A4CF9D27}"/>
    <hyperlink ref="L115" r:id="rId139" xr:uid="{3C580DE5-3468-498E-88F1-CA059281E9C2}"/>
    <hyperlink ref="L114" r:id="rId140" xr:uid="{A72F6B25-3AEF-4986-BCDA-97CAFB94005A}"/>
    <hyperlink ref="L113" r:id="rId141" xr:uid="{03148C99-6D12-4A72-B502-CF734F788DB7}"/>
    <hyperlink ref="L112" r:id="rId142" xr:uid="{6B3A0819-5F68-4AED-8E9E-3D2D46B608A4}"/>
    <hyperlink ref="L111" r:id="rId143" xr:uid="{9839B2E4-87D4-4D00-9386-331DB80D8D57}"/>
    <hyperlink ref="L109" r:id="rId144" xr:uid="{15AE114F-4D29-4E2F-A297-4B821F39CCF3}"/>
    <hyperlink ref="L108" r:id="rId145" xr:uid="{8BF21A0F-4B99-4EAE-893E-1B599F8FF92A}"/>
    <hyperlink ref="L107" r:id="rId146" xr:uid="{10E88150-71F4-44D1-8400-6BE19272536B}"/>
    <hyperlink ref="L105" r:id="rId147" xr:uid="{6AE39A5A-C95D-4D5D-80F9-57BE9732670D}"/>
    <hyperlink ref="J231" r:id="rId148" display="https://www.researchgate.net/profile/Brittany-Abt/research" xr:uid="{43889F44-203E-484A-AC4E-B723EEDBA58D}"/>
    <hyperlink ref="K231" r:id="rId149" display="https://www.linkedin.com/in/brittany-abt-930487151/" xr:uid="{79CD379B-5A7F-45E6-A339-F681B8541C1A}"/>
    <hyperlink ref="L231" r:id="rId150" display="https://www.researchgate.net/profile/Brittany-Abt" xr:uid="{B4DAA8DF-593E-4636-8892-064517EB69B8}"/>
    <hyperlink ref="L230" r:id="rId151" display="https://www.linkedin.com/in/david-fields-md-3643b821a/" xr:uid="{BFC4E44F-FF04-45F1-A85C-AD6476CF2408}"/>
    <hyperlink ref="L228" r:id="rId152" display="https://www.researchgate.net/scientific-contributions/William-Oslund-72431922" xr:uid="{6511999E-F69F-43FD-8439-600C586D47ED}"/>
    <hyperlink ref="L227" r:id="rId153" display="https://www.researchgate.net/profile/Anna-Olds" xr:uid="{69F4AF2D-DF00-4ED7-8127-C5BBFC5EC5CE}"/>
    <hyperlink ref="L226" r:id="rId154" display="https://www.researchgate.net/scientific-contributions/Kayvan-Kazerouni-2048218131" xr:uid="{6A44CB9D-84E8-4107-8111-61407EDA3668}"/>
    <hyperlink ref="L225" r:id="rId155" display="https://www.scopus.com/results/authorNamesList.uri?sort=count-f&amp;src=al&amp;sid=ebfb0987a2a48d0ff3a4984a2443d21e&amp;sot=al&amp;sdt=al&amp;sl=43&amp;s=AUTHLASTNAME%28Mitchell%29+AND+AUTHFIRST%28Chace%29&amp;st1=Mitchell&amp;st2=Chac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1bb110bc3b1bf05a8ead9df5af17578" xr:uid="{16DBE164-B58B-48C3-8DF8-8DCC7329B5CB}"/>
    <hyperlink ref="K224" r:id="rId156" display="https://drexel.edu/dornsife/students/student-stories/Combining-Cardiology-and-Public-Health-to-Help-Communities/" xr:uid="{21179485-F6D8-4782-9D74-741BCC39AE88}"/>
    <hyperlink ref="L224" r:id="rId157" display="https://www.researchgate.net/scientific-contributions/Markian-Bojko-2248770028" xr:uid="{4412ACB4-C1F0-430E-BC5C-304355D3746E}"/>
    <hyperlink ref="K223" r:id="rId158" display="https://www.linkedin.com/in/lynette-lester-15796a99/" xr:uid="{3EFD6E04-B709-44E3-923B-F7BCEDC064D5}"/>
    <hyperlink ref="L223" r:id="rId159" display="https://www.scopus.com/authid/detail.uri?authorId=57206774569" xr:uid="{E124C6E9-C2A6-4C38-BE79-AC0C4ED952EA}"/>
    <hyperlink ref="L222" r:id="rId160" display="https://www.scopus.com/authid/detail.uri?authorId=57223140062" xr:uid="{64AC0FDF-B8E8-41F8-A933-F9F956508DFA}"/>
    <hyperlink ref="L220" r:id="rId161" display="https://www.linkedin.com/in/valeriehuangg/" xr:uid="{A4C0A95A-571C-418C-8EE2-A04344762A2D}"/>
    <hyperlink ref="L103" r:id="rId162" xr:uid="{BAD18A7C-2558-428F-87ED-517EB4FA965D}"/>
    <hyperlink ref="L102" r:id="rId163" xr:uid="{9F889C8D-1D3F-4CDA-8373-CA8F21DBCAA2}"/>
    <hyperlink ref="L82" r:id="rId164" xr:uid="{D051594E-EEBA-4C0A-973C-FC854F92049B}"/>
    <hyperlink ref="L81" r:id="rId165" xr:uid="{08C643DA-2D20-4A43-A1D9-C7F6154418E4}"/>
    <hyperlink ref="L80" r:id="rId166" xr:uid="{23171EDA-6EB5-43B7-BAB8-9D79069A0736}"/>
    <hyperlink ref="L79" r:id="rId167" xr:uid="{EA50CC3E-0088-48B4-A969-2368FCD146F6}"/>
    <hyperlink ref="L77" r:id="rId168" xr:uid="{E161B59F-2ED9-4071-9620-B935647F5447}"/>
    <hyperlink ref="L76" r:id="rId169" xr:uid="{6EFDE8E8-F442-4454-9C54-3B631EB01ABD}"/>
    <hyperlink ref="L94" r:id="rId170" xr:uid="{ED92CEFC-7A4A-4A49-B756-E63853A9BD75}"/>
    <hyperlink ref="L91" r:id="rId171" xr:uid="{E5B68244-A1CE-4A25-A646-FC3E1CB0EFAE}"/>
    <hyperlink ref="L90" r:id="rId172" xr:uid="{84B51134-27B4-482E-B5C0-6E6166C984F0}"/>
    <hyperlink ref="L237" r:id="rId173" xr:uid="{97FA78EE-2DF9-41FE-996E-AF2B9CFEB409}"/>
    <hyperlink ref="L236" r:id="rId174" xr:uid="{6EB43A38-46D4-4B92-8982-093558DB7408}"/>
    <hyperlink ref="L235" r:id="rId175" xr:uid="{A6A5257F-B483-4F85-8FDB-25D5E278DAAF}"/>
    <hyperlink ref="L234" r:id="rId176" xr:uid="{9F9A5CC9-0677-4B00-AF4A-995122E92F77}"/>
    <hyperlink ref="L233" r:id="rId177" xr:uid="{76D7E38F-C0B2-4EC6-8641-64029DD6E4F5}"/>
    <hyperlink ref="L232" r:id="rId178" xr:uid="{79E58D91-1F6C-416B-8DC5-B86B1E98989A}"/>
    <hyperlink ref="L88" r:id="rId179" xr:uid="{643A8684-D1B2-40BA-B28A-0E6927DEADBB}"/>
    <hyperlink ref="L87" r:id="rId180" xr:uid="{399ECEB7-DB13-488D-8448-096D1DB68F2F}"/>
    <hyperlink ref="L86" r:id="rId181" xr:uid="{A6E3981E-5071-4F21-81C2-791BD6D68940}"/>
    <hyperlink ref="L239" r:id="rId182" display="https://www.scopus.com/authid/detail.uri?authorId=57004339900" xr:uid="{42035230-2759-4261-9157-0A0093191CAA}"/>
    <hyperlink ref="L238" r:id="rId183" display="https://www.linkedin.com/in/joseph-heiler-31b320184/" xr:uid="{507A5821-AB96-4D8A-82F3-B3C657EC80F2}"/>
    <hyperlink ref="L240" r:id="rId184" display="https://www.researchgate.net/scientific-contributions/Jared-P-Beller-2164235785" xr:uid="{86CB3CE1-C0AB-4DEF-8C30-75AD070B91A1}"/>
    <hyperlink ref="K241" r:id="rId185" display="https://www.researchgate.net/profile/Jared-Beller" xr:uid="{8590CB37-EE2E-4F4F-8741-6E7D2BDE1820}"/>
    <hyperlink ref="L241" r:id="rId186" display="https://www.researchgate.net/scientific-contributions/Jolian-Dahl-2151611953" xr:uid="{10C5CCAE-8724-4C1B-8EB8-A317C1EBCBB4}"/>
    <hyperlink ref="L242" r:id="rId187" display="https://www.linkedin.com/in/erikjscott/" xr:uid="{DA29E8D9-D762-4849-8951-A87591F191F2}"/>
    <hyperlink ref="L243" r:id="rId188" display="https://www.linkedin.com/in/evan-rotar-a6315289/" xr:uid="{10E56A23-4A6D-4806-AC52-A8D75AF68EED}"/>
    <hyperlink ref="L244" r:id="rId189" display="https://www.linkedin.com/in/raymond-strobel/" xr:uid="{87EBD039-DBD8-4A40-A798-50503DFD03EF}"/>
    <hyperlink ref="L85" r:id="rId190" xr:uid="{7F0A7B2C-3C84-48F0-8776-29F29E9D5734}"/>
    <hyperlink ref="L84" r:id="rId191" xr:uid="{C8B490D3-58D0-44CE-85ED-BEFE08D922B7}"/>
    <hyperlink ref="L245" r:id="rId192" display="https://www.linkedin.com/in/alex-wisniewski-41b825a5/" xr:uid="{4487722C-EF67-4261-A81E-891F44DEFB8A}"/>
    <hyperlink ref="L246" r:id="rId193" display="https://www.researchgate.net/scientific-contributions/Steven-Young-2176896336" xr:uid="{5E5EED4A-7899-4322-B91D-033B7514A8A9}"/>
    <hyperlink ref="L247" r:id="rId194" xr:uid="{FE395739-FD36-4108-9452-6A882D2E6859}"/>
    <hyperlink ref="O232" r:id="rId195" display="https://lsom.uthscsa.edu/ct-surgery/team-member/hope-cordova-do/" xr:uid="{E985CF2C-2E7B-4BC6-AF61-9F9E3DD36EB9}"/>
    <hyperlink ref="O233" r:id="rId196" display="https://lsom.uthscsa.edu/ct-surgery/team-member/hope-cordova-do/" xr:uid="{B3394D6A-9B3E-44D3-ABAA-BBE412163AF4}"/>
    <hyperlink ref="O234" r:id="rId197" display="https://lsom.uthscsa.edu/ct-surgery/team-member/connor-mcdonald-md/" xr:uid="{FE98091F-EB84-4620-B4A3-ACBD2B560381}"/>
    <hyperlink ref="O235" r:id="rId198" display="https://lsom.uthscsa.edu/ct-surgery/team-member/carolyn-dubeau-md/" xr:uid="{CEBB885F-DA7E-42A2-97B3-493BC9817850}"/>
    <hyperlink ref="O236" r:id="rId199" display="https://lsom.uthscsa.edu/ct-surgery/team-member/aakash-shah-md/" xr:uid="{01BD5C69-8F6B-4E4D-A5C7-2429681FDC2B}"/>
    <hyperlink ref="O237" r:id="rId200" display="https://lsom.uthscsa.edu/ct-surgery/team-member/anne-sandstrom-md/" xr:uid="{3E3962CE-3C96-4518-BF98-71846B1BDC98}"/>
    <hyperlink ref="O238" r:id="rId201" tooltip="Joseph Heiler" display="https://medicine.utah.edu/surgery/residents/joseph-heiler" xr:uid="{E3F0F1FB-67EB-41D4-ADDA-17D9152DA1D5}"/>
    <hyperlink ref="L248" r:id="rId202" display="https://www.scopus.com/results/authorNamesList.uri?sort=count-f&amp;src=al&amp;sid=378a44d2b09beb297ab77a6d593ac3d4&amp;sot=al&amp;sdt=al&amp;sl=37&amp;s=AUTHLASTNAME%28Xue%29+AND+AUTHFIRST%28Anna%29&amp;st1=Xue&amp;st2=Ann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d07365f05794eb26d4faf443019f396" xr:uid="{3AFF8F03-DFD1-47FD-AE00-35E1E6E78919}"/>
    <hyperlink ref="L89" r:id="rId203" xr:uid="{C59EAECE-C9B6-4B80-97AF-B34C153AF4A6}"/>
    <hyperlink ref="L249" r:id="rId204" display="https://www.researchgate.net/scientific-contributions/Melissa-Blaker-2191799950" xr:uid="{5A1503DF-FBB7-4485-849C-8A9EF8BE793B}"/>
    <hyperlink ref="L251" r:id="rId205" display="https://www.scopus.com/results/authorNamesList.uri?sort=count-f&amp;src=al&amp;affilName=Davis&amp;sid=e98d9933295d480f309835df3c2f2f24&amp;sot=al&amp;sdt=al&amp;sl=56&amp;s=AUTHLASTNAME%28chen%29+AND+AUTHFIRST%28sarah%29+AND+AFFIL%28Davis%29&amp;st1=chen&amp;st2=sarah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7977dfa7d9f797e7da4244dde4dc4e0" xr:uid="{D4D94A94-669A-436C-9A90-56511A7449E9}"/>
    <hyperlink ref="L252" r:id="rId206" display="https://www.scopus.com/results/authorNamesList.uri?sort=count-f&amp;src=al&amp;sid=a2b91f9705b644fc86010213d99020e7&amp;sot=al&amp;sdt=al&amp;sl=43&amp;s=AUTHLASTNAME%28Anderson%29+AND+AUTHFIRST%28Devon%29&amp;st1=Anderson&amp;st2=Devo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b085ea0aabdecfb22c559aa55c1307db" xr:uid="{2A05AA1E-C9D8-4DFC-B0F1-8A47BD298080}"/>
    <hyperlink ref="L75" r:id="rId207" xr:uid="{B248B11D-7745-46F3-AB59-B374DB5DEE10}"/>
    <hyperlink ref="L253" r:id="rId208" display="https://twitter.com/JonathanHyde_3" xr:uid="{9D03A3C2-B885-4367-8410-E0C5201C6DFE}"/>
    <hyperlink ref="L254" r:id="rId209" display="https://www.researchgate.net/scientific-contributions/Bret-Gary-Degraaff-2166551708" xr:uid="{6814B379-802C-4672-8A55-2B4FB6037AF4}"/>
    <hyperlink ref="L267" r:id="rId210" xr:uid="{7904A22C-DDF4-4EB2-841C-7D619E34C932}"/>
    <hyperlink ref="L265" r:id="rId211" display="Dustin Lieu's research works | University of Southern California, California (USC) and other places (researchgate.net)" xr:uid="{67A5FA4B-93FF-4CE5-86BE-2B9688EF1599}"/>
    <hyperlink ref="L264" r:id="rId212" xr:uid="{4F3E5192-E47F-4699-BE46-A9D1C24DAB7D}"/>
    <hyperlink ref="L263" r:id="rId213" xr:uid="{CB5CBB25-1680-467B-AE79-E7D5F65DDCA5}"/>
    <hyperlink ref="L262" r:id="rId214" xr:uid="{88F638AA-A233-4C1C-83ED-AC8B7F645A64}"/>
    <hyperlink ref="L261" r:id="rId215" display="Syed Usman Bin Mahmood | LinkedIn" xr:uid="{44F09326-5CB0-4EFC-BE4D-992F6C5CED86}"/>
    <hyperlink ref="L260" r:id="rId216" xr:uid="{7C263E8D-CCEE-4A03-A8B5-C08EECDF6A90}"/>
    <hyperlink ref="L259" r:id="rId217" display="Alex Sotolongo's research works | Yale-New Haven Hospital, New Haven (YNHH) and other places (researchgate.net)" xr:uid="{09C5D8E8-C85B-49AC-820E-4EFDBDAA4F72}"/>
    <hyperlink ref="L258" r:id="rId218" display="Matthew D. Pichert's research works | Yale University, CT (YU) and other places (researchgate.net)" xr:uid="{75323D2B-F8D5-49F3-93A5-C0B6EF9F38ED}"/>
    <hyperlink ref="L257" r:id="rId219" display="Dishen Lin's research works | Yale-New Haven Hospital, New Haven (YNHH) and other places (researchgate.net)" xr:uid="{32EA714C-A1EE-497F-BF82-A86F828B5468}"/>
    <hyperlink ref="L256" r:id="rId220" display="(25) Saket Singh | LinkedIn" xr:uid="{C4960DEE-7C02-4B1A-9CA5-E856DD0FC34E}"/>
    <hyperlink ref="L255" r:id="rId221" xr:uid="{34CE31E5-B3D4-4AAA-B03E-6F1AB84B42F3}"/>
    <hyperlink ref="L74" r:id="rId222" xr:uid="{813B427B-FADA-4ADD-AC9B-DAEC23A5D70A}"/>
    <hyperlink ref="L73" r:id="rId223" xr:uid="{3854EE26-B1AF-4BBF-A414-534C3D04EBD5}"/>
    <hyperlink ref="L72" r:id="rId224" xr:uid="{D1F0A8AC-55CE-4BC4-AD40-4B72E3FCBF13}"/>
    <hyperlink ref="L71" r:id="rId225" xr:uid="{FE872A3E-5535-4158-9072-99949EF101C1}"/>
    <hyperlink ref="L70" r:id="rId226" xr:uid="{2E6A13B8-B1FE-4E30-8E61-A2A811A81C83}"/>
    <hyperlink ref="L69" r:id="rId227" xr:uid="{BB2F91AB-AEA9-4A01-809D-24FE4085DC08}"/>
    <hyperlink ref="L68" r:id="rId228" xr:uid="{06CF6843-F80A-43AB-AB21-FD700B86FC76}"/>
    <hyperlink ref="L266" r:id="rId229" xr:uid="{3B2B40FF-61F8-4FF5-B87C-F25386411364}"/>
    <hyperlink ref="L64" r:id="rId230" display="https://surgery.duke.edu/profile/andrew-vekstein" xr:uid="{E3E9E399-8FDF-47FF-A719-68E17E21DD81}"/>
    <hyperlink ref="L65" r:id="rId231" display="https://surgery.duke.edu/profile/julie-doberne" xr:uid="{27431512-1ACD-44E1-B329-2F09EB1ABEEB}"/>
    <hyperlink ref="L66" r:id="rId232" display="https://surgery.duke.edu/profile/muath-bishawi" xr:uid="{4CABF217-89F4-4ADA-9522-CACE15AD8859}"/>
    <hyperlink ref="L63" r:id="rId233" display="https://www.researchgate.net/scientific-contributions/Abigail-R-Benkert-2214886224" xr:uid="{FAA3B534-F92B-422F-A2D3-0C1E11BBCF20}"/>
    <hyperlink ref="L62" r:id="rId234" display="https://www.linkedin.com/in/ramak-khosravi/" xr:uid="{0EEF8748-7D2F-4AFD-8F42-9F2CCFFC5B29}"/>
    <hyperlink ref="L60" r:id="rId235" display="https://twitter.com/UmAvielB" xr:uid="{4F65591C-E92D-40EA-B294-653D53D604A3}"/>
    <hyperlink ref="L61" r:id="rId236" display="https://www.researchgate.net/profile/Jacqueline-K-Olive/research" xr:uid="{7D026B7C-B31F-4EAE-9DD8-629D384D1E89}"/>
    <hyperlink ref="L58" r:id="rId237" display="https://www.scopus.com/authid/detail.uri?authorId=57193518561" xr:uid="{2AC67F26-0A20-495B-8AB0-1836966A7AC4}"/>
    <hyperlink ref="L51" r:id="rId238" display="https://www.researchgate.net/publication/354033053_Outcomes_and_Reintervention_After_Repair_of_Type_I_Aortic_Dissection" xr:uid="{6EAA21CB-1C3C-492C-BC66-ADF9194175C3}"/>
    <hyperlink ref="L52" r:id="rId239" display="https://www.researchgate.net/scientific-contributions/Sameer-K-Singh-2179284160" xr:uid="{7594473E-E1E9-46AA-88F2-9DA05D25B75F}"/>
    <hyperlink ref="L53" r:id="rId240" display="https://www.researchgate.net/scientific-contributions/Stephanie-N-Nguyen-2175971361" xr:uid="{98BD9A79-450F-4B9D-8A76-31E5BF27C637}"/>
    <hyperlink ref="L54" r:id="rId241" display="https://www.linkedin.com/in/michael-salna-949b061b2/" xr:uid="{E21B4BF3-9097-4A09-97F1-EF6866F11948}"/>
    <hyperlink ref="L55" r:id="rId242" display="https://www.researchgate.net/profile/David-Blitzer-3" xr:uid="{36C42187-5290-40D8-B048-63754957B08E}"/>
    <hyperlink ref="L56" r:id="rId243" xr:uid="{540170A9-8DB2-4ED9-9A29-43FD76AEF652}"/>
    <hyperlink ref="L57" r:id="rId244" display="https://www.researchgate.net/scientific-contributions/Yuting-Chiang-2167642190" xr:uid="{1ED500BA-E28D-4CEB-8690-D50E8D15832F}"/>
    <hyperlink ref="L50" r:id="rId245" display="https://www.researchgate.net/scientific-contributions/Morgan-K-Moroi-2181015221" xr:uid="{A8447C5C-FBCC-4775-A615-06AB680AD08E}"/>
    <hyperlink ref="L49" r:id="rId246" display="https://www.linkedin.com/in/isao-anzai-md-768175172/" xr:uid="{F4E659AE-5B12-4D39-8113-49F67EE4B961}"/>
    <hyperlink ref="L46" r:id="rId247" display="https://www.researchgate.net/scientific-contributions/William-M-Mitchell-2201244441" xr:uid="{827E102B-126D-4DE0-B1E1-A74D0A43F4E5}"/>
    <hyperlink ref="L47" r:id="rId248" display="https://www.scopus.com/authid/detail.uri?authorId=57205391612" xr:uid="{7DD8E325-28C3-4AFA-801F-A9B7F57AA8BF}"/>
    <hyperlink ref="L48" r:id="rId249" display="https://www.linkedin.com/in/nasim-azizgolshani-1643152a/" xr:uid="{2EFF875A-3576-4C8E-97DA-6C22B187D57A}"/>
    <hyperlink ref="L45" r:id="rId250" display="https://www.scopus.com/authid/detail.uri?authorId=52564474000" xr:uid="{1BEC183D-8D11-4CA1-8322-5496EAB840ED}"/>
    <hyperlink ref="L44" r:id="rId251" display="https://www.researchgate.net/scientific-contributions/Viral-C-Patel-2114239437" xr:uid="{AB3C32F8-8C6A-4CEB-B4EA-7C30682EA083}"/>
    <hyperlink ref="L43" r:id="rId252" display="https://www.scopus.com/authid/detail.uri?authorId=57191072412" xr:uid="{761335E7-EE58-4CB8-9EC7-32D804585B4E}"/>
    <hyperlink ref="L42" r:id="rId253" display="https://www.researchgate.net/profile/Frank-Cikach" xr:uid="{9E948629-2407-493C-B0A7-607C5EF15908}"/>
    <hyperlink ref="L41" r:id="rId254" display="https://www.linkedin.com/in/karolis-bauza-41401280/" xr:uid="{2049D4BA-1BE9-42A8-8C96-627E52A07AA3}"/>
    <hyperlink ref="L40" r:id="rId255" display="https://www.linkedin.com/in/james-witten-06340531/" xr:uid="{2CDF2EAE-54B8-41D0-B0F5-9051D2F7CAC7}"/>
    <hyperlink ref="L39" r:id="rId256" display="https://www.researchgate.net/profile/Juan-Umana-Pizano" xr:uid="{9CD248B3-9D10-4589-ADBD-2FA3CC57EF5F}"/>
    <hyperlink ref="L38" r:id="rId257" display="https://www.researchgate.net/scientific-contributions/Nicholas-A-Oh-2186232339" xr:uid="{21B3B7AB-9B0F-442D-968F-C6626F02C434}"/>
    <hyperlink ref="L37" r:id="rId258" display="https://www.researchgate.net/profile/Shawn-Shah" xr:uid="{063CA42D-0DDD-425B-A9A4-8845C861A11F}"/>
    <hyperlink ref="L36" r:id="rId259" display="https://www.scopus.com/authid/detail.uri?authorId=57202007477" xr:uid="{3CA4ED89-FBF6-42B5-A333-EAD0E2738BDA}"/>
    <hyperlink ref="L34" r:id="rId260" display="https://www.linkedin.com/in/benyyang/" xr:uid="{FE833A27-AF06-4ACA-83E4-544FCB72BF66}"/>
    <hyperlink ref="L35" r:id="rId261" xr:uid="{E40D3EC9-7AFF-4A7D-9D6A-0172C2584DD9}"/>
    <hyperlink ref="L33" r:id="rId262" display="https://www.scopus.com/authid/detail.uri?authorId=57208900999" xr:uid="{8E68324E-3E89-481C-99A5-E09F958BDFFB}"/>
    <hyperlink ref="L32" r:id="rId263" display="https://www.researchgate.net/profile/William-Frankel" xr:uid="{BC564F11-1575-4373-8D22-B6318B6C5554}"/>
    <hyperlink ref="L31" r:id="rId264" display="https://www.researchgate.net/scientific-contributions/Emily-Vianna-2234166753" xr:uid="{D7D13936-A026-4FB3-8265-CD44A2D2DBDD}"/>
    <hyperlink ref="L29" r:id="rId265" display="https://scholar.google.com/citations?hl=en&amp;user=nh2ExRYAAAAJ&amp;view_op=list_works&amp;gmla=AJsN-F5aLkXR0bP" xr:uid="{B0E78F6C-309C-4B14-B7DA-679ED878BC92}"/>
    <hyperlink ref="L30" r:id="rId266" display="https://www.linkedin.com/in/rohun-bhagat-b08530bb/" xr:uid="{141F5794-5DC5-4B90-8F52-2D672FEA1CF0}"/>
    <hyperlink ref="L28" r:id="rId267" display="https://www.researchgate.net/scientific-contributions/James-Bailey-2223603216" xr:uid="{0E97584E-810F-4CE8-9EF4-7143684FFAA7}"/>
    <hyperlink ref="L27" r:id="rId268" display="https://www.researchgate.net/scientific-contributions/James-A-Miller-2196477269" xr:uid="{3139C634-FB1F-45BA-822A-1EB41152BBA4}"/>
    <hyperlink ref="L25" r:id="rId269" display="https://www.scopus.com/authid/detail.uri?authorId=57209216975" xr:uid="{F1989CBC-A494-486D-8BA7-C2981D0CF5FC}"/>
    <hyperlink ref="L24" r:id="rId270" display="https://www.researchgate.net/scientific-contributions/Keaton-Cooley-Rieders-2174603319" xr:uid="{8D108F6F-8B33-430F-AEAC-7D972E0618BA}"/>
    <hyperlink ref="L22" r:id="rId271" display="https://scholar.google.com/citations?user=vJJFv3YAAAAJ" xr:uid="{080BBC9C-AE49-4F43-9986-DF74D0AC002E}"/>
    <hyperlink ref="L21" r:id="rId272" display="https://www.linkedin.com/in/ali-own-b57a4475/" xr:uid="{D95D5A9C-60D5-420C-808F-3653C2DB99EE}"/>
    <hyperlink ref="L19" r:id="rId273" display="https://www.researchgate.net/profile/Rishab-Humar" xr:uid="{374260F9-940D-454F-B75D-DEB583897930}"/>
    <hyperlink ref="L20" r:id="rId274" display="https://www.linkedin.com/in/jad-malas-553a361b5/" xr:uid="{A8027E84-37B9-4C8B-8D69-F70145BA112A}"/>
    <hyperlink ref="L18" r:id="rId275" display="https://www.linkedin.com/in/brian-lim-68065352/" xr:uid="{44261B38-8AC9-4E0A-A02E-C50C0B835094}"/>
    <hyperlink ref="L17" r:id="rId276" display="https://www.researchgate.net/scientific-contributions/Andy-Dong-2117201042" xr:uid="{B367F1D3-9432-4438-BF31-A8186C4DDEC5}"/>
    <hyperlink ref="L6" r:id="rId277" display="https://www.researchgate.net/profile/Andrea-Liebowitz" xr:uid="{56329F82-2E0F-4571-920D-95A3895A4C64}"/>
    <hyperlink ref="L2" r:id="rId278" display="https://www.linkedin.com/in/monika-halas-md-698a71131/details/experience/" xr:uid="{AC951E8A-371A-431C-B22B-3B9EB229AA1E}"/>
    <hyperlink ref="J96" r:id="rId279" display="https://www.umms.org/ummc/pros/gme/residency/cardiothoracic-surgery/residents" xr:uid="{00058D3B-C443-49E2-BDC9-C94C1C62109F}"/>
    <hyperlink ref="O101" r:id="rId280" display="https://pubmed.ncbi.nlm.nih.gov/?term=Naselsky+W" xr:uid="{4F7955E3-67CD-45D7-8B82-8AB8E9946C30}"/>
    <hyperlink ref="L101" r:id="rId281" display="https://www.linkedin.com/in/warren-naselsky/" xr:uid="{0DAAD821-5D75-43E2-86D9-54ECF75E951F}"/>
    <hyperlink ref="J101" r:id="rId282" display="https://www.researchgate.net/scientific-contributions/Warren-Naselsky-2189255412" xr:uid="{4C3F38F1-633D-4D87-9EF3-E6392E319742}"/>
    <hyperlink ref="L95" r:id="rId283" display="https://www.researchgate.net/profile/Darren-Haskett" xr:uid="{203B5A64-2C9A-484E-A039-DB26563DF293}"/>
    <hyperlink ref="K229" r:id="rId284" display="https://www.researchgate.net/scientific-contributions/J-Alexander-Weston-2149165120" xr:uid="{D4FAA48C-5D7D-4F63-9F2B-D02AB87A034F}"/>
    <hyperlink ref="J229" r:id="rId285" display="https://pubmed.ncbi.nlm.nih.gov/?term=Weston+JA&amp;filter=datesearch.y_10" xr:uid="{52F4C1C2-08E7-43C2-B683-3E0CF70D804C}"/>
    <hyperlink ref="J230" r:id="rId286" display="https://www.researchgate.net/scientific-contributions/David-W-Fields-71297589" xr:uid="{26D2FD2D-6FE5-4D18-9741-7FC836F63F7C}"/>
    <hyperlink ref="K2" r:id="rId287" xr:uid="{794D9592-6571-4D70-8364-70BFE51D18E7}"/>
    <hyperlink ref="K3" r:id="rId288" xr:uid="{82EF282F-3749-4495-A0DE-21D9EC8E797C}"/>
    <hyperlink ref="K5" r:id="rId289" display="https://www.scopus.com/results/authorNamesList.uri?sort=count-f&amp;src=al&amp;sid=ea35dee77e1373fefc6461d9171736d4&amp;sot=al&amp;sdt=al&amp;sl=47&amp;s=AUTHLASTNAME%28schloss%29+AND+AUTHFIRST%28maximilian%29&amp;st1=schloss&amp;st2=maximili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f46269cef16e986c50c641e7ea4cddde" xr:uid="{83618990-CD3C-4009-A189-DD5FE5A81B8A}"/>
    <hyperlink ref="L10" r:id="rId290" xr:uid="{BC1032D2-3D23-4417-B8EA-EF35FC3EFD0F}"/>
    <hyperlink ref="J16" r:id="rId291" xr:uid="{82F443DA-5FC4-4C65-89D7-182C35428AE1}"/>
    <hyperlink ref="L26" r:id="rId292" xr:uid="{7A5660EC-2786-416F-81F2-FA59E6A483B8}"/>
    <hyperlink ref="J80" r:id="rId293" display="https://www.researchgate.net/profile/Dan-Lambert-2/research" xr:uid="{D207C59F-167A-4649-9FA6-FFDB55B7E70F}"/>
    <hyperlink ref="K94" r:id="rId294" xr:uid="{75D51B33-879A-4698-9AB9-0907E58130C2}"/>
    <hyperlink ref="K122" r:id="rId295" display="https://www.researchgate.net/profile/Jennie_Kwon" xr:uid="{7CCF07D5-6DFE-47ED-93C7-C0A72CC881FB}"/>
    <hyperlink ref="J138" r:id="rId296" display="https://www.researchgate.net/scientific-contributions/Kelly-Higa-2132581778" xr:uid="{CB53CA2D-B9D1-4D33-AF7C-D6D2A72BDF81}"/>
    <hyperlink ref="J144" r:id="rId297" display="https://pubmed.ncbi.nlm.nih.gov/?term=Obafemi%2C+Oluwatomisin&amp;sort=pubdate" xr:uid="{64E35FC4-4E2F-4EC2-9CC4-A0C2A565C417}"/>
    <hyperlink ref="J146" r:id="rId298" xr:uid="{C503F821-DF80-42E2-AFE2-610011A5AC5D}"/>
    <hyperlink ref="J149" r:id="rId299" xr:uid="{EE2AA87B-33E1-4A42-9A9C-CD3EA020D88B}"/>
    <hyperlink ref="J168" r:id="rId300" display="https://www.doximity.com/profiles/ed93cfc5-0a6a-4295-a3dd-db4f70b6ef8f/view" xr:uid="{B1B7F24C-6C5B-4665-8EE0-ED5A8E502B2C}"/>
    <hyperlink ref="J171" r:id="rId301" display="https://pubmed.ncbi.nlm.nih.gov/?term=Fryer%20Madeline&amp;sort=pubdate&amp;page=2" xr:uid="{739256B2-4205-4F36-80CB-9EBBBFFFD461}"/>
    <hyperlink ref="L178" r:id="rId302" display="https://pubmed.ncbi.nlm.nih.gov/?term=Jimenez+Contreras&amp;sort=pubdate" xr:uid="{3C9A87B7-6CE4-4D7F-861A-36EAE0A52CC7}"/>
    <hyperlink ref="K181" r:id="rId303" display="https://pubmed.ncbi.nlm.nih.gov/?sort=pubdate&amp;term=Parr+AR&amp;cauthor_id=29270034" xr:uid="{456CDBA7-2578-465B-B4B6-70AEB8B5504B}"/>
    <hyperlink ref="K182" r:id="rId304" display="https://pubmed.ncbi.nlm.nih.gov/?term=Gorton+Andrew+&amp;sort=pubdate" xr:uid="{E2147D00-CA4F-413F-949B-C13A7C70AFE8}"/>
    <hyperlink ref="J183" r:id="rId305" display="https://pubmed.ncbi.nlm.nih.gov/36841715/" xr:uid="{B3E18C14-6303-4C13-9D22-3A68573D3389}"/>
    <hyperlink ref="L205" r:id="rId306" xr:uid="{B6C81F9A-B56A-4480-BB6F-B3F9AA55C737}"/>
    <hyperlink ref="K206" r:id="rId307" xr:uid="{E0D6A4DA-4C9F-432A-BFB6-A8401D6FC2FE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EFA-27D9-469A-84D9-CA27C51D7838}">
  <dimension ref="A1:AZ5"/>
  <sheetViews>
    <sheetView workbookViewId="0">
      <selection activeCell="N4" sqref="N4"/>
    </sheetView>
  </sheetViews>
  <sheetFormatPr defaultColWidth="8.81640625" defaultRowHeight="14.5"/>
  <cols>
    <col min="14" max="14" width="18.36328125" customWidth="1"/>
    <col min="19" max="19" width="21.26953125" customWidth="1"/>
  </cols>
  <sheetData>
    <row r="1" spans="1:52" s="1" customFormat="1" ht="19" customHeight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535</v>
      </c>
      <c r="H1" s="27" t="s">
        <v>24</v>
      </c>
      <c r="I1" s="27" t="s">
        <v>25</v>
      </c>
      <c r="J1" s="1" t="s">
        <v>1</v>
      </c>
      <c r="K1" s="1" t="s">
        <v>536</v>
      </c>
      <c r="L1" s="1" t="s">
        <v>537</v>
      </c>
      <c r="M1" s="1" t="s">
        <v>538</v>
      </c>
      <c r="N1" s="1" t="s">
        <v>539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540</v>
      </c>
      <c r="V1" s="26" t="s">
        <v>16</v>
      </c>
      <c r="W1" s="1" t="s">
        <v>2</v>
      </c>
      <c r="X1" s="1" t="s">
        <v>3</v>
      </c>
      <c r="Y1" s="21" t="s">
        <v>4</v>
      </c>
      <c r="Z1" s="17" t="s">
        <v>5</v>
      </c>
      <c r="AA1" s="18" t="s">
        <v>541</v>
      </c>
      <c r="AB1" s="18" t="s">
        <v>6</v>
      </c>
      <c r="AC1" s="18" t="s">
        <v>7</v>
      </c>
      <c r="AD1" s="18" t="s">
        <v>542</v>
      </c>
      <c r="AE1" s="18" t="s">
        <v>543</v>
      </c>
      <c r="AF1" s="18" t="s">
        <v>544</v>
      </c>
      <c r="AG1" s="37" t="s">
        <v>545</v>
      </c>
      <c r="AH1" s="37" t="s">
        <v>546</v>
      </c>
      <c r="AI1" s="37" t="s">
        <v>547</v>
      </c>
      <c r="AJ1" s="37" t="s">
        <v>548</v>
      </c>
      <c r="AK1" s="37" t="s">
        <v>549</v>
      </c>
      <c r="AL1" s="37" t="s">
        <v>550</v>
      </c>
      <c r="AM1" s="1" t="s">
        <v>551</v>
      </c>
      <c r="AN1" s="1" t="s">
        <v>552</v>
      </c>
      <c r="AO1" s="1" t="s">
        <v>553</v>
      </c>
      <c r="AP1" s="1" t="s">
        <v>554</v>
      </c>
      <c r="AQ1" s="1" t="s">
        <v>555</v>
      </c>
      <c r="AR1" s="1" t="s">
        <v>556</v>
      </c>
      <c r="AS1" s="21" t="s">
        <v>8</v>
      </c>
      <c r="AT1" s="21" t="s">
        <v>557</v>
      </c>
      <c r="AU1" s="27" t="s">
        <v>9</v>
      </c>
      <c r="AV1" s="27" t="s">
        <v>10</v>
      </c>
      <c r="AW1" s="1" t="s">
        <v>22</v>
      </c>
      <c r="AX1" s="1" t="s">
        <v>23</v>
      </c>
    </row>
    <row r="2" spans="1:52" s="32" customFormat="1" ht="15.5">
      <c r="A2" s="29" t="s">
        <v>152</v>
      </c>
      <c r="B2" s="30" t="s">
        <v>32</v>
      </c>
      <c r="C2" s="30" t="s">
        <v>32</v>
      </c>
      <c r="D2" s="31">
        <v>97</v>
      </c>
      <c r="E2" s="31">
        <v>82</v>
      </c>
      <c r="F2" s="31">
        <v>2014</v>
      </c>
      <c r="G2" s="40">
        <v>5</v>
      </c>
      <c r="H2" s="28">
        <v>0</v>
      </c>
      <c r="I2" s="28">
        <v>1</v>
      </c>
      <c r="J2" s="32">
        <v>2014</v>
      </c>
      <c r="K2" s="32">
        <v>2024</v>
      </c>
      <c r="L2" s="32">
        <f>(K2-J2)-0.42</f>
        <v>9.58</v>
      </c>
      <c r="M2" s="32">
        <v>0</v>
      </c>
      <c r="N2" s="32" t="s">
        <v>163</v>
      </c>
      <c r="O2" s="32" t="s">
        <v>35</v>
      </c>
      <c r="P2" s="32">
        <v>0</v>
      </c>
      <c r="R2" s="32" t="s">
        <v>156</v>
      </c>
      <c r="S2" s="32" t="s">
        <v>164</v>
      </c>
      <c r="T2" s="32" t="s">
        <v>84</v>
      </c>
      <c r="U2" s="32">
        <v>0</v>
      </c>
      <c r="V2" s="33">
        <v>57</v>
      </c>
      <c r="W2" s="32">
        <v>21</v>
      </c>
      <c r="X2" s="7">
        <f>SUM(Y2:Z2)</f>
        <v>149</v>
      </c>
      <c r="Y2" s="22">
        <f>AS2-Z2</f>
        <v>128</v>
      </c>
      <c r="Z2" s="15">
        <f>SUM(AB2:AF2)</f>
        <v>21</v>
      </c>
      <c r="AA2" s="19">
        <v>8</v>
      </c>
      <c r="AB2" s="19">
        <v>4</v>
      </c>
      <c r="AC2" s="19">
        <v>12</v>
      </c>
      <c r="AD2" s="19">
        <v>0</v>
      </c>
      <c r="AE2" s="19">
        <v>3</v>
      </c>
      <c r="AF2" s="19">
        <v>2</v>
      </c>
      <c r="AG2" s="36">
        <f t="shared" ref="AG2:AL4" si="0">AM2-AA2</f>
        <v>34</v>
      </c>
      <c r="AH2" s="36">
        <f t="shared" si="0"/>
        <v>14</v>
      </c>
      <c r="AI2" s="36">
        <f t="shared" si="0"/>
        <v>85</v>
      </c>
      <c r="AJ2" s="36">
        <f t="shared" si="0"/>
        <v>4</v>
      </c>
      <c r="AK2" s="36">
        <f t="shared" si="0"/>
        <v>9</v>
      </c>
      <c r="AL2" s="36">
        <f t="shared" si="0"/>
        <v>16</v>
      </c>
      <c r="AM2" s="7">
        <v>42</v>
      </c>
      <c r="AN2" s="7">
        <v>18</v>
      </c>
      <c r="AO2" s="7">
        <v>97</v>
      </c>
      <c r="AP2" s="7">
        <v>4</v>
      </c>
      <c r="AQ2" s="7">
        <v>12</v>
      </c>
      <c r="AR2" s="7">
        <v>18</v>
      </c>
      <c r="AS2" s="22">
        <f>AN2+AO2+AP2+AQ2+AR2</f>
        <v>149</v>
      </c>
      <c r="AT2" s="22">
        <f>Y2/L2</f>
        <v>13.361169102296451</v>
      </c>
    </row>
    <row r="3" spans="1:52" s="32" customFormat="1" ht="15.5">
      <c r="A3" s="34" t="s">
        <v>481</v>
      </c>
      <c r="B3" s="30" t="s">
        <v>32</v>
      </c>
      <c r="C3" s="30" t="s">
        <v>32</v>
      </c>
      <c r="D3" s="32">
        <v>53</v>
      </c>
      <c r="E3" s="32">
        <v>74</v>
      </c>
      <c r="F3" s="32">
        <v>2011</v>
      </c>
      <c r="G3" s="40">
        <v>34</v>
      </c>
      <c r="H3" s="28">
        <v>0</v>
      </c>
      <c r="I3" s="28">
        <v>2</v>
      </c>
      <c r="J3" s="32">
        <v>2015</v>
      </c>
      <c r="K3" s="32">
        <v>2024</v>
      </c>
      <c r="L3" s="32">
        <f>(K3-J3)-0.42</f>
        <v>8.58</v>
      </c>
      <c r="M3" s="32">
        <v>0</v>
      </c>
      <c r="N3" s="35" t="s">
        <v>482</v>
      </c>
      <c r="O3" s="32" t="s">
        <v>28</v>
      </c>
      <c r="P3" s="32">
        <v>0</v>
      </c>
      <c r="R3" s="32" t="s">
        <v>252</v>
      </c>
      <c r="S3" s="32" t="s">
        <v>483</v>
      </c>
      <c r="T3" s="32" t="s">
        <v>84</v>
      </c>
      <c r="U3" s="32">
        <v>0</v>
      </c>
      <c r="V3" s="33">
        <v>118</v>
      </c>
      <c r="W3" s="32">
        <v>1</v>
      </c>
      <c r="X3" s="7">
        <f>SUM(Y3:Z3)</f>
        <v>1</v>
      </c>
      <c r="Y3" s="22">
        <f>AS3-Z3</f>
        <v>1</v>
      </c>
      <c r="Z3" s="15">
        <f>SUM(AB3:AF3)</f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36">
        <f t="shared" si="0"/>
        <v>0</v>
      </c>
      <c r="AH3" s="36">
        <f t="shared" si="0"/>
        <v>0</v>
      </c>
      <c r="AI3" s="36">
        <f t="shared" si="0"/>
        <v>0</v>
      </c>
      <c r="AJ3" s="36">
        <f t="shared" si="0"/>
        <v>0</v>
      </c>
      <c r="AK3" s="36">
        <f t="shared" si="0"/>
        <v>0</v>
      </c>
      <c r="AL3" s="36">
        <f t="shared" si="0"/>
        <v>1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1</v>
      </c>
      <c r="AS3" s="22">
        <f>AN3+AO3+AP3+AQ3+AR3</f>
        <v>1</v>
      </c>
      <c r="AT3" s="22">
        <f>Y3/L3</f>
        <v>0.11655011655011654</v>
      </c>
    </row>
    <row r="4" spans="1:52" s="5" customFormat="1" ht="15.5">
      <c r="A4" s="2" t="s">
        <v>229</v>
      </c>
      <c r="B4" s="6" t="s">
        <v>32</v>
      </c>
      <c r="C4" s="3" t="s">
        <v>32</v>
      </c>
      <c r="D4" s="4">
        <v>82</v>
      </c>
      <c r="E4" s="4">
        <v>74</v>
      </c>
      <c r="F4" s="4">
        <v>2009</v>
      </c>
      <c r="G4" s="39">
        <v>18</v>
      </c>
      <c r="H4" s="28">
        <v>0</v>
      </c>
      <c r="I4" s="28">
        <v>2</v>
      </c>
      <c r="J4" s="5">
        <v>2017</v>
      </c>
      <c r="K4" s="5">
        <v>2022</v>
      </c>
      <c r="L4" s="5">
        <f>(K4-J4)</f>
        <v>5</v>
      </c>
      <c r="M4" s="5">
        <v>1</v>
      </c>
      <c r="N4" s="39" t="s">
        <v>586</v>
      </c>
      <c r="O4" s="5" t="s">
        <v>28</v>
      </c>
      <c r="P4" s="5">
        <v>1</v>
      </c>
      <c r="Q4" s="5" t="s">
        <v>38</v>
      </c>
      <c r="R4" s="5" t="s">
        <v>30</v>
      </c>
      <c r="S4" s="43" t="s">
        <v>523</v>
      </c>
      <c r="T4" s="6"/>
      <c r="U4" s="6">
        <v>0</v>
      </c>
      <c r="V4" s="25"/>
      <c r="W4" s="44">
        <v>4</v>
      </c>
      <c r="X4" s="7">
        <f>SUM(Y4:Z4)</f>
        <v>0</v>
      </c>
      <c r="Y4" s="22">
        <f>AS4-Z4</f>
        <v>0</v>
      </c>
      <c r="Z4" s="15">
        <f>SUM(AB4:AF4)</f>
        <v>0</v>
      </c>
      <c r="AA4" s="19"/>
      <c r="AB4" s="19"/>
      <c r="AC4" s="19"/>
      <c r="AD4" s="19"/>
      <c r="AE4" s="19"/>
      <c r="AF4" s="19"/>
      <c r="AG4" s="36">
        <f t="shared" si="0"/>
        <v>0</v>
      </c>
      <c r="AH4" s="36">
        <f t="shared" si="0"/>
        <v>0</v>
      </c>
      <c r="AI4" s="36">
        <f t="shared" si="0"/>
        <v>0</v>
      </c>
      <c r="AJ4" s="36">
        <f t="shared" si="0"/>
        <v>0</v>
      </c>
      <c r="AK4" s="36">
        <f t="shared" si="0"/>
        <v>0</v>
      </c>
      <c r="AL4" s="36">
        <f t="shared" si="0"/>
        <v>0</v>
      </c>
      <c r="AM4" s="7"/>
      <c r="AN4" s="7"/>
      <c r="AO4" s="7"/>
      <c r="AP4" s="7"/>
      <c r="AQ4" s="7"/>
      <c r="AR4" s="7"/>
      <c r="AS4" s="22">
        <f>AN4+AO4+AP4+AQ4+AR4</f>
        <v>0</v>
      </c>
      <c r="AT4" s="22">
        <f>Y4/L4</f>
        <v>0</v>
      </c>
      <c r="AU4" s="6"/>
      <c r="AV4" s="6" t="s">
        <v>630</v>
      </c>
    </row>
    <row r="5" spans="1:52" s="55" customFormat="1" ht="15.5">
      <c r="A5" s="48" t="s">
        <v>41</v>
      </c>
      <c r="B5" s="49" t="s">
        <v>32</v>
      </c>
      <c r="C5" s="49" t="s">
        <v>32</v>
      </c>
      <c r="D5" s="50">
        <v>59</v>
      </c>
      <c r="E5" s="50">
        <v>74</v>
      </c>
      <c r="F5" s="50">
        <v>2015</v>
      </c>
      <c r="G5" s="51">
        <v>24</v>
      </c>
      <c r="H5" s="52">
        <v>0</v>
      </c>
      <c r="I5" s="52">
        <v>1</v>
      </c>
      <c r="J5" s="52">
        <v>2013</v>
      </c>
      <c r="K5" s="52">
        <v>2024</v>
      </c>
      <c r="L5" s="52">
        <f>(K5-J5)-0.42</f>
        <v>10.58</v>
      </c>
      <c r="M5" s="52">
        <v>0</v>
      </c>
      <c r="N5" s="52" t="s">
        <v>48</v>
      </c>
      <c r="O5" s="52" t="s">
        <v>43</v>
      </c>
      <c r="P5" s="52">
        <v>1</v>
      </c>
      <c r="Q5" s="52" t="s">
        <v>49</v>
      </c>
      <c r="R5" s="52" t="s">
        <v>30</v>
      </c>
      <c r="S5" s="52" t="s">
        <v>50</v>
      </c>
      <c r="T5" s="52"/>
      <c r="U5" s="52">
        <v>0</v>
      </c>
      <c r="V5" s="53"/>
      <c r="W5" s="52">
        <v>10</v>
      </c>
      <c r="X5" s="52">
        <f>SUM(Y5:Z5)</f>
        <v>51</v>
      </c>
      <c r="Y5" s="52">
        <f>AS5-Z5</f>
        <v>48</v>
      </c>
      <c r="Z5" s="52">
        <f>SUM(AB5:AF5)</f>
        <v>3</v>
      </c>
      <c r="AA5" s="53">
        <v>1</v>
      </c>
      <c r="AB5" s="54">
        <v>0</v>
      </c>
      <c r="AC5" s="53">
        <v>3</v>
      </c>
      <c r="AD5" s="53">
        <v>0</v>
      </c>
      <c r="AE5" s="53">
        <v>0</v>
      </c>
      <c r="AF5" s="53">
        <v>0</v>
      </c>
      <c r="AG5" s="52">
        <f t="shared" ref="AG5:AL5" si="1">AM5-AA5</f>
        <v>9</v>
      </c>
      <c r="AH5" s="52">
        <f t="shared" si="1"/>
        <v>0</v>
      </c>
      <c r="AI5" s="52">
        <f t="shared" si="1"/>
        <v>43</v>
      </c>
      <c r="AJ5" s="52">
        <f t="shared" si="1"/>
        <v>0</v>
      </c>
      <c r="AK5" s="52">
        <f t="shared" si="1"/>
        <v>1</v>
      </c>
      <c r="AL5" s="52">
        <f t="shared" si="1"/>
        <v>4</v>
      </c>
      <c r="AM5" s="52">
        <v>10</v>
      </c>
      <c r="AN5" s="52">
        <v>0</v>
      </c>
      <c r="AO5" s="52">
        <v>46</v>
      </c>
      <c r="AP5" s="52">
        <v>0</v>
      </c>
      <c r="AQ5" s="52">
        <v>1</v>
      </c>
      <c r="AR5" s="52">
        <v>4</v>
      </c>
      <c r="AS5" s="52">
        <f>AN5+AO5+AP5+AQ5+AR5</f>
        <v>51</v>
      </c>
      <c r="AT5" s="52">
        <f>Y5/L5</f>
        <v>4.5368620037807181</v>
      </c>
      <c r="AU5" s="52"/>
      <c r="AV5" s="52"/>
      <c r="AW5" s="52"/>
      <c r="AX5" s="52"/>
      <c r="AY5" s="52"/>
      <c r="AZ5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4B75-ED64-4411-8E72-C05B4E16F7D2}">
  <dimension ref="A1:BJ58"/>
  <sheetViews>
    <sheetView topLeftCell="AL1" workbookViewId="0">
      <selection activeCell="T13" sqref="T13"/>
    </sheetView>
  </sheetViews>
  <sheetFormatPr defaultRowHeight="14.5"/>
  <cols>
    <col min="1" max="13" width="8.7265625" style="92"/>
    <col min="14" max="14" width="29.08984375" style="89" customWidth="1"/>
    <col min="15" max="24" width="8.7265625" style="92"/>
    <col min="25" max="26" width="8.7265625" style="96"/>
    <col min="27" max="58" width="8.7265625" style="92"/>
    <col min="59" max="59" width="27.7265625" style="92" customWidth="1"/>
    <col min="60" max="61" width="8.7265625" style="92"/>
    <col min="62" max="62" width="25" style="92" customWidth="1"/>
    <col min="63" max="16384" width="8.7265625" style="92"/>
  </cols>
  <sheetData>
    <row r="1" spans="1:62">
      <c r="A1" s="94" t="s">
        <v>0</v>
      </c>
      <c r="B1" s="94" t="s">
        <v>640</v>
      </c>
      <c r="C1" s="94" t="s">
        <v>641</v>
      </c>
      <c r="D1" s="94" t="s">
        <v>642</v>
      </c>
      <c r="E1" s="94" t="s">
        <v>643</v>
      </c>
      <c r="F1" s="94" t="s">
        <v>644</v>
      </c>
      <c r="G1" s="94" t="s">
        <v>645</v>
      </c>
      <c r="H1" s="95" t="s">
        <v>646</v>
      </c>
      <c r="I1" s="95" t="s">
        <v>647</v>
      </c>
      <c r="J1" s="94" t="s">
        <v>648</v>
      </c>
      <c r="K1" s="94" t="s">
        <v>649</v>
      </c>
      <c r="L1" s="94" t="s">
        <v>537</v>
      </c>
      <c r="M1" s="94" t="s">
        <v>538</v>
      </c>
      <c r="N1" s="123" t="s">
        <v>650</v>
      </c>
      <c r="O1" s="94" t="s">
        <v>11</v>
      </c>
      <c r="P1" s="94" t="s">
        <v>12</v>
      </c>
      <c r="Q1" s="94" t="s">
        <v>13</v>
      </c>
      <c r="R1" s="94" t="s">
        <v>14</v>
      </c>
      <c r="S1" s="94" t="s">
        <v>15</v>
      </c>
      <c r="T1" s="94" t="s">
        <v>654</v>
      </c>
      <c r="U1" s="94" t="s">
        <v>655</v>
      </c>
      <c r="V1" s="94" t="s">
        <v>656</v>
      </c>
      <c r="W1" s="94" t="s">
        <v>657</v>
      </c>
      <c r="X1" s="94" t="s">
        <v>3</v>
      </c>
      <c r="AA1" s="97" t="s">
        <v>660</v>
      </c>
      <c r="AB1" s="97" t="s">
        <v>661</v>
      </c>
      <c r="AC1" s="97" t="s">
        <v>662</v>
      </c>
      <c r="AD1" s="97" t="s">
        <v>663</v>
      </c>
      <c r="AE1" s="97" t="s">
        <v>664</v>
      </c>
      <c r="AF1" s="97" t="s">
        <v>665</v>
      </c>
      <c r="AG1" s="98" t="s">
        <v>666</v>
      </c>
      <c r="AH1" s="98" t="s">
        <v>667</v>
      </c>
      <c r="AI1" s="98" t="s">
        <v>668</v>
      </c>
      <c r="AJ1" s="98" t="s">
        <v>669</v>
      </c>
      <c r="AK1" s="98" t="s">
        <v>670</v>
      </c>
      <c r="AL1" s="98" t="s">
        <v>671</v>
      </c>
      <c r="AM1" s="94" t="s">
        <v>672</v>
      </c>
      <c r="AN1" s="94" t="s">
        <v>673</v>
      </c>
      <c r="AO1" s="94" t="s">
        <v>674</v>
      </c>
      <c r="AP1" s="94" t="s">
        <v>675</v>
      </c>
      <c r="AQ1" s="94" t="s">
        <v>676</v>
      </c>
      <c r="AR1" s="94" t="s">
        <v>677</v>
      </c>
      <c r="AS1" s="99" t="s">
        <v>678</v>
      </c>
      <c r="AT1" s="99" t="s">
        <v>679</v>
      </c>
      <c r="AU1" s="100" t="s">
        <v>690</v>
      </c>
      <c r="AV1" s="100" t="s">
        <v>689</v>
      </c>
      <c r="AW1" s="100" t="s">
        <v>688</v>
      </c>
      <c r="AX1" s="100" t="s">
        <v>685</v>
      </c>
      <c r="AY1" s="100" t="s">
        <v>687</v>
      </c>
      <c r="AZ1" s="100" t="s">
        <v>686</v>
      </c>
      <c r="BA1" s="100" t="s">
        <v>691</v>
      </c>
      <c r="BB1" s="100" t="s">
        <v>692</v>
      </c>
      <c r="BC1" s="100" t="s">
        <v>693</v>
      </c>
      <c r="BD1" s="95" t="s">
        <v>680</v>
      </c>
      <c r="BE1" s="95" t="s">
        <v>684</v>
      </c>
      <c r="BF1" s="90" t="s">
        <v>726</v>
      </c>
      <c r="BG1" s="95" t="s">
        <v>681</v>
      </c>
      <c r="BH1" s="94" t="s">
        <v>682</v>
      </c>
      <c r="BI1" s="94" t="s">
        <v>683</v>
      </c>
      <c r="BJ1" s="94" t="s">
        <v>650</v>
      </c>
    </row>
    <row r="2" spans="1:62" s="106" customFormat="1" ht="13">
      <c r="A2" s="101" t="s">
        <v>564</v>
      </c>
      <c r="B2" s="102" t="s">
        <v>85</v>
      </c>
      <c r="C2" s="102" t="s">
        <v>85</v>
      </c>
      <c r="D2" s="103">
        <v>35</v>
      </c>
      <c r="E2" s="103">
        <v>74</v>
      </c>
      <c r="F2" s="103">
        <v>2014</v>
      </c>
      <c r="G2" s="104">
        <v>59</v>
      </c>
      <c r="H2" s="105">
        <v>0</v>
      </c>
      <c r="I2" s="105">
        <v>2</v>
      </c>
      <c r="J2" s="106">
        <v>2015</v>
      </c>
      <c r="K2" s="100">
        <v>2021</v>
      </c>
      <c r="L2" s="100">
        <v>6</v>
      </c>
      <c r="M2" s="100">
        <v>1</v>
      </c>
      <c r="N2" s="124" t="s">
        <v>736</v>
      </c>
      <c r="O2" s="106" t="s">
        <v>28</v>
      </c>
      <c r="P2" s="100">
        <v>0</v>
      </c>
      <c r="R2" s="106" t="s">
        <v>30</v>
      </c>
      <c r="S2" s="106" t="s">
        <v>695</v>
      </c>
      <c r="T2" s="106" t="s">
        <v>101</v>
      </c>
      <c r="U2" s="106">
        <v>0</v>
      </c>
      <c r="V2" s="106">
        <v>21</v>
      </c>
      <c r="W2" s="106">
        <v>5</v>
      </c>
      <c r="X2" s="107">
        <v>7</v>
      </c>
      <c r="AA2" s="108">
        <v>1</v>
      </c>
      <c r="AB2" s="108">
        <v>4</v>
      </c>
      <c r="AC2" s="108">
        <v>1</v>
      </c>
      <c r="AD2" s="108">
        <v>0</v>
      </c>
      <c r="AE2" s="108">
        <v>0</v>
      </c>
      <c r="AF2" s="108">
        <v>0</v>
      </c>
      <c r="AG2" s="109">
        <v>0</v>
      </c>
      <c r="AH2" s="109">
        <v>1</v>
      </c>
      <c r="AI2" s="109">
        <v>1</v>
      </c>
      <c r="AJ2" s="109">
        <v>0</v>
      </c>
      <c r="AK2" s="109">
        <v>0</v>
      </c>
      <c r="AL2" s="109">
        <v>0</v>
      </c>
      <c r="AM2" s="107">
        <v>1</v>
      </c>
      <c r="AN2" s="107">
        <v>5</v>
      </c>
      <c r="AO2" s="107">
        <v>2</v>
      </c>
      <c r="AP2" s="107">
        <v>0</v>
      </c>
      <c r="AQ2" s="107">
        <v>0</v>
      </c>
      <c r="AR2" s="107">
        <v>0</v>
      </c>
      <c r="AS2" s="110">
        <v>7</v>
      </c>
      <c r="AT2" s="110">
        <v>0.33333333333333331</v>
      </c>
      <c r="AU2" s="100">
        <v>2</v>
      </c>
      <c r="AV2" s="100">
        <v>0.33333333333333331</v>
      </c>
      <c r="AW2" s="100">
        <v>5</v>
      </c>
      <c r="AX2" s="100">
        <v>0</v>
      </c>
      <c r="AY2" s="100">
        <v>0.16666666666666666</v>
      </c>
      <c r="AZ2" s="100">
        <v>0.16666666666666666</v>
      </c>
      <c r="BA2" s="100">
        <v>0</v>
      </c>
      <c r="BB2" s="100">
        <v>0</v>
      </c>
      <c r="BC2" s="100">
        <v>0</v>
      </c>
      <c r="BF2" s="91">
        <v>0</v>
      </c>
      <c r="BG2" s="106" t="s">
        <v>723</v>
      </c>
      <c r="BJ2" s="106" t="s">
        <v>736</v>
      </c>
    </row>
    <row r="3" spans="1:62">
      <c r="A3" s="101" t="s">
        <v>564</v>
      </c>
      <c r="B3" s="102" t="s">
        <v>85</v>
      </c>
      <c r="C3" s="102" t="s">
        <v>85</v>
      </c>
      <c r="D3" s="103">
        <v>35</v>
      </c>
      <c r="E3" s="103">
        <v>74</v>
      </c>
      <c r="F3" s="103">
        <v>2014</v>
      </c>
      <c r="G3" s="104">
        <v>59</v>
      </c>
      <c r="H3" s="105">
        <v>0</v>
      </c>
      <c r="I3" s="105">
        <v>2</v>
      </c>
      <c r="J3" s="106">
        <v>2017</v>
      </c>
      <c r="K3" s="100">
        <v>2023</v>
      </c>
      <c r="L3" s="100">
        <v>6</v>
      </c>
      <c r="M3" s="100">
        <v>1</v>
      </c>
      <c r="N3" s="124" t="s">
        <v>737</v>
      </c>
      <c r="O3" s="106" t="s">
        <v>35</v>
      </c>
      <c r="P3" s="100">
        <v>0</v>
      </c>
      <c r="Q3" s="106"/>
      <c r="R3" s="106" t="s">
        <v>30</v>
      </c>
      <c r="S3" s="100" t="s">
        <v>95</v>
      </c>
      <c r="T3" s="106" t="s">
        <v>84</v>
      </c>
      <c r="U3" s="106">
        <v>0</v>
      </c>
      <c r="V3" s="106">
        <v>118</v>
      </c>
      <c r="W3" s="106">
        <v>1</v>
      </c>
      <c r="X3" s="107">
        <v>1</v>
      </c>
      <c r="AA3" s="108">
        <v>0</v>
      </c>
      <c r="AB3" s="108">
        <v>0</v>
      </c>
      <c r="AC3" s="108">
        <v>0</v>
      </c>
      <c r="AD3" s="108">
        <v>0</v>
      </c>
      <c r="AE3" s="108">
        <v>0</v>
      </c>
      <c r="AF3" s="108">
        <v>0</v>
      </c>
      <c r="AG3" s="109">
        <v>1</v>
      </c>
      <c r="AH3" s="109">
        <v>0</v>
      </c>
      <c r="AI3" s="109">
        <v>1</v>
      </c>
      <c r="AJ3" s="109">
        <v>0</v>
      </c>
      <c r="AK3" s="109">
        <v>0</v>
      </c>
      <c r="AL3" s="109">
        <v>0</v>
      </c>
      <c r="AM3" s="107">
        <v>1</v>
      </c>
      <c r="AN3" s="107">
        <v>0</v>
      </c>
      <c r="AO3" s="107">
        <v>1</v>
      </c>
      <c r="AP3" s="107">
        <v>0</v>
      </c>
      <c r="AQ3" s="107">
        <v>0</v>
      </c>
      <c r="AR3" s="107">
        <v>0</v>
      </c>
      <c r="AS3" s="110">
        <v>1</v>
      </c>
      <c r="AT3" s="110">
        <v>0.16666666666666666</v>
      </c>
      <c r="AU3" s="100">
        <v>1</v>
      </c>
      <c r="AV3" s="100">
        <v>0.16666666666666666</v>
      </c>
      <c r="AW3" s="100">
        <v>0</v>
      </c>
      <c r="AX3" s="100">
        <v>0.16666666666666666</v>
      </c>
      <c r="AY3" s="100">
        <v>0</v>
      </c>
      <c r="AZ3" s="100">
        <v>0.16666666666666666</v>
      </c>
      <c r="BA3" s="100">
        <v>0</v>
      </c>
      <c r="BB3" s="100">
        <v>0</v>
      </c>
      <c r="BC3" s="100">
        <v>0</v>
      </c>
      <c r="BD3" s="106">
        <v>0</v>
      </c>
      <c r="BE3" s="106"/>
      <c r="BF3" s="91">
        <v>0</v>
      </c>
      <c r="BG3" s="106" t="s">
        <v>724</v>
      </c>
      <c r="BH3" s="106"/>
      <c r="BI3" s="106"/>
      <c r="BJ3" s="106" t="s">
        <v>737</v>
      </c>
    </row>
    <row r="4" spans="1:62" ht="26">
      <c r="A4" s="101" t="s">
        <v>96</v>
      </c>
      <c r="B4" s="102" t="s">
        <v>32</v>
      </c>
      <c r="C4" s="102" t="s">
        <v>32</v>
      </c>
      <c r="D4" s="103">
        <v>79</v>
      </c>
      <c r="E4" s="103">
        <v>74</v>
      </c>
      <c r="F4" s="103">
        <v>2013</v>
      </c>
      <c r="G4" s="104">
        <v>71</v>
      </c>
      <c r="H4" s="105">
        <v>0</v>
      </c>
      <c r="I4" s="105">
        <v>2</v>
      </c>
      <c r="J4" s="100">
        <v>2017</v>
      </c>
      <c r="K4" s="100">
        <v>2023</v>
      </c>
      <c r="L4" s="100">
        <v>6</v>
      </c>
      <c r="M4" s="100">
        <v>1</v>
      </c>
      <c r="N4" s="125" t="s">
        <v>738</v>
      </c>
      <c r="O4" s="100" t="s">
        <v>35</v>
      </c>
      <c r="P4" s="100">
        <v>0</v>
      </c>
      <c r="Q4" s="100"/>
      <c r="R4" s="100" t="s">
        <v>39</v>
      </c>
      <c r="S4" s="100" t="s">
        <v>114</v>
      </c>
      <c r="T4" s="100" t="s">
        <v>101</v>
      </c>
      <c r="U4" s="100">
        <v>0</v>
      </c>
      <c r="V4" s="106">
        <v>24</v>
      </c>
      <c r="W4" s="100">
        <v>1</v>
      </c>
      <c r="X4" s="107">
        <v>3</v>
      </c>
      <c r="AA4" s="108">
        <v>2</v>
      </c>
      <c r="AB4" s="108">
        <v>1</v>
      </c>
      <c r="AC4" s="108">
        <v>1</v>
      </c>
      <c r="AD4" s="108">
        <v>0</v>
      </c>
      <c r="AE4" s="108">
        <v>0</v>
      </c>
      <c r="AF4" s="108">
        <v>1</v>
      </c>
      <c r="AG4" s="109">
        <v>0</v>
      </c>
      <c r="AH4" s="109">
        <v>0</v>
      </c>
      <c r="AI4" s="109">
        <v>0</v>
      </c>
      <c r="AJ4" s="109">
        <v>0</v>
      </c>
      <c r="AK4" s="109">
        <v>0</v>
      </c>
      <c r="AL4" s="109">
        <v>0</v>
      </c>
      <c r="AM4" s="107">
        <v>2</v>
      </c>
      <c r="AN4" s="107">
        <v>1</v>
      </c>
      <c r="AO4" s="107">
        <v>1</v>
      </c>
      <c r="AP4" s="107">
        <v>0</v>
      </c>
      <c r="AQ4" s="107">
        <v>0</v>
      </c>
      <c r="AR4" s="107">
        <v>1</v>
      </c>
      <c r="AS4" s="110">
        <v>3</v>
      </c>
      <c r="AT4" s="110">
        <v>0</v>
      </c>
      <c r="AU4" s="100">
        <v>0</v>
      </c>
      <c r="AV4" s="100">
        <v>0</v>
      </c>
      <c r="AW4" s="100">
        <v>2</v>
      </c>
      <c r="AX4" s="100">
        <v>0</v>
      </c>
      <c r="AY4" s="100">
        <v>0</v>
      </c>
      <c r="AZ4" s="100">
        <v>0</v>
      </c>
      <c r="BA4" s="100">
        <v>0</v>
      </c>
      <c r="BB4" s="100">
        <v>0</v>
      </c>
      <c r="BC4" s="100">
        <v>0</v>
      </c>
      <c r="BD4" s="106"/>
      <c r="BE4" s="106"/>
      <c r="BF4" s="91">
        <v>0</v>
      </c>
      <c r="BG4" s="106" t="s">
        <v>713</v>
      </c>
      <c r="BH4" s="100"/>
      <c r="BI4" s="100"/>
      <c r="BJ4" s="100" t="s">
        <v>738</v>
      </c>
    </row>
    <row r="5" spans="1:62" ht="26">
      <c r="A5" s="101" t="s">
        <v>96</v>
      </c>
      <c r="B5" s="102" t="s">
        <v>32</v>
      </c>
      <c r="C5" s="102" t="s">
        <v>32</v>
      </c>
      <c r="D5" s="103">
        <v>79</v>
      </c>
      <c r="E5" s="103">
        <v>74</v>
      </c>
      <c r="F5" s="103">
        <v>2013</v>
      </c>
      <c r="G5" s="104">
        <v>71</v>
      </c>
      <c r="H5" s="105">
        <v>0</v>
      </c>
      <c r="I5" s="105">
        <v>2</v>
      </c>
      <c r="J5" s="100">
        <v>2017</v>
      </c>
      <c r="K5" s="100">
        <v>2023</v>
      </c>
      <c r="L5" s="100">
        <v>6</v>
      </c>
      <c r="M5" s="100">
        <v>1</v>
      </c>
      <c r="N5" s="125" t="s">
        <v>739</v>
      </c>
      <c r="O5" s="100" t="s">
        <v>35</v>
      </c>
      <c r="P5" s="100">
        <v>0</v>
      </c>
      <c r="Q5" s="100"/>
      <c r="R5" s="100" t="s">
        <v>30</v>
      </c>
      <c r="S5" s="100" t="s">
        <v>130</v>
      </c>
      <c r="T5" s="100" t="s">
        <v>47</v>
      </c>
      <c r="U5" s="100">
        <v>0</v>
      </c>
      <c r="V5" s="106">
        <v>17</v>
      </c>
      <c r="W5" s="100">
        <v>6</v>
      </c>
      <c r="X5" s="107">
        <v>15</v>
      </c>
      <c r="AA5" s="108">
        <v>0</v>
      </c>
      <c r="AB5" s="108">
        <v>2</v>
      </c>
      <c r="AC5" s="108">
        <v>2</v>
      </c>
      <c r="AD5" s="108">
        <v>0</v>
      </c>
      <c r="AE5" s="108">
        <v>0</v>
      </c>
      <c r="AF5" s="108">
        <v>0</v>
      </c>
      <c r="AG5" s="109">
        <v>4</v>
      </c>
      <c r="AH5" s="109">
        <v>0</v>
      </c>
      <c r="AI5" s="109">
        <v>6</v>
      </c>
      <c r="AJ5" s="109">
        <v>1</v>
      </c>
      <c r="AK5" s="109">
        <v>3</v>
      </c>
      <c r="AL5" s="109">
        <v>1</v>
      </c>
      <c r="AM5" s="107">
        <v>4</v>
      </c>
      <c r="AN5" s="107">
        <v>2</v>
      </c>
      <c r="AO5" s="107">
        <v>8</v>
      </c>
      <c r="AP5" s="107">
        <v>1</v>
      </c>
      <c r="AQ5" s="107">
        <v>3</v>
      </c>
      <c r="AR5" s="107">
        <v>1</v>
      </c>
      <c r="AS5" s="110">
        <v>15</v>
      </c>
      <c r="AT5" s="110">
        <v>1.8333333333333333</v>
      </c>
      <c r="AU5" s="100">
        <v>10</v>
      </c>
      <c r="AV5" s="100">
        <v>1.6666666666666667</v>
      </c>
      <c r="AW5" s="100">
        <v>4</v>
      </c>
      <c r="AX5" s="100">
        <v>0.66666666666666663</v>
      </c>
      <c r="AY5" s="100">
        <v>0</v>
      </c>
      <c r="AZ5" s="100">
        <v>1</v>
      </c>
      <c r="BA5" s="100">
        <v>0.16666666666666666</v>
      </c>
      <c r="BB5" s="100">
        <v>0.5</v>
      </c>
      <c r="BC5" s="100">
        <v>0.16666666666666666</v>
      </c>
      <c r="BD5" s="106">
        <v>1</v>
      </c>
      <c r="BE5" s="106"/>
      <c r="BF5" s="91">
        <v>1</v>
      </c>
      <c r="BG5" s="106" t="s">
        <v>714</v>
      </c>
      <c r="BH5" s="100"/>
      <c r="BI5" s="100"/>
      <c r="BJ5" s="100" t="s">
        <v>739</v>
      </c>
    </row>
    <row r="6" spans="1:62" ht="26">
      <c r="A6" s="101" t="s">
        <v>96</v>
      </c>
      <c r="B6" s="102" t="s">
        <v>32</v>
      </c>
      <c r="C6" s="102" t="s">
        <v>32</v>
      </c>
      <c r="D6" s="103">
        <v>79</v>
      </c>
      <c r="E6" s="103">
        <v>74</v>
      </c>
      <c r="F6" s="103">
        <v>2013</v>
      </c>
      <c r="G6" s="104">
        <v>71</v>
      </c>
      <c r="H6" s="105">
        <v>0</v>
      </c>
      <c r="I6" s="105">
        <v>2</v>
      </c>
      <c r="J6" s="100">
        <v>2016</v>
      </c>
      <c r="K6" s="100">
        <v>2022</v>
      </c>
      <c r="L6" s="100">
        <v>6</v>
      </c>
      <c r="M6" s="100">
        <v>1</v>
      </c>
      <c r="N6" s="126" t="s">
        <v>740</v>
      </c>
      <c r="O6" s="100" t="s">
        <v>35</v>
      </c>
      <c r="P6" s="100">
        <v>0</v>
      </c>
      <c r="Q6" s="100"/>
      <c r="R6" s="100" t="s">
        <v>30</v>
      </c>
      <c r="S6" s="100" t="s">
        <v>114</v>
      </c>
      <c r="T6" s="100" t="s">
        <v>101</v>
      </c>
      <c r="U6" s="100">
        <v>0</v>
      </c>
      <c r="V6" s="106">
        <v>24</v>
      </c>
      <c r="W6" s="104">
        <v>11</v>
      </c>
      <c r="X6" s="107">
        <v>20</v>
      </c>
      <c r="AA6" s="112">
        <v>3</v>
      </c>
      <c r="AB6" s="112">
        <v>5</v>
      </c>
      <c r="AC6" s="112">
        <v>0</v>
      </c>
      <c r="AD6" s="112">
        <v>2</v>
      </c>
      <c r="AE6" s="112">
        <v>2</v>
      </c>
      <c r="AF6" s="112">
        <v>0</v>
      </c>
      <c r="AG6" s="109">
        <v>6</v>
      </c>
      <c r="AH6" s="109">
        <v>0</v>
      </c>
      <c r="AI6" s="109">
        <v>8</v>
      </c>
      <c r="AJ6" s="109">
        <v>2</v>
      </c>
      <c r="AK6" s="109">
        <v>0</v>
      </c>
      <c r="AL6" s="109">
        <v>1</v>
      </c>
      <c r="AM6" s="113">
        <v>9</v>
      </c>
      <c r="AN6" s="113">
        <v>5</v>
      </c>
      <c r="AO6" s="113">
        <v>8</v>
      </c>
      <c r="AP6" s="113">
        <v>4</v>
      </c>
      <c r="AQ6" s="113">
        <v>2</v>
      </c>
      <c r="AR6" s="113">
        <v>1</v>
      </c>
      <c r="AS6" s="110">
        <v>20</v>
      </c>
      <c r="AT6" s="110">
        <v>1.8333333333333333</v>
      </c>
      <c r="AU6" s="100">
        <v>10</v>
      </c>
      <c r="AV6" s="100">
        <v>1.6666666666666667</v>
      </c>
      <c r="AW6" s="100">
        <v>9</v>
      </c>
      <c r="AX6" s="100">
        <v>1</v>
      </c>
      <c r="AY6" s="100">
        <v>0</v>
      </c>
      <c r="AZ6" s="100">
        <v>1.3333333333333333</v>
      </c>
      <c r="BA6" s="100">
        <v>0.33333333333333331</v>
      </c>
      <c r="BB6" s="100">
        <v>0</v>
      </c>
      <c r="BC6" s="100">
        <v>0.16666666666666666</v>
      </c>
      <c r="BD6" s="106">
        <v>4</v>
      </c>
      <c r="BE6" s="106"/>
      <c r="BF6" s="91">
        <v>1</v>
      </c>
      <c r="BG6" s="106" t="s">
        <v>715</v>
      </c>
      <c r="BH6" s="100"/>
      <c r="BI6" s="100"/>
      <c r="BJ6" s="111" t="s">
        <v>740</v>
      </c>
    </row>
    <row r="7" spans="1:62" ht="26">
      <c r="A7" s="101" t="s">
        <v>96</v>
      </c>
      <c r="B7" s="102" t="s">
        <v>32</v>
      </c>
      <c r="C7" s="102" t="s">
        <v>32</v>
      </c>
      <c r="D7" s="103">
        <v>79</v>
      </c>
      <c r="E7" s="103">
        <v>74</v>
      </c>
      <c r="F7" s="103">
        <v>2013</v>
      </c>
      <c r="G7" s="104">
        <v>71</v>
      </c>
      <c r="H7" s="105">
        <v>0</v>
      </c>
      <c r="I7" s="105">
        <v>2</v>
      </c>
      <c r="J7" s="100">
        <v>2016</v>
      </c>
      <c r="K7" s="100">
        <v>2022</v>
      </c>
      <c r="L7" s="100">
        <v>6</v>
      </c>
      <c r="M7" s="100">
        <v>1</v>
      </c>
      <c r="N7" s="126" t="s">
        <v>741</v>
      </c>
      <c r="O7" s="100" t="s">
        <v>35</v>
      </c>
      <c r="P7" s="100">
        <v>0</v>
      </c>
      <c r="Q7" s="100"/>
      <c r="R7" s="100" t="s">
        <v>30</v>
      </c>
      <c r="S7" s="104" t="s">
        <v>517</v>
      </c>
      <c r="T7" s="100" t="s">
        <v>84</v>
      </c>
      <c r="U7" s="100">
        <v>0</v>
      </c>
      <c r="V7" s="106">
        <v>48</v>
      </c>
      <c r="W7" s="104">
        <v>1</v>
      </c>
      <c r="X7" s="107">
        <v>1</v>
      </c>
      <c r="AA7" s="112">
        <v>0</v>
      </c>
      <c r="AB7" s="112">
        <v>0</v>
      </c>
      <c r="AC7" s="112">
        <v>0</v>
      </c>
      <c r="AD7" s="112">
        <v>0</v>
      </c>
      <c r="AE7" s="112">
        <v>0</v>
      </c>
      <c r="AF7" s="112">
        <v>0</v>
      </c>
      <c r="AG7" s="109">
        <v>1</v>
      </c>
      <c r="AH7" s="109">
        <v>0</v>
      </c>
      <c r="AI7" s="109">
        <v>0</v>
      </c>
      <c r="AJ7" s="109">
        <v>1</v>
      </c>
      <c r="AK7" s="109">
        <v>0</v>
      </c>
      <c r="AL7" s="109">
        <v>0</v>
      </c>
      <c r="AM7" s="113">
        <v>1</v>
      </c>
      <c r="AN7" s="113">
        <v>0</v>
      </c>
      <c r="AO7" s="113">
        <v>0</v>
      </c>
      <c r="AP7" s="113">
        <v>1</v>
      </c>
      <c r="AQ7" s="113">
        <v>0</v>
      </c>
      <c r="AR7" s="113">
        <v>0</v>
      </c>
      <c r="AS7" s="110">
        <v>1</v>
      </c>
      <c r="AT7" s="110">
        <v>0.16666666666666666</v>
      </c>
      <c r="AU7" s="100">
        <v>1</v>
      </c>
      <c r="AV7" s="100">
        <v>0.16666666666666666</v>
      </c>
      <c r="AW7" s="100">
        <v>0</v>
      </c>
      <c r="AX7" s="100">
        <v>0.16666666666666666</v>
      </c>
      <c r="AY7" s="100">
        <v>0</v>
      </c>
      <c r="AZ7" s="100">
        <v>0</v>
      </c>
      <c r="BA7" s="100">
        <v>0.16666666666666666</v>
      </c>
      <c r="BB7" s="100">
        <v>0</v>
      </c>
      <c r="BC7" s="100">
        <v>0</v>
      </c>
      <c r="BD7" s="106">
        <v>2</v>
      </c>
      <c r="BE7" s="106"/>
      <c r="BF7" s="91">
        <v>0</v>
      </c>
      <c r="BG7" s="106" t="s">
        <v>735</v>
      </c>
      <c r="BH7" s="100"/>
      <c r="BI7" s="100"/>
      <c r="BJ7" s="111" t="s">
        <v>741</v>
      </c>
    </row>
    <row r="8" spans="1:62" ht="26">
      <c r="A8" s="101" t="s">
        <v>96</v>
      </c>
      <c r="B8" s="102" t="s">
        <v>32</v>
      </c>
      <c r="C8" s="102" t="s">
        <v>32</v>
      </c>
      <c r="D8" s="103">
        <v>79</v>
      </c>
      <c r="E8" s="103">
        <v>74</v>
      </c>
      <c r="F8" s="103">
        <v>2013</v>
      </c>
      <c r="G8" s="104">
        <v>71</v>
      </c>
      <c r="H8" s="105">
        <v>0</v>
      </c>
      <c r="I8" s="105">
        <v>2</v>
      </c>
      <c r="J8" s="100">
        <v>2015</v>
      </c>
      <c r="K8" s="100">
        <v>2021</v>
      </c>
      <c r="L8" s="100">
        <v>6</v>
      </c>
      <c r="M8" s="100">
        <v>1</v>
      </c>
      <c r="N8" s="126" t="s">
        <v>742</v>
      </c>
      <c r="O8" s="100" t="s">
        <v>35</v>
      </c>
      <c r="P8" s="100">
        <v>0</v>
      </c>
      <c r="Q8" s="100"/>
      <c r="R8" s="100" t="s">
        <v>30</v>
      </c>
      <c r="S8" s="104" t="s">
        <v>518</v>
      </c>
      <c r="T8" s="100" t="s">
        <v>47</v>
      </c>
      <c r="U8" s="100">
        <v>0</v>
      </c>
      <c r="V8" s="106">
        <v>18</v>
      </c>
      <c r="W8" s="104">
        <v>10</v>
      </c>
      <c r="X8" s="107">
        <v>20</v>
      </c>
      <c r="AA8" s="112">
        <v>2</v>
      </c>
      <c r="AB8" s="112">
        <v>0</v>
      </c>
      <c r="AC8" s="112">
        <v>0</v>
      </c>
      <c r="AD8" s="112">
        <v>1</v>
      </c>
      <c r="AE8" s="112">
        <v>0</v>
      </c>
      <c r="AF8" s="112">
        <v>2</v>
      </c>
      <c r="AG8" s="109">
        <v>9</v>
      </c>
      <c r="AH8" s="109">
        <v>0</v>
      </c>
      <c r="AI8" s="109">
        <v>7</v>
      </c>
      <c r="AJ8" s="109">
        <v>4</v>
      </c>
      <c r="AK8" s="109">
        <v>3</v>
      </c>
      <c r="AL8" s="109">
        <v>3</v>
      </c>
      <c r="AM8" s="113">
        <v>9</v>
      </c>
      <c r="AN8" s="113">
        <v>0</v>
      </c>
      <c r="AO8" s="107">
        <v>7</v>
      </c>
      <c r="AP8" s="107">
        <v>5</v>
      </c>
      <c r="AQ8" s="107">
        <v>3</v>
      </c>
      <c r="AR8" s="113">
        <v>5</v>
      </c>
      <c r="AS8" s="110">
        <v>20</v>
      </c>
      <c r="AT8" s="110">
        <v>2.8333333333333335</v>
      </c>
      <c r="AU8" s="100">
        <v>14</v>
      </c>
      <c r="AV8" s="100">
        <v>2.3333333333333335</v>
      </c>
      <c r="AW8" s="100">
        <v>1</v>
      </c>
      <c r="AX8" s="100">
        <v>1.5</v>
      </c>
      <c r="AY8" s="100">
        <v>0</v>
      </c>
      <c r="AZ8" s="100">
        <v>1.1666666666666667</v>
      </c>
      <c r="BA8" s="100">
        <v>0.66666666666666663</v>
      </c>
      <c r="BB8" s="100">
        <v>0.5</v>
      </c>
      <c r="BC8" s="100">
        <v>0.5</v>
      </c>
      <c r="BD8" s="106">
        <v>22</v>
      </c>
      <c r="BE8" s="106"/>
      <c r="BF8" s="91">
        <v>1</v>
      </c>
      <c r="BG8" s="106" t="s">
        <v>270</v>
      </c>
      <c r="BH8" s="100"/>
      <c r="BI8" s="100"/>
      <c r="BJ8" s="111" t="s">
        <v>742</v>
      </c>
    </row>
    <row r="9" spans="1:62" ht="26">
      <c r="A9" s="101" t="s">
        <v>96</v>
      </c>
      <c r="B9" s="102" t="s">
        <v>32</v>
      </c>
      <c r="C9" s="102" t="s">
        <v>32</v>
      </c>
      <c r="D9" s="103">
        <v>79</v>
      </c>
      <c r="E9" s="103">
        <v>74</v>
      </c>
      <c r="F9" s="103">
        <v>2013</v>
      </c>
      <c r="G9" s="104">
        <v>71</v>
      </c>
      <c r="H9" s="105">
        <v>0</v>
      </c>
      <c r="I9" s="105">
        <v>2</v>
      </c>
      <c r="J9" s="100">
        <v>2015</v>
      </c>
      <c r="K9" s="100">
        <v>2021</v>
      </c>
      <c r="L9" s="100">
        <v>6</v>
      </c>
      <c r="M9" s="100">
        <v>1</v>
      </c>
      <c r="N9" s="126" t="s">
        <v>743</v>
      </c>
      <c r="O9" s="100" t="s">
        <v>35</v>
      </c>
      <c r="P9" s="100">
        <v>0</v>
      </c>
      <c r="Q9" s="100"/>
      <c r="R9" s="100" t="s">
        <v>30</v>
      </c>
      <c r="S9" s="106" t="s">
        <v>358</v>
      </c>
      <c r="T9" s="100" t="s">
        <v>84</v>
      </c>
      <c r="U9" s="100">
        <v>0</v>
      </c>
      <c r="V9" s="106">
        <v>71</v>
      </c>
      <c r="W9" s="104">
        <v>6</v>
      </c>
      <c r="X9" s="107">
        <v>9</v>
      </c>
      <c r="AA9" s="112">
        <v>2</v>
      </c>
      <c r="AB9" s="112">
        <v>0</v>
      </c>
      <c r="AC9" s="112">
        <v>3</v>
      </c>
      <c r="AD9" s="112">
        <v>0</v>
      </c>
      <c r="AE9" s="112">
        <v>0</v>
      </c>
      <c r="AF9" s="112">
        <v>0</v>
      </c>
      <c r="AG9" s="109">
        <v>4</v>
      </c>
      <c r="AH9" s="109">
        <v>0</v>
      </c>
      <c r="AI9" s="109">
        <v>1</v>
      </c>
      <c r="AJ9" s="109">
        <v>3</v>
      </c>
      <c r="AK9" s="109">
        <v>1</v>
      </c>
      <c r="AL9" s="109">
        <v>1</v>
      </c>
      <c r="AM9" s="113">
        <v>6</v>
      </c>
      <c r="AN9" s="113">
        <v>0</v>
      </c>
      <c r="AO9" s="113">
        <v>4</v>
      </c>
      <c r="AP9" s="113">
        <v>3</v>
      </c>
      <c r="AQ9" s="113">
        <v>1</v>
      </c>
      <c r="AR9" s="113">
        <v>1</v>
      </c>
      <c r="AS9" s="110">
        <v>9</v>
      </c>
      <c r="AT9" s="110">
        <v>1</v>
      </c>
      <c r="AU9" s="100">
        <v>5</v>
      </c>
      <c r="AV9" s="100">
        <v>0.83333333333333337</v>
      </c>
      <c r="AW9" s="100">
        <v>3</v>
      </c>
      <c r="AX9" s="100">
        <v>0.66666666666666663</v>
      </c>
      <c r="AY9" s="100">
        <v>0</v>
      </c>
      <c r="AZ9" s="100">
        <v>0.16666666666666666</v>
      </c>
      <c r="BA9" s="100">
        <v>0.5</v>
      </c>
      <c r="BB9" s="100">
        <v>0.16666666666666666</v>
      </c>
      <c r="BC9" s="100">
        <v>0.16666666666666666</v>
      </c>
      <c r="BD9" s="106">
        <v>7</v>
      </c>
      <c r="BE9" s="106"/>
      <c r="BF9" s="91">
        <v>1</v>
      </c>
      <c r="BG9" s="114" t="s">
        <v>725</v>
      </c>
      <c r="BH9" s="100"/>
      <c r="BI9" s="100"/>
      <c r="BJ9" s="111" t="s">
        <v>743</v>
      </c>
    </row>
    <row r="10" spans="1:62">
      <c r="A10" s="101" t="s">
        <v>131</v>
      </c>
      <c r="B10" s="102" t="s">
        <v>32</v>
      </c>
      <c r="C10" s="102" t="s">
        <v>32</v>
      </c>
      <c r="D10" s="103">
        <v>94</v>
      </c>
      <c r="E10" s="103">
        <v>79</v>
      </c>
      <c r="F10" s="103">
        <v>2010</v>
      </c>
      <c r="G10" s="104">
        <v>10</v>
      </c>
      <c r="H10" s="105">
        <v>0</v>
      </c>
      <c r="I10" s="105">
        <v>2</v>
      </c>
      <c r="J10" s="100">
        <v>2016</v>
      </c>
      <c r="K10" s="100">
        <v>2023</v>
      </c>
      <c r="L10" s="100">
        <v>7</v>
      </c>
      <c r="M10" s="100">
        <v>1</v>
      </c>
      <c r="N10" s="125" t="s">
        <v>744</v>
      </c>
      <c r="O10" s="100" t="s">
        <v>35</v>
      </c>
      <c r="P10" s="100">
        <v>0</v>
      </c>
      <c r="Q10" s="106"/>
      <c r="R10" s="100" t="s">
        <v>30</v>
      </c>
      <c r="S10" s="100" t="s">
        <v>147</v>
      </c>
      <c r="T10" s="106" t="s">
        <v>47</v>
      </c>
      <c r="U10" s="106">
        <v>0</v>
      </c>
      <c r="V10" s="106">
        <v>14</v>
      </c>
      <c r="W10" s="100">
        <v>5</v>
      </c>
      <c r="X10" s="107">
        <v>19</v>
      </c>
      <c r="AA10" s="108">
        <v>0</v>
      </c>
      <c r="AB10" s="108">
        <v>0</v>
      </c>
      <c r="AC10" s="108">
        <v>0</v>
      </c>
      <c r="AD10" s="108">
        <v>0</v>
      </c>
      <c r="AE10" s="108">
        <v>0</v>
      </c>
      <c r="AF10" s="108">
        <v>0</v>
      </c>
      <c r="AG10" s="109">
        <v>10</v>
      </c>
      <c r="AH10" s="109">
        <v>2</v>
      </c>
      <c r="AI10" s="109">
        <v>12</v>
      </c>
      <c r="AJ10" s="109">
        <v>3</v>
      </c>
      <c r="AK10" s="109">
        <v>0</v>
      </c>
      <c r="AL10" s="109">
        <v>2</v>
      </c>
      <c r="AM10" s="107">
        <v>10</v>
      </c>
      <c r="AN10" s="107">
        <v>2</v>
      </c>
      <c r="AO10" s="107">
        <v>12</v>
      </c>
      <c r="AP10" s="107">
        <v>3</v>
      </c>
      <c r="AQ10" s="107">
        <v>0</v>
      </c>
      <c r="AR10" s="107">
        <v>2</v>
      </c>
      <c r="AS10" s="110">
        <v>19</v>
      </c>
      <c r="AT10" s="110">
        <v>2.7142857142857144</v>
      </c>
      <c r="AU10" s="100">
        <v>17</v>
      </c>
      <c r="AV10" s="100">
        <v>2.4285714285714284</v>
      </c>
      <c r="AW10" s="100">
        <v>0</v>
      </c>
      <c r="AX10" s="100">
        <v>1.4285714285714286</v>
      </c>
      <c r="AY10" s="100">
        <v>0.2857142857142857</v>
      </c>
      <c r="AZ10" s="100">
        <v>1.7142857142857142</v>
      </c>
      <c r="BA10" s="100">
        <v>0.42857142857142855</v>
      </c>
      <c r="BB10" s="100">
        <v>0</v>
      </c>
      <c r="BC10" s="100">
        <v>0.2857142857142857</v>
      </c>
      <c r="BD10" s="106"/>
      <c r="BE10" s="106"/>
      <c r="BF10" s="91">
        <v>0</v>
      </c>
      <c r="BG10" s="106" t="s">
        <v>716</v>
      </c>
      <c r="BH10" s="100"/>
      <c r="BI10" s="100"/>
      <c r="BJ10" s="100" t="s">
        <v>744</v>
      </c>
    </row>
    <row r="11" spans="1:62">
      <c r="A11" s="101" t="s">
        <v>131</v>
      </c>
      <c r="B11" s="102" t="s">
        <v>32</v>
      </c>
      <c r="C11" s="102" t="s">
        <v>32</v>
      </c>
      <c r="D11" s="103">
        <v>94</v>
      </c>
      <c r="E11" s="103">
        <v>79</v>
      </c>
      <c r="F11" s="103">
        <v>2010</v>
      </c>
      <c r="G11" s="104">
        <v>10</v>
      </c>
      <c r="H11" s="105">
        <v>0</v>
      </c>
      <c r="I11" s="105">
        <v>2</v>
      </c>
      <c r="J11" s="100">
        <v>2015</v>
      </c>
      <c r="K11" s="100">
        <v>2023</v>
      </c>
      <c r="L11" s="100">
        <v>8</v>
      </c>
      <c r="M11" s="100">
        <v>1</v>
      </c>
      <c r="N11" s="125" t="s">
        <v>745</v>
      </c>
      <c r="O11" s="100" t="s">
        <v>35</v>
      </c>
      <c r="P11" s="100">
        <v>0</v>
      </c>
      <c r="Q11" s="106"/>
      <c r="R11" s="100" t="s">
        <v>30</v>
      </c>
      <c r="S11" s="100" t="s">
        <v>59</v>
      </c>
      <c r="T11" s="106" t="s">
        <v>101</v>
      </c>
      <c r="U11" s="106">
        <v>0</v>
      </c>
      <c r="V11" s="106">
        <v>37</v>
      </c>
      <c r="W11" s="100">
        <v>4</v>
      </c>
      <c r="X11" s="107">
        <v>25</v>
      </c>
      <c r="AA11" s="108">
        <v>2</v>
      </c>
      <c r="AB11" s="108">
        <v>0</v>
      </c>
      <c r="AC11" s="108">
        <v>8</v>
      </c>
      <c r="AD11" s="108">
        <v>0</v>
      </c>
      <c r="AE11" s="108">
        <v>1</v>
      </c>
      <c r="AF11" s="108">
        <v>0</v>
      </c>
      <c r="AG11" s="109">
        <v>1</v>
      </c>
      <c r="AH11" s="109">
        <v>3</v>
      </c>
      <c r="AI11" s="109">
        <v>9</v>
      </c>
      <c r="AJ11" s="109">
        <v>2</v>
      </c>
      <c r="AK11" s="109">
        <v>0</v>
      </c>
      <c r="AL11" s="109">
        <v>2</v>
      </c>
      <c r="AM11" s="107">
        <v>3</v>
      </c>
      <c r="AN11" s="107">
        <v>3</v>
      </c>
      <c r="AO11" s="107">
        <v>17</v>
      </c>
      <c r="AP11" s="107">
        <v>2</v>
      </c>
      <c r="AQ11" s="107">
        <v>1</v>
      </c>
      <c r="AR11" s="107">
        <v>2</v>
      </c>
      <c r="AS11" s="110">
        <v>25</v>
      </c>
      <c r="AT11" s="110">
        <v>2</v>
      </c>
      <c r="AU11" s="100">
        <v>14</v>
      </c>
      <c r="AV11" s="100">
        <v>1.75</v>
      </c>
      <c r="AW11" s="100">
        <v>9</v>
      </c>
      <c r="AX11" s="100">
        <v>0.125</v>
      </c>
      <c r="AY11" s="100">
        <v>0.375</v>
      </c>
      <c r="AZ11" s="100">
        <v>1.125</v>
      </c>
      <c r="BA11" s="100">
        <v>0.25</v>
      </c>
      <c r="BB11" s="100">
        <v>0</v>
      </c>
      <c r="BC11" s="100">
        <v>0.25</v>
      </c>
      <c r="BD11" s="106"/>
      <c r="BE11" s="106"/>
      <c r="BF11" s="91">
        <v>0</v>
      </c>
      <c r="BG11" s="106" t="s">
        <v>717</v>
      </c>
      <c r="BH11" s="100"/>
      <c r="BI11" s="100"/>
      <c r="BJ11" s="100" t="s">
        <v>745</v>
      </c>
    </row>
    <row r="12" spans="1:62">
      <c r="A12" s="101" t="s">
        <v>131</v>
      </c>
      <c r="B12" s="102" t="s">
        <v>32</v>
      </c>
      <c r="C12" s="102" t="s">
        <v>32</v>
      </c>
      <c r="D12" s="103">
        <v>94</v>
      </c>
      <c r="E12" s="103">
        <v>79</v>
      </c>
      <c r="F12" s="103">
        <v>2010</v>
      </c>
      <c r="G12" s="104">
        <v>10</v>
      </c>
      <c r="H12" s="105">
        <v>0</v>
      </c>
      <c r="I12" s="105">
        <v>2</v>
      </c>
      <c r="J12" s="100">
        <v>2016</v>
      </c>
      <c r="K12" s="100">
        <v>2022</v>
      </c>
      <c r="L12" s="100">
        <v>6</v>
      </c>
      <c r="M12" s="100">
        <v>1</v>
      </c>
      <c r="N12" s="127" t="s">
        <v>746</v>
      </c>
      <c r="O12" s="100" t="s">
        <v>35</v>
      </c>
      <c r="P12" s="100">
        <v>0</v>
      </c>
      <c r="Q12" s="106"/>
      <c r="R12" s="100" t="s">
        <v>39</v>
      </c>
      <c r="S12" s="100" t="s">
        <v>288</v>
      </c>
      <c r="T12" s="106" t="s">
        <v>47</v>
      </c>
      <c r="U12" s="106" t="s">
        <v>559</v>
      </c>
      <c r="V12" s="106">
        <v>3</v>
      </c>
      <c r="W12" s="100">
        <v>6</v>
      </c>
      <c r="X12" s="107">
        <v>13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2">
        <v>0</v>
      </c>
      <c r="AG12" s="109">
        <v>5</v>
      </c>
      <c r="AH12" s="109">
        <v>0</v>
      </c>
      <c r="AI12" s="109">
        <v>5</v>
      </c>
      <c r="AJ12" s="109">
        <v>4</v>
      </c>
      <c r="AK12" s="109">
        <v>4</v>
      </c>
      <c r="AL12" s="109">
        <v>0</v>
      </c>
      <c r="AM12" s="113">
        <v>5</v>
      </c>
      <c r="AN12" s="113">
        <v>0</v>
      </c>
      <c r="AO12" s="113">
        <v>5</v>
      </c>
      <c r="AP12" s="113">
        <v>4</v>
      </c>
      <c r="AQ12" s="113">
        <v>4</v>
      </c>
      <c r="AR12" s="113">
        <v>0</v>
      </c>
      <c r="AS12" s="110">
        <v>13</v>
      </c>
      <c r="AT12" s="110">
        <v>2.1666666666666665</v>
      </c>
      <c r="AU12" s="100">
        <v>13</v>
      </c>
      <c r="AV12" s="100">
        <v>2.1666666666666665</v>
      </c>
      <c r="AW12" s="100">
        <v>0</v>
      </c>
      <c r="AX12" s="100">
        <v>0.83333333333333337</v>
      </c>
      <c r="AY12" s="100">
        <v>0</v>
      </c>
      <c r="AZ12" s="100">
        <v>0.83333333333333337</v>
      </c>
      <c r="BA12" s="100">
        <v>0.66666666666666663</v>
      </c>
      <c r="BB12" s="100">
        <v>0.66666666666666663</v>
      </c>
      <c r="BC12" s="100">
        <v>0</v>
      </c>
      <c r="BD12" s="106"/>
      <c r="BE12" s="106"/>
      <c r="BF12" s="91">
        <v>0</v>
      </c>
      <c r="BG12" s="106" t="s">
        <v>570</v>
      </c>
      <c r="BH12" s="100"/>
      <c r="BI12" s="100"/>
      <c r="BJ12" s="104" t="s">
        <v>746</v>
      </c>
    </row>
    <row r="13" spans="1:62" s="100" customFormat="1" ht="13">
      <c r="A13" s="101" t="s">
        <v>131</v>
      </c>
      <c r="B13" s="102" t="s">
        <v>32</v>
      </c>
      <c r="C13" s="102" t="s">
        <v>32</v>
      </c>
      <c r="D13" s="103">
        <v>94</v>
      </c>
      <c r="E13" s="103">
        <v>79</v>
      </c>
      <c r="F13" s="103">
        <v>2010</v>
      </c>
      <c r="G13" s="104">
        <v>10</v>
      </c>
      <c r="H13" s="105">
        <v>0</v>
      </c>
      <c r="I13" s="105">
        <v>2</v>
      </c>
      <c r="J13" s="100">
        <v>2015</v>
      </c>
      <c r="K13" s="100">
        <v>2022</v>
      </c>
      <c r="L13" s="100">
        <v>6</v>
      </c>
      <c r="M13" s="100">
        <v>1</v>
      </c>
      <c r="N13" s="127" t="s">
        <v>747</v>
      </c>
      <c r="O13" s="100" t="s">
        <v>35</v>
      </c>
      <c r="P13" s="100">
        <v>0</v>
      </c>
      <c r="Q13" s="106"/>
      <c r="R13" s="100" t="s">
        <v>30</v>
      </c>
      <c r="S13" s="100" t="s">
        <v>697</v>
      </c>
      <c r="T13" s="106" t="s">
        <v>47</v>
      </c>
      <c r="U13" s="106">
        <v>0</v>
      </c>
      <c r="V13" s="106">
        <v>11</v>
      </c>
      <c r="W13" s="100">
        <v>11</v>
      </c>
      <c r="X13" s="107">
        <v>18</v>
      </c>
      <c r="AA13" s="112">
        <v>1</v>
      </c>
      <c r="AB13" s="112">
        <v>4</v>
      </c>
      <c r="AC13" s="112">
        <v>1</v>
      </c>
      <c r="AD13" s="112">
        <v>0</v>
      </c>
      <c r="AE13" s="112">
        <v>1</v>
      </c>
      <c r="AF13" s="112">
        <v>0</v>
      </c>
      <c r="AG13" s="109">
        <v>6</v>
      </c>
      <c r="AH13" s="109">
        <v>1</v>
      </c>
      <c r="AI13" s="109">
        <v>2</v>
      </c>
      <c r="AJ13" s="109">
        <v>0</v>
      </c>
      <c r="AK13" s="109">
        <v>4</v>
      </c>
      <c r="AL13" s="109">
        <v>5</v>
      </c>
      <c r="AM13" s="113">
        <v>7</v>
      </c>
      <c r="AN13" s="113">
        <v>5</v>
      </c>
      <c r="AO13" s="113">
        <v>3</v>
      </c>
      <c r="AP13" s="113">
        <v>0</v>
      </c>
      <c r="AQ13" s="113">
        <v>5</v>
      </c>
      <c r="AR13" s="113">
        <v>5</v>
      </c>
      <c r="AS13" s="110">
        <v>18</v>
      </c>
      <c r="AT13" s="110">
        <v>2</v>
      </c>
      <c r="AU13" s="100">
        <v>7</v>
      </c>
      <c r="AV13" s="100">
        <v>1.1666666666666667</v>
      </c>
      <c r="AW13" s="100">
        <v>6</v>
      </c>
      <c r="AX13" s="100">
        <v>1</v>
      </c>
      <c r="AY13" s="100">
        <v>0.16666666666666666</v>
      </c>
      <c r="AZ13" s="100">
        <v>0.33333333333333331</v>
      </c>
      <c r="BA13" s="100">
        <v>0</v>
      </c>
      <c r="BB13" s="100">
        <v>0.66666666666666663</v>
      </c>
      <c r="BC13" s="100">
        <v>0.83333333333333337</v>
      </c>
      <c r="BD13" s="100">
        <v>4</v>
      </c>
      <c r="BF13" s="91">
        <v>1</v>
      </c>
      <c r="BG13" s="100" t="s">
        <v>698</v>
      </c>
      <c r="BJ13" s="104" t="s">
        <v>747</v>
      </c>
    </row>
    <row r="14" spans="1:62" ht="52">
      <c r="A14" s="101" t="s">
        <v>152</v>
      </c>
      <c r="B14" s="102" t="s">
        <v>32</v>
      </c>
      <c r="C14" s="102" t="s">
        <v>32</v>
      </c>
      <c r="D14" s="103">
        <v>97</v>
      </c>
      <c r="E14" s="103">
        <v>82</v>
      </c>
      <c r="F14" s="103">
        <v>2014</v>
      </c>
      <c r="G14" s="104">
        <v>5</v>
      </c>
      <c r="H14" s="105">
        <v>0</v>
      </c>
      <c r="I14" s="105">
        <v>1</v>
      </c>
      <c r="J14" s="100">
        <v>2017</v>
      </c>
      <c r="K14" s="100">
        <v>2023</v>
      </c>
      <c r="L14" s="100">
        <v>6</v>
      </c>
      <c r="M14" s="100">
        <v>1</v>
      </c>
      <c r="N14" s="125" t="s">
        <v>748</v>
      </c>
      <c r="O14" s="100" t="s">
        <v>28</v>
      </c>
      <c r="P14" s="100">
        <v>0</v>
      </c>
      <c r="Q14" s="106"/>
      <c r="R14" s="100" t="s">
        <v>156</v>
      </c>
      <c r="S14" s="115" t="s">
        <v>162</v>
      </c>
      <c r="T14" s="106" t="s">
        <v>84</v>
      </c>
      <c r="U14" s="106">
        <v>0</v>
      </c>
      <c r="V14" s="106">
        <v>51</v>
      </c>
      <c r="W14" s="100">
        <v>8</v>
      </c>
      <c r="X14" s="107">
        <v>38</v>
      </c>
      <c r="AA14" s="108">
        <v>7</v>
      </c>
      <c r="AB14" s="108">
        <v>0</v>
      </c>
      <c r="AC14" s="108">
        <v>11</v>
      </c>
      <c r="AD14" s="108">
        <v>0</v>
      </c>
      <c r="AE14" s="108">
        <v>2</v>
      </c>
      <c r="AF14" s="108">
        <v>3</v>
      </c>
      <c r="AG14" s="109">
        <v>3</v>
      </c>
      <c r="AH14" s="109">
        <v>4</v>
      </c>
      <c r="AI14" s="109">
        <v>14</v>
      </c>
      <c r="AJ14" s="109">
        <v>2</v>
      </c>
      <c r="AK14" s="109">
        <v>2</v>
      </c>
      <c r="AL14" s="109">
        <v>0</v>
      </c>
      <c r="AM14" s="107">
        <v>10</v>
      </c>
      <c r="AN14" s="107">
        <v>4</v>
      </c>
      <c r="AO14" s="107">
        <v>25</v>
      </c>
      <c r="AP14" s="107">
        <v>2</v>
      </c>
      <c r="AQ14" s="107">
        <v>4</v>
      </c>
      <c r="AR14" s="107">
        <v>3</v>
      </c>
      <c r="AS14" s="110">
        <v>38</v>
      </c>
      <c r="AT14" s="110">
        <v>3.6666666666666665</v>
      </c>
      <c r="AU14" s="100">
        <v>22</v>
      </c>
      <c r="AV14" s="100">
        <v>3.6666666666666665</v>
      </c>
      <c r="AW14" s="100">
        <v>13</v>
      </c>
      <c r="AX14" s="100">
        <v>0.5</v>
      </c>
      <c r="AY14" s="100">
        <v>0.66666666666666663</v>
      </c>
      <c r="AZ14" s="100">
        <v>2.3333333333333335</v>
      </c>
      <c r="BA14" s="100">
        <v>0.33333333333333331</v>
      </c>
      <c r="BB14" s="100">
        <v>0.33333333333333331</v>
      </c>
      <c r="BC14" s="100">
        <v>0</v>
      </c>
      <c r="BD14" s="106">
        <v>3</v>
      </c>
      <c r="BE14" s="106"/>
      <c r="BF14" s="91">
        <v>1</v>
      </c>
      <c r="BG14" s="106" t="s">
        <v>718</v>
      </c>
      <c r="BH14" s="100"/>
      <c r="BI14" s="100"/>
      <c r="BJ14" s="100" t="s">
        <v>748</v>
      </c>
    </row>
    <row r="15" spans="1:62">
      <c r="A15" s="101" t="s">
        <v>166</v>
      </c>
      <c r="B15" s="102" t="s">
        <v>85</v>
      </c>
      <c r="C15" s="102" t="s">
        <v>33</v>
      </c>
      <c r="D15" s="103">
        <v>65</v>
      </c>
      <c r="E15" s="103">
        <v>97</v>
      </c>
      <c r="F15" s="103">
        <v>2012</v>
      </c>
      <c r="G15" s="104">
        <v>19</v>
      </c>
      <c r="H15" s="105">
        <v>0</v>
      </c>
      <c r="I15" s="105">
        <v>2</v>
      </c>
      <c r="J15" s="100">
        <v>2017</v>
      </c>
      <c r="K15" s="100">
        <v>2023</v>
      </c>
      <c r="L15" s="100">
        <v>6</v>
      </c>
      <c r="M15" s="100">
        <v>1</v>
      </c>
      <c r="N15" s="125" t="s">
        <v>749</v>
      </c>
      <c r="O15" s="100" t="s">
        <v>28</v>
      </c>
      <c r="P15" s="100">
        <v>0</v>
      </c>
      <c r="Q15" s="100"/>
      <c r="R15" s="100" t="s">
        <v>30</v>
      </c>
      <c r="S15" s="100" t="s">
        <v>177</v>
      </c>
      <c r="T15" s="106" t="s">
        <v>84</v>
      </c>
      <c r="U15" s="106">
        <v>0</v>
      </c>
      <c r="V15" s="106">
        <v>64</v>
      </c>
      <c r="W15" s="100">
        <v>1</v>
      </c>
      <c r="X15" s="107">
        <v>6</v>
      </c>
      <c r="AA15" s="108">
        <v>0</v>
      </c>
      <c r="AB15" s="108">
        <v>0</v>
      </c>
      <c r="AC15" s="108">
        <v>0</v>
      </c>
      <c r="AD15" s="108">
        <v>0</v>
      </c>
      <c r="AE15" s="108">
        <v>0</v>
      </c>
      <c r="AF15" s="108">
        <v>0</v>
      </c>
      <c r="AG15" s="109">
        <v>6</v>
      </c>
      <c r="AH15" s="109">
        <v>0</v>
      </c>
      <c r="AI15" s="109">
        <v>0</v>
      </c>
      <c r="AJ15" s="109">
        <v>2</v>
      </c>
      <c r="AK15" s="109">
        <v>3</v>
      </c>
      <c r="AL15" s="109">
        <v>1</v>
      </c>
      <c r="AM15" s="107">
        <v>6</v>
      </c>
      <c r="AN15" s="107">
        <v>0</v>
      </c>
      <c r="AO15" s="107">
        <v>0</v>
      </c>
      <c r="AP15" s="107">
        <v>2</v>
      </c>
      <c r="AQ15" s="107">
        <v>3</v>
      </c>
      <c r="AR15" s="107">
        <v>1</v>
      </c>
      <c r="AS15" s="110">
        <v>6</v>
      </c>
      <c r="AT15" s="110">
        <v>1</v>
      </c>
      <c r="AU15" s="100">
        <v>5</v>
      </c>
      <c r="AV15" s="100">
        <v>0.83333333333333337</v>
      </c>
      <c r="AW15" s="100">
        <v>0</v>
      </c>
      <c r="AX15" s="100">
        <v>1</v>
      </c>
      <c r="AY15" s="100">
        <v>0</v>
      </c>
      <c r="AZ15" s="100">
        <v>0</v>
      </c>
      <c r="BA15" s="100">
        <v>0.33333333333333331</v>
      </c>
      <c r="BB15" s="100">
        <v>0.5</v>
      </c>
      <c r="BC15" s="100">
        <v>0.16666666666666666</v>
      </c>
      <c r="BD15" s="106">
        <v>0</v>
      </c>
      <c r="BE15" s="106"/>
      <c r="BF15" s="91">
        <v>2</v>
      </c>
      <c r="BG15" s="106" t="s">
        <v>719</v>
      </c>
      <c r="BH15" s="100"/>
      <c r="BI15" s="100"/>
      <c r="BJ15" s="100" t="s">
        <v>749</v>
      </c>
    </row>
    <row r="16" spans="1:62">
      <c r="A16" s="101" t="s">
        <v>166</v>
      </c>
      <c r="B16" s="102" t="s">
        <v>85</v>
      </c>
      <c r="C16" s="102" t="s">
        <v>33</v>
      </c>
      <c r="D16" s="103">
        <v>65</v>
      </c>
      <c r="E16" s="103">
        <v>97</v>
      </c>
      <c r="F16" s="103">
        <v>2012</v>
      </c>
      <c r="G16" s="104">
        <v>19</v>
      </c>
      <c r="H16" s="105">
        <v>0</v>
      </c>
      <c r="I16" s="105">
        <v>2</v>
      </c>
      <c r="J16" s="100">
        <v>2017</v>
      </c>
      <c r="K16" s="100">
        <v>2023</v>
      </c>
      <c r="L16" s="100">
        <v>6</v>
      </c>
      <c r="M16" s="100">
        <v>1</v>
      </c>
      <c r="N16" s="125" t="s">
        <v>750</v>
      </c>
      <c r="O16" s="100" t="s">
        <v>35</v>
      </c>
      <c r="P16" s="100">
        <v>0</v>
      </c>
      <c r="Q16" s="100"/>
      <c r="R16" s="100" t="s">
        <v>30</v>
      </c>
      <c r="S16" s="100" t="s">
        <v>573</v>
      </c>
      <c r="T16" s="106" t="s">
        <v>84</v>
      </c>
      <c r="U16" s="106">
        <v>0</v>
      </c>
      <c r="V16" s="106">
        <v>56</v>
      </c>
      <c r="W16" s="100">
        <v>1</v>
      </c>
      <c r="X16" s="107">
        <v>1</v>
      </c>
      <c r="AA16" s="108">
        <v>0</v>
      </c>
      <c r="AB16" s="108">
        <v>0</v>
      </c>
      <c r="AC16" s="108">
        <v>0</v>
      </c>
      <c r="AD16" s="108">
        <v>0</v>
      </c>
      <c r="AE16" s="108">
        <v>0</v>
      </c>
      <c r="AF16" s="108">
        <v>0</v>
      </c>
      <c r="AG16" s="109">
        <v>1</v>
      </c>
      <c r="AH16" s="109">
        <v>0</v>
      </c>
      <c r="AI16" s="109">
        <v>0</v>
      </c>
      <c r="AJ16" s="109">
        <v>0</v>
      </c>
      <c r="AK16" s="109">
        <v>1</v>
      </c>
      <c r="AL16" s="109">
        <v>0</v>
      </c>
      <c r="AM16" s="107">
        <v>1</v>
      </c>
      <c r="AN16" s="107">
        <v>0</v>
      </c>
      <c r="AO16" s="107">
        <v>0</v>
      </c>
      <c r="AP16" s="107">
        <v>0</v>
      </c>
      <c r="AQ16" s="107">
        <v>1</v>
      </c>
      <c r="AR16" s="107">
        <v>0</v>
      </c>
      <c r="AS16" s="110">
        <v>1</v>
      </c>
      <c r="AT16" s="110">
        <v>0.16666666666666666</v>
      </c>
      <c r="AU16" s="100">
        <v>1</v>
      </c>
      <c r="AV16" s="100">
        <v>0.16666666666666666</v>
      </c>
      <c r="AW16" s="100">
        <v>0</v>
      </c>
      <c r="AX16" s="100">
        <v>0.16666666666666666</v>
      </c>
      <c r="AY16" s="100">
        <v>0</v>
      </c>
      <c r="AZ16" s="100">
        <v>0</v>
      </c>
      <c r="BA16" s="100">
        <v>0</v>
      </c>
      <c r="BB16" s="100">
        <v>0.16666666666666666</v>
      </c>
      <c r="BC16" s="100">
        <v>0</v>
      </c>
      <c r="BD16" s="106">
        <v>0</v>
      </c>
      <c r="BE16" s="106"/>
      <c r="BF16" s="91">
        <v>1</v>
      </c>
      <c r="BG16" s="106" t="s">
        <v>720</v>
      </c>
      <c r="BH16" s="100"/>
      <c r="BI16" s="100"/>
      <c r="BJ16" s="100" t="s">
        <v>750</v>
      </c>
    </row>
    <row r="17" spans="1:62">
      <c r="A17" s="101" t="s">
        <v>166</v>
      </c>
      <c r="B17" s="102" t="s">
        <v>85</v>
      </c>
      <c r="C17" s="102" t="s">
        <v>33</v>
      </c>
      <c r="D17" s="103">
        <v>65</v>
      </c>
      <c r="E17" s="103">
        <v>97</v>
      </c>
      <c r="F17" s="103">
        <v>2012</v>
      </c>
      <c r="G17" s="104">
        <v>19</v>
      </c>
      <c r="H17" s="105">
        <v>0</v>
      </c>
      <c r="I17" s="105">
        <v>2</v>
      </c>
      <c r="J17" s="100">
        <v>2015</v>
      </c>
      <c r="K17" s="100">
        <v>2022</v>
      </c>
      <c r="L17" s="100">
        <v>7</v>
      </c>
      <c r="M17" s="100">
        <v>1</v>
      </c>
      <c r="N17" s="125" t="s">
        <v>751</v>
      </c>
      <c r="O17" s="100" t="s">
        <v>28</v>
      </c>
      <c r="P17" s="100">
        <v>0</v>
      </c>
      <c r="Q17" s="100"/>
      <c r="R17" s="100" t="s">
        <v>39</v>
      </c>
      <c r="S17" s="100" t="s">
        <v>264</v>
      </c>
      <c r="T17" s="106" t="s">
        <v>218</v>
      </c>
      <c r="U17" s="106">
        <v>0</v>
      </c>
      <c r="V17" s="106">
        <v>13</v>
      </c>
      <c r="W17" s="100">
        <v>13</v>
      </c>
      <c r="X17" s="107">
        <v>45</v>
      </c>
      <c r="AA17" s="112">
        <v>4</v>
      </c>
      <c r="AB17" s="112">
        <v>1</v>
      </c>
      <c r="AC17" s="112">
        <v>5</v>
      </c>
      <c r="AD17" s="112">
        <v>1</v>
      </c>
      <c r="AE17" s="112">
        <v>1</v>
      </c>
      <c r="AF17" s="112">
        <v>0</v>
      </c>
      <c r="AG17" s="109">
        <v>20</v>
      </c>
      <c r="AH17" s="109">
        <v>5</v>
      </c>
      <c r="AI17" s="109">
        <v>18</v>
      </c>
      <c r="AJ17" s="109">
        <v>5</v>
      </c>
      <c r="AK17" s="109">
        <v>2</v>
      </c>
      <c r="AL17" s="109">
        <v>7</v>
      </c>
      <c r="AM17" s="113">
        <v>24</v>
      </c>
      <c r="AN17" s="113">
        <v>6</v>
      </c>
      <c r="AO17" s="113">
        <v>23</v>
      </c>
      <c r="AP17" s="113">
        <v>6</v>
      </c>
      <c r="AQ17" s="113">
        <v>3</v>
      </c>
      <c r="AR17" s="113">
        <v>7</v>
      </c>
      <c r="AS17" s="110">
        <v>45</v>
      </c>
      <c r="AT17" s="110">
        <v>5.2857142857142856</v>
      </c>
      <c r="AU17" s="100">
        <v>30</v>
      </c>
      <c r="AV17" s="100">
        <v>4.2857142857142856</v>
      </c>
      <c r="AW17" s="100">
        <v>8</v>
      </c>
      <c r="AX17" s="100">
        <v>2.8571428571428572</v>
      </c>
      <c r="AY17" s="100">
        <v>0.7142857142857143</v>
      </c>
      <c r="AZ17" s="100">
        <v>2.5714285714285716</v>
      </c>
      <c r="BA17" s="100">
        <v>0.7142857142857143</v>
      </c>
      <c r="BB17" s="100">
        <v>0.2857142857142857</v>
      </c>
      <c r="BC17" s="100">
        <v>1</v>
      </c>
      <c r="BD17" s="106">
        <v>1</v>
      </c>
      <c r="BE17" s="106"/>
      <c r="BF17" s="91">
        <v>1</v>
      </c>
      <c r="BG17" s="106" t="s">
        <v>639</v>
      </c>
      <c r="BH17" s="100"/>
      <c r="BI17" s="100"/>
      <c r="BJ17" s="100" t="s">
        <v>751</v>
      </c>
    </row>
    <row r="18" spans="1:62">
      <c r="A18" s="101" t="s">
        <v>166</v>
      </c>
      <c r="B18" s="102" t="s">
        <v>85</v>
      </c>
      <c r="C18" s="102" t="s">
        <v>33</v>
      </c>
      <c r="D18" s="103">
        <v>65</v>
      </c>
      <c r="E18" s="103">
        <v>97</v>
      </c>
      <c r="F18" s="103">
        <v>2012</v>
      </c>
      <c r="G18" s="104">
        <v>19</v>
      </c>
      <c r="H18" s="105">
        <v>0</v>
      </c>
      <c r="I18" s="105">
        <v>2</v>
      </c>
      <c r="J18" s="100">
        <v>2016</v>
      </c>
      <c r="K18" s="100">
        <v>2022</v>
      </c>
      <c r="L18" s="100">
        <v>6</v>
      </c>
      <c r="M18" s="100">
        <v>1</v>
      </c>
      <c r="N18" s="125" t="s">
        <v>752</v>
      </c>
      <c r="O18" s="100" t="s">
        <v>28</v>
      </c>
      <c r="P18" s="100">
        <v>0</v>
      </c>
      <c r="Q18" s="100"/>
      <c r="R18" s="100" t="s">
        <v>30</v>
      </c>
      <c r="S18" s="106" t="s">
        <v>450</v>
      </c>
      <c r="T18" s="106" t="s">
        <v>84</v>
      </c>
      <c r="U18" s="106">
        <v>0</v>
      </c>
      <c r="V18" s="106">
        <v>47</v>
      </c>
      <c r="W18" s="100">
        <v>2</v>
      </c>
      <c r="X18" s="107">
        <v>6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2">
        <v>0</v>
      </c>
      <c r="AG18" s="109">
        <v>3</v>
      </c>
      <c r="AH18" s="109">
        <v>0</v>
      </c>
      <c r="AI18" s="109">
        <v>3</v>
      </c>
      <c r="AJ18" s="109">
        <v>1</v>
      </c>
      <c r="AK18" s="109">
        <v>0</v>
      </c>
      <c r="AL18" s="109">
        <v>2</v>
      </c>
      <c r="AM18" s="113">
        <v>3</v>
      </c>
      <c r="AN18" s="113">
        <v>0</v>
      </c>
      <c r="AO18" s="113">
        <v>3</v>
      </c>
      <c r="AP18" s="113">
        <v>1</v>
      </c>
      <c r="AQ18" s="113">
        <v>0</v>
      </c>
      <c r="AR18" s="113">
        <v>2</v>
      </c>
      <c r="AS18" s="110">
        <v>6</v>
      </c>
      <c r="AT18" s="110">
        <v>1</v>
      </c>
      <c r="AU18" s="100">
        <v>4</v>
      </c>
      <c r="AV18" s="100">
        <v>0.66666666666666663</v>
      </c>
      <c r="AW18" s="100">
        <v>0</v>
      </c>
      <c r="AX18" s="100">
        <v>0.5</v>
      </c>
      <c r="AY18" s="100">
        <v>0</v>
      </c>
      <c r="AZ18" s="100">
        <v>0.5</v>
      </c>
      <c r="BA18" s="100">
        <v>0.16666666666666666</v>
      </c>
      <c r="BB18" s="100">
        <v>0</v>
      </c>
      <c r="BC18" s="100">
        <v>0.33333333333333331</v>
      </c>
      <c r="BD18" s="106"/>
      <c r="BE18" s="106"/>
      <c r="BF18" s="91">
        <v>1</v>
      </c>
      <c r="BG18" s="106" t="s">
        <v>631</v>
      </c>
      <c r="BH18" s="100"/>
      <c r="BI18" s="100"/>
      <c r="BJ18" s="100" t="s">
        <v>752</v>
      </c>
    </row>
    <row r="19" spans="1:62">
      <c r="A19" s="101" t="s">
        <v>166</v>
      </c>
      <c r="B19" s="102" t="s">
        <v>85</v>
      </c>
      <c r="C19" s="102" t="s">
        <v>33</v>
      </c>
      <c r="D19" s="103">
        <v>65</v>
      </c>
      <c r="E19" s="103">
        <v>97</v>
      </c>
      <c r="F19" s="103">
        <v>2012</v>
      </c>
      <c r="G19" s="104">
        <v>19</v>
      </c>
      <c r="H19" s="105">
        <v>0</v>
      </c>
      <c r="I19" s="105">
        <v>2</v>
      </c>
      <c r="J19" s="100">
        <v>2015</v>
      </c>
      <c r="K19" s="100">
        <v>2021</v>
      </c>
      <c r="L19" s="100">
        <v>6</v>
      </c>
      <c r="M19" s="100">
        <v>1</v>
      </c>
      <c r="N19" s="125" t="s">
        <v>753</v>
      </c>
      <c r="O19" s="100" t="s">
        <v>28</v>
      </c>
      <c r="P19" s="100">
        <v>0</v>
      </c>
      <c r="Q19" s="100"/>
      <c r="R19" s="100" t="s">
        <v>30</v>
      </c>
      <c r="S19" s="100" t="s">
        <v>324</v>
      </c>
      <c r="T19" s="106" t="s">
        <v>37</v>
      </c>
      <c r="U19" s="106">
        <v>0</v>
      </c>
      <c r="V19" s="106">
        <v>35</v>
      </c>
      <c r="W19" s="100">
        <v>2</v>
      </c>
      <c r="X19" s="107">
        <v>9</v>
      </c>
      <c r="AA19" s="112">
        <v>0</v>
      </c>
      <c r="AB19" s="112">
        <v>0</v>
      </c>
      <c r="AC19" s="112">
        <v>1</v>
      </c>
      <c r="AD19" s="112">
        <v>0</v>
      </c>
      <c r="AE19" s="112">
        <v>1</v>
      </c>
      <c r="AF19" s="112">
        <v>0</v>
      </c>
      <c r="AG19" s="109">
        <v>4</v>
      </c>
      <c r="AH19" s="109">
        <v>0</v>
      </c>
      <c r="AI19" s="109">
        <v>4</v>
      </c>
      <c r="AJ19" s="109">
        <v>0</v>
      </c>
      <c r="AK19" s="109">
        <v>3</v>
      </c>
      <c r="AL19" s="109">
        <v>0</v>
      </c>
      <c r="AM19" s="113">
        <v>4</v>
      </c>
      <c r="AN19" s="113">
        <v>0</v>
      </c>
      <c r="AO19" s="113">
        <v>5</v>
      </c>
      <c r="AP19" s="113">
        <v>0</v>
      </c>
      <c r="AQ19" s="113">
        <v>4</v>
      </c>
      <c r="AR19" s="113">
        <v>0</v>
      </c>
      <c r="AS19" s="110">
        <v>9</v>
      </c>
      <c r="AT19" s="110">
        <v>1.1666666666666667</v>
      </c>
      <c r="AU19" s="100">
        <v>7</v>
      </c>
      <c r="AV19" s="100">
        <v>1.1666666666666667</v>
      </c>
      <c r="AW19" s="100">
        <v>2</v>
      </c>
      <c r="AX19" s="100">
        <v>0.66666666666666663</v>
      </c>
      <c r="AY19" s="100">
        <v>0</v>
      </c>
      <c r="AZ19" s="100">
        <v>0.66666666666666663</v>
      </c>
      <c r="BA19" s="100">
        <v>0</v>
      </c>
      <c r="BB19" s="100">
        <v>0.5</v>
      </c>
      <c r="BC19" s="100">
        <v>0</v>
      </c>
      <c r="BD19" s="106">
        <v>3</v>
      </c>
      <c r="BE19" s="106"/>
      <c r="BF19" s="91">
        <v>1</v>
      </c>
      <c r="BG19" s="106" t="s">
        <v>632</v>
      </c>
      <c r="BH19" s="100"/>
      <c r="BI19" s="100"/>
      <c r="BJ19" s="100" t="s">
        <v>753</v>
      </c>
    </row>
    <row r="20" spans="1:62">
      <c r="A20" s="101" t="s">
        <v>179</v>
      </c>
      <c r="B20" s="102" t="s">
        <v>32</v>
      </c>
      <c r="C20" s="102" t="s">
        <v>32</v>
      </c>
      <c r="D20" s="103">
        <v>29</v>
      </c>
      <c r="E20" s="103">
        <v>74</v>
      </c>
      <c r="F20" s="103">
        <v>2014</v>
      </c>
      <c r="G20" s="116">
        <v>1000</v>
      </c>
      <c r="H20" s="105">
        <v>0</v>
      </c>
      <c r="I20" s="105">
        <v>2</v>
      </c>
      <c r="J20" s="100">
        <v>2017</v>
      </c>
      <c r="K20" s="100">
        <v>2023</v>
      </c>
      <c r="L20" s="100">
        <v>6</v>
      </c>
      <c r="M20" s="100">
        <v>1</v>
      </c>
      <c r="N20" s="125" t="s">
        <v>754</v>
      </c>
      <c r="O20" s="100" t="s">
        <v>43</v>
      </c>
      <c r="P20" s="100">
        <v>0</v>
      </c>
      <c r="Q20" s="100"/>
      <c r="R20" s="100" t="s">
        <v>30</v>
      </c>
      <c r="S20" s="100" t="s">
        <v>183</v>
      </c>
      <c r="T20" s="106" t="s">
        <v>84</v>
      </c>
      <c r="U20" s="106">
        <v>0</v>
      </c>
      <c r="V20" s="106">
        <v>101</v>
      </c>
      <c r="W20" s="100">
        <v>1</v>
      </c>
      <c r="X20" s="107">
        <v>2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>
        <v>0</v>
      </c>
      <c r="AG20" s="109">
        <v>0</v>
      </c>
      <c r="AH20" s="109">
        <v>0</v>
      </c>
      <c r="AI20" s="109">
        <v>1</v>
      </c>
      <c r="AJ20" s="109">
        <v>1</v>
      </c>
      <c r="AK20" s="109">
        <v>0</v>
      </c>
      <c r="AL20" s="109">
        <v>0</v>
      </c>
      <c r="AM20" s="107">
        <v>0</v>
      </c>
      <c r="AN20" s="107">
        <v>0</v>
      </c>
      <c r="AO20" s="107">
        <v>1</v>
      </c>
      <c r="AP20" s="107">
        <v>1</v>
      </c>
      <c r="AQ20" s="107">
        <v>0</v>
      </c>
      <c r="AR20" s="107">
        <v>0</v>
      </c>
      <c r="AS20" s="110">
        <v>2</v>
      </c>
      <c r="AT20" s="110">
        <v>0.33333333333333331</v>
      </c>
      <c r="AU20" s="100">
        <v>2</v>
      </c>
      <c r="AV20" s="100">
        <v>0.33333333333333331</v>
      </c>
      <c r="AW20" s="100">
        <v>0</v>
      </c>
      <c r="AX20" s="100">
        <v>0</v>
      </c>
      <c r="AY20" s="100">
        <v>0</v>
      </c>
      <c r="AZ20" s="100">
        <v>0.16666666666666666</v>
      </c>
      <c r="BA20" s="100">
        <v>0.16666666666666666</v>
      </c>
      <c r="BB20" s="100">
        <v>0</v>
      </c>
      <c r="BC20" s="100">
        <v>0</v>
      </c>
      <c r="BD20" s="106">
        <v>0</v>
      </c>
      <c r="BE20" s="106"/>
      <c r="BF20" s="91">
        <v>2</v>
      </c>
      <c r="BG20" s="106" t="s">
        <v>721</v>
      </c>
      <c r="BH20" s="100"/>
      <c r="BI20" s="100"/>
      <c r="BJ20" s="100" t="s">
        <v>754</v>
      </c>
    </row>
    <row r="21" spans="1:62">
      <c r="A21" s="101" t="s">
        <v>179</v>
      </c>
      <c r="B21" s="102" t="s">
        <v>32</v>
      </c>
      <c r="C21" s="102" t="s">
        <v>32</v>
      </c>
      <c r="D21" s="103">
        <v>29</v>
      </c>
      <c r="E21" s="103">
        <v>74</v>
      </c>
      <c r="F21" s="103">
        <v>2014</v>
      </c>
      <c r="G21" s="116">
        <v>1000</v>
      </c>
      <c r="H21" s="105">
        <v>0</v>
      </c>
      <c r="I21" s="105">
        <v>2</v>
      </c>
      <c r="J21" s="100">
        <v>2015</v>
      </c>
      <c r="K21" s="100">
        <v>2022</v>
      </c>
      <c r="L21" s="100">
        <v>7</v>
      </c>
      <c r="M21" s="100">
        <v>1</v>
      </c>
      <c r="N21" s="125" t="s">
        <v>755</v>
      </c>
      <c r="O21" s="100" t="s">
        <v>43</v>
      </c>
      <c r="P21" s="100">
        <v>0</v>
      </c>
      <c r="Q21" s="100"/>
      <c r="R21" s="100" t="s">
        <v>30</v>
      </c>
      <c r="S21" s="100" t="s">
        <v>192</v>
      </c>
      <c r="T21" s="106" t="s">
        <v>84</v>
      </c>
      <c r="U21" s="106">
        <v>0</v>
      </c>
      <c r="V21" s="106">
        <v>85</v>
      </c>
      <c r="W21" s="100">
        <v>12</v>
      </c>
      <c r="X21" s="107">
        <v>38</v>
      </c>
      <c r="AA21" s="108">
        <v>0</v>
      </c>
      <c r="AB21" s="108">
        <v>0</v>
      </c>
      <c r="AC21" s="108">
        <v>0</v>
      </c>
      <c r="AD21" s="108">
        <v>0</v>
      </c>
      <c r="AE21" s="108">
        <v>0</v>
      </c>
      <c r="AF21" s="108">
        <v>0</v>
      </c>
      <c r="AG21" s="109">
        <v>1</v>
      </c>
      <c r="AH21" s="109">
        <v>3</v>
      </c>
      <c r="AI21" s="109">
        <v>19</v>
      </c>
      <c r="AJ21" s="109">
        <v>4</v>
      </c>
      <c r="AK21" s="109">
        <v>2</v>
      </c>
      <c r="AL21" s="109">
        <v>10</v>
      </c>
      <c r="AM21" s="107">
        <v>1</v>
      </c>
      <c r="AN21" s="107">
        <v>3</v>
      </c>
      <c r="AO21" s="107">
        <v>19</v>
      </c>
      <c r="AP21" s="107">
        <v>4</v>
      </c>
      <c r="AQ21" s="107">
        <v>2</v>
      </c>
      <c r="AR21" s="107">
        <v>10</v>
      </c>
      <c r="AS21" s="110">
        <v>38</v>
      </c>
      <c r="AT21" s="110">
        <v>5.4285714285714288</v>
      </c>
      <c r="AU21" s="100">
        <v>28</v>
      </c>
      <c r="AV21" s="100">
        <v>4</v>
      </c>
      <c r="AW21" s="100">
        <v>0</v>
      </c>
      <c r="AX21" s="100">
        <v>0.14285714285714285</v>
      </c>
      <c r="AY21" s="100">
        <v>0.42857142857142855</v>
      </c>
      <c r="AZ21" s="100">
        <v>2.7142857142857144</v>
      </c>
      <c r="BA21" s="100">
        <v>0.5714285714285714</v>
      </c>
      <c r="BB21" s="100">
        <v>0.2857142857142857</v>
      </c>
      <c r="BC21" s="100">
        <v>1.4285714285714286</v>
      </c>
      <c r="BD21" s="106">
        <v>4</v>
      </c>
      <c r="BE21" s="106"/>
      <c r="BF21" s="91">
        <v>2</v>
      </c>
      <c r="BG21" s="106" t="s">
        <v>576</v>
      </c>
      <c r="BH21" s="100"/>
      <c r="BI21" s="100"/>
      <c r="BJ21" s="100" t="s">
        <v>755</v>
      </c>
    </row>
    <row r="22" spans="1:62">
      <c r="A22" s="101" t="s">
        <v>200</v>
      </c>
      <c r="B22" s="102" t="s">
        <v>85</v>
      </c>
      <c r="C22" s="102" t="s">
        <v>33</v>
      </c>
      <c r="D22" s="103">
        <v>9</v>
      </c>
      <c r="E22" s="103">
        <v>74</v>
      </c>
      <c r="F22" s="103">
        <v>2014</v>
      </c>
      <c r="G22" s="104">
        <v>54</v>
      </c>
      <c r="H22" s="105">
        <v>0</v>
      </c>
      <c r="I22" s="105">
        <v>2</v>
      </c>
      <c r="J22" s="100">
        <v>2017</v>
      </c>
      <c r="K22" s="100">
        <v>2023</v>
      </c>
      <c r="L22" s="100">
        <v>6</v>
      </c>
      <c r="M22" s="100">
        <v>1</v>
      </c>
      <c r="N22" s="125" t="s">
        <v>756</v>
      </c>
      <c r="O22" s="100" t="s">
        <v>43</v>
      </c>
      <c r="P22" s="100">
        <v>0</v>
      </c>
      <c r="Q22" s="100"/>
      <c r="R22" s="100" t="s">
        <v>54</v>
      </c>
      <c r="S22" s="100" t="s">
        <v>579</v>
      </c>
      <c r="T22" s="106" t="s">
        <v>84</v>
      </c>
      <c r="U22" s="106">
        <v>0</v>
      </c>
      <c r="V22" s="106">
        <v>56</v>
      </c>
      <c r="W22" s="100">
        <v>11</v>
      </c>
      <c r="X22" s="107">
        <v>36</v>
      </c>
      <c r="AA22" s="108">
        <v>7</v>
      </c>
      <c r="AB22" s="108">
        <v>7</v>
      </c>
      <c r="AC22" s="108">
        <v>5</v>
      </c>
      <c r="AD22" s="108">
        <v>2</v>
      </c>
      <c r="AE22" s="108">
        <v>6</v>
      </c>
      <c r="AF22" s="108">
        <v>2</v>
      </c>
      <c r="AG22" s="109">
        <v>2</v>
      </c>
      <c r="AH22" s="109">
        <v>2</v>
      </c>
      <c r="AI22" s="109">
        <v>5</v>
      </c>
      <c r="AJ22" s="109">
        <v>3</v>
      </c>
      <c r="AK22" s="109">
        <v>1</v>
      </c>
      <c r="AL22" s="109">
        <v>3</v>
      </c>
      <c r="AM22" s="107">
        <v>9</v>
      </c>
      <c r="AN22" s="107">
        <v>9</v>
      </c>
      <c r="AO22" s="107">
        <v>10</v>
      </c>
      <c r="AP22" s="107">
        <v>5</v>
      </c>
      <c r="AQ22" s="107">
        <v>7</v>
      </c>
      <c r="AR22" s="107">
        <v>5</v>
      </c>
      <c r="AS22" s="110">
        <v>36</v>
      </c>
      <c r="AT22" s="110">
        <v>2.3333333333333335</v>
      </c>
      <c r="AU22" s="100">
        <v>11</v>
      </c>
      <c r="AV22" s="100">
        <v>1.8333333333333333</v>
      </c>
      <c r="AW22" s="100">
        <v>20</v>
      </c>
      <c r="AX22" s="100">
        <v>0.33333333333333331</v>
      </c>
      <c r="AY22" s="100">
        <v>0.33333333333333331</v>
      </c>
      <c r="AZ22" s="100">
        <v>0.83333333333333337</v>
      </c>
      <c r="BA22" s="100">
        <v>0.5</v>
      </c>
      <c r="BB22" s="100">
        <v>0.16666666666666666</v>
      </c>
      <c r="BC22" s="100">
        <v>0.5</v>
      </c>
      <c r="BD22" s="106">
        <v>0</v>
      </c>
      <c r="BE22" s="106"/>
      <c r="BF22" s="91">
        <v>2</v>
      </c>
      <c r="BG22" s="106" t="s">
        <v>208</v>
      </c>
      <c r="BH22" s="100"/>
      <c r="BI22" s="100"/>
      <c r="BJ22" s="100" t="s">
        <v>756</v>
      </c>
    </row>
    <row r="23" spans="1:62" s="106" customFormat="1" ht="13">
      <c r="A23" s="101" t="s">
        <v>211</v>
      </c>
      <c r="B23" s="103" t="s">
        <v>33</v>
      </c>
      <c r="C23" s="103" t="s">
        <v>85</v>
      </c>
      <c r="D23" s="103">
        <v>68</v>
      </c>
      <c r="E23" s="103">
        <v>74</v>
      </c>
      <c r="F23" s="103">
        <v>2009</v>
      </c>
      <c r="G23" s="104">
        <v>43</v>
      </c>
      <c r="H23" s="105">
        <v>0</v>
      </c>
      <c r="I23" s="105">
        <v>2</v>
      </c>
      <c r="J23" s="106">
        <v>2015</v>
      </c>
      <c r="K23" s="100">
        <v>2021</v>
      </c>
      <c r="L23" s="100">
        <v>6</v>
      </c>
      <c r="M23" s="100">
        <v>1</v>
      </c>
      <c r="N23" s="127" t="s">
        <v>757</v>
      </c>
      <c r="O23" s="106" t="s">
        <v>28</v>
      </c>
      <c r="P23" s="106">
        <v>0</v>
      </c>
      <c r="R23" s="106" t="s">
        <v>30</v>
      </c>
      <c r="S23" s="117" t="s">
        <v>228</v>
      </c>
      <c r="T23" s="106" t="s">
        <v>84</v>
      </c>
      <c r="U23" s="106">
        <v>0</v>
      </c>
      <c r="V23" s="106">
        <v>53</v>
      </c>
      <c r="W23" s="106">
        <v>2</v>
      </c>
      <c r="X23" s="107">
        <v>4</v>
      </c>
      <c r="AA23" s="108">
        <v>1</v>
      </c>
      <c r="AB23" s="108">
        <v>0</v>
      </c>
      <c r="AC23" s="108">
        <v>1</v>
      </c>
      <c r="AD23" s="108">
        <v>0</v>
      </c>
      <c r="AE23" s="108">
        <v>0</v>
      </c>
      <c r="AF23" s="108">
        <v>0</v>
      </c>
      <c r="AG23" s="109">
        <v>0</v>
      </c>
      <c r="AH23" s="109">
        <v>0</v>
      </c>
      <c r="AI23" s="109">
        <v>2</v>
      </c>
      <c r="AJ23" s="109">
        <v>1</v>
      </c>
      <c r="AK23" s="109">
        <v>0</v>
      </c>
      <c r="AL23" s="109">
        <v>0</v>
      </c>
      <c r="AM23" s="107">
        <v>1</v>
      </c>
      <c r="AN23" s="107">
        <v>0</v>
      </c>
      <c r="AO23" s="107">
        <v>3</v>
      </c>
      <c r="AP23" s="107">
        <v>1</v>
      </c>
      <c r="AQ23" s="107">
        <v>0</v>
      </c>
      <c r="AR23" s="107">
        <v>0</v>
      </c>
      <c r="AS23" s="110">
        <v>4</v>
      </c>
      <c r="AT23" s="110">
        <v>0.5</v>
      </c>
      <c r="AU23" s="100">
        <v>3</v>
      </c>
      <c r="AV23" s="100">
        <v>0.5</v>
      </c>
      <c r="AW23" s="100">
        <v>1</v>
      </c>
      <c r="AX23" s="100">
        <v>0</v>
      </c>
      <c r="AY23" s="100">
        <v>0</v>
      </c>
      <c r="AZ23" s="100">
        <v>0.33333333333333331</v>
      </c>
      <c r="BA23" s="100">
        <v>0.16666666666666666</v>
      </c>
      <c r="BB23" s="100">
        <v>0</v>
      </c>
      <c r="BC23" s="100">
        <v>0</v>
      </c>
      <c r="BF23" s="91">
        <v>0</v>
      </c>
      <c r="BG23" s="106" t="s">
        <v>722</v>
      </c>
      <c r="BJ23" s="104" t="s">
        <v>757</v>
      </c>
    </row>
    <row r="24" spans="1:62">
      <c r="A24" s="101" t="s">
        <v>229</v>
      </c>
      <c r="B24" s="106" t="s">
        <v>32</v>
      </c>
      <c r="C24" s="102" t="s">
        <v>32</v>
      </c>
      <c r="D24" s="103">
        <v>82</v>
      </c>
      <c r="E24" s="103">
        <v>74</v>
      </c>
      <c r="F24" s="103">
        <v>2009</v>
      </c>
      <c r="G24" s="104">
        <v>18</v>
      </c>
      <c r="H24" s="105">
        <v>0</v>
      </c>
      <c r="I24" s="105">
        <v>2</v>
      </c>
      <c r="J24" s="100">
        <v>2017</v>
      </c>
      <c r="K24" s="100">
        <v>2023</v>
      </c>
      <c r="L24" s="100">
        <v>6</v>
      </c>
      <c r="M24" s="100">
        <v>1</v>
      </c>
      <c r="N24" s="125" t="s">
        <v>758</v>
      </c>
      <c r="O24" s="100" t="s">
        <v>28</v>
      </c>
      <c r="P24" s="100">
        <v>1</v>
      </c>
      <c r="Q24" s="100" t="s">
        <v>246</v>
      </c>
      <c r="R24" s="100" t="s">
        <v>54</v>
      </c>
      <c r="S24" s="100" t="s">
        <v>247</v>
      </c>
      <c r="T24" s="106"/>
      <c r="U24" s="106">
        <v>0</v>
      </c>
      <c r="V24" s="106"/>
      <c r="W24" s="100">
        <v>10</v>
      </c>
      <c r="X24" s="107">
        <v>21</v>
      </c>
      <c r="AA24" s="108">
        <v>1</v>
      </c>
      <c r="AB24" s="108">
        <v>0</v>
      </c>
      <c r="AC24" s="108">
        <v>1</v>
      </c>
      <c r="AD24" s="108">
        <v>1</v>
      </c>
      <c r="AE24" s="108">
        <v>0</v>
      </c>
      <c r="AF24" s="108">
        <v>0</v>
      </c>
      <c r="AG24" s="109">
        <v>4</v>
      </c>
      <c r="AH24" s="109">
        <v>0</v>
      </c>
      <c r="AI24" s="109">
        <v>18</v>
      </c>
      <c r="AJ24" s="109">
        <v>0</v>
      </c>
      <c r="AK24" s="109">
        <v>1</v>
      </c>
      <c r="AL24" s="109">
        <v>0</v>
      </c>
      <c r="AM24" s="107">
        <v>5</v>
      </c>
      <c r="AN24" s="107">
        <v>0</v>
      </c>
      <c r="AO24" s="107">
        <v>19</v>
      </c>
      <c r="AP24" s="107">
        <v>1</v>
      </c>
      <c r="AQ24" s="107">
        <v>1</v>
      </c>
      <c r="AR24" s="107">
        <v>0</v>
      </c>
      <c r="AS24" s="110">
        <v>21</v>
      </c>
      <c r="AT24" s="110">
        <v>3.1666666666666665</v>
      </c>
      <c r="AU24" s="100">
        <v>19</v>
      </c>
      <c r="AV24" s="100">
        <v>3.1666666666666665</v>
      </c>
      <c r="AW24" s="100">
        <v>2</v>
      </c>
      <c r="AX24" s="100">
        <v>0.66666666666666663</v>
      </c>
      <c r="AY24" s="100">
        <v>0</v>
      </c>
      <c r="AZ24" s="100">
        <v>3</v>
      </c>
      <c r="BA24" s="100">
        <v>0</v>
      </c>
      <c r="BB24" s="100">
        <v>0.16666666666666666</v>
      </c>
      <c r="BC24" s="100">
        <v>0</v>
      </c>
      <c r="BD24" s="106">
        <v>1</v>
      </c>
      <c r="BE24" s="106"/>
      <c r="BF24" s="91">
        <v>1</v>
      </c>
      <c r="BG24" s="106" t="s">
        <v>703</v>
      </c>
      <c r="BH24" s="100"/>
      <c r="BI24" s="100"/>
      <c r="BJ24" s="100" t="s">
        <v>758</v>
      </c>
    </row>
    <row r="25" spans="1:62">
      <c r="A25" s="101" t="s">
        <v>229</v>
      </c>
      <c r="B25" s="106" t="s">
        <v>32</v>
      </c>
      <c r="C25" s="102" t="s">
        <v>32</v>
      </c>
      <c r="D25" s="103">
        <v>82</v>
      </c>
      <c r="E25" s="103">
        <v>74</v>
      </c>
      <c r="F25" s="103">
        <v>2009</v>
      </c>
      <c r="G25" s="104">
        <v>18</v>
      </c>
      <c r="H25" s="105">
        <v>0</v>
      </c>
      <c r="I25" s="105">
        <v>2</v>
      </c>
      <c r="J25" s="100">
        <v>2017</v>
      </c>
      <c r="K25" s="100">
        <v>2023</v>
      </c>
      <c r="L25" s="100">
        <v>6</v>
      </c>
      <c r="M25" s="100">
        <v>1</v>
      </c>
      <c r="N25" s="127" t="s">
        <v>759</v>
      </c>
      <c r="O25" s="100" t="s">
        <v>28</v>
      </c>
      <c r="P25" s="100">
        <v>0</v>
      </c>
      <c r="Q25" s="100"/>
      <c r="R25" s="100" t="s">
        <v>30</v>
      </c>
      <c r="S25" s="104" t="s">
        <v>522</v>
      </c>
      <c r="T25" s="106" t="s">
        <v>84</v>
      </c>
      <c r="U25" s="106">
        <v>0</v>
      </c>
      <c r="V25" s="106" t="s">
        <v>107</v>
      </c>
      <c r="W25" s="104">
        <v>0</v>
      </c>
      <c r="X25" s="107">
        <v>1</v>
      </c>
      <c r="AA25" s="112">
        <v>0</v>
      </c>
      <c r="AB25" s="112">
        <v>0</v>
      </c>
      <c r="AC25" s="112">
        <v>0</v>
      </c>
      <c r="AD25" s="112">
        <v>0</v>
      </c>
      <c r="AE25" s="112">
        <v>0</v>
      </c>
      <c r="AF25" s="112">
        <v>0</v>
      </c>
      <c r="AG25" s="109">
        <v>0</v>
      </c>
      <c r="AH25" s="109">
        <v>0</v>
      </c>
      <c r="AI25" s="109">
        <v>0</v>
      </c>
      <c r="AJ25" s="109">
        <v>1</v>
      </c>
      <c r="AK25" s="109">
        <v>0</v>
      </c>
      <c r="AL25" s="109">
        <v>0</v>
      </c>
      <c r="AM25" s="113">
        <v>0</v>
      </c>
      <c r="AN25" s="113">
        <v>0</v>
      </c>
      <c r="AO25" s="113">
        <v>0</v>
      </c>
      <c r="AP25" s="113">
        <v>1</v>
      </c>
      <c r="AQ25" s="113">
        <v>0</v>
      </c>
      <c r="AR25" s="113">
        <v>0</v>
      </c>
      <c r="AS25" s="110">
        <v>1</v>
      </c>
      <c r="AT25" s="110">
        <v>0.16666666666666666</v>
      </c>
      <c r="AU25" s="100">
        <v>1</v>
      </c>
      <c r="AV25" s="100">
        <v>0.16666666666666666</v>
      </c>
      <c r="AW25" s="100">
        <v>0</v>
      </c>
      <c r="AX25" s="100">
        <v>0</v>
      </c>
      <c r="AY25" s="100">
        <v>0</v>
      </c>
      <c r="AZ25" s="100">
        <v>0</v>
      </c>
      <c r="BA25" s="100">
        <v>0.16666666666666666</v>
      </c>
      <c r="BB25" s="100">
        <v>0</v>
      </c>
      <c r="BC25" s="100">
        <v>0</v>
      </c>
      <c r="BD25" s="106"/>
      <c r="BE25" s="106"/>
      <c r="BF25" s="91">
        <v>1</v>
      </c>
      <c r="BG25" s="106" t="s">
        <v>703</v>
      </c>
      <c r="BH25" s="100"/>
      <c r="BI25" s="100"/>
      <c r="BJ25" s="104" t="s">
        <v>759</v>
      </c>
    </row>
    <row r="26" spans="1:62">
      <c r="A26" s="101" t="s">
        <v>229</v>
      </c>
      <c r="B26" s="106" t="s">
        <v>32</v>
      </c>
      <c r="C26" s="102" t="s">
        <v>32</v>
      </c>
      <c r="D26" s="103">
        <v>82</v>
      </c>
      <c r="E26" s="103">
        <v>74</v>
      </c>
      <c r="F26" s="103">
        <v>2009</v>
      </c>
      <c r="G26" s="104">
        <v>18</v>
      </c>
      <c r="H26" s="105">
        <v>0</v>
      </c>
      <c r="I26" s="105">
        <v>2</v>
      </c>
      <c r="J26" s="100">
        <v>2016</v>
      </c>
      <c r="K26" s="100">
        <v>2022</v>
      </c>
      <c r="L26" s="100">
        <v>6</v>
      </c>
      <c r="M26" s="100">
        <v>1</v>
      </c>
      <c r="N26" s="127" t="s">
        <v>760</v>
      </c>
      <c r="O26" s="100" t="s">
        <v>35</v>
      </c>
      <c r="P26" s="100">
        <v>0</v>
      </c>
      <c r="Q26" s="100"/>
      <c r="R26" s="100" t="s">
        <v>225</v>
      </c>
      <c r="S26" s="100" t="s">
        <v>266</v>
      </c>
      <c r="T26" s="106" t="s">
        <v>218</v>
      </c>
      <c r="U26" s="106" t="s">
        <v>559</v>
      </c>
      <c r="V26" s="106">
        <v>1</v>
      </c>
      <c r="W26" s="104">
        <v>11</v>
      </c>
      <c r="X26" s="107">
        <v>32</v>
      </c>
      <c r="AA26" s="112">
        <v>2</v>
      </c>
      <c r="AB26" s="112">
        <v>1</v>
      </c>
      <c r="AC26" s="112">
        <v>7</v>
      </c>
      <c r="AD26" s="112">
        <v>2</v>
      </c>
      <c r="AE26" s="112">
        <v>2</v>
      </c>
      <c r="AF26" s="112">
        <v>2</v>
      </c>
      <c r="AG26" s="109">
        <v>6</v>
      </c>
      <c r="AH26" s="109">
        <v>1</v>
      </c>
      <c r="AI26" s="109">
        <v>13</v>
      </c>
      <c r="AJ26" s="109">
        <v>1</v>
      </c>
      <c r="AK26" s="109">
        <v>1</v>
      </c>
      <c r="AL26" s="109">
        <v>2</v>
      </c>
      <c r="AM26" s="113">
        <v>8</v>
      </c>
      <c r="AN26" s="113">
        <v>2</v>
      </c>
      <c r="AO26" s="113">
        <v>20</v>
      </c>
      <c r="AP26" s="113">
        <v>3</v>
      </c>
      <c r="AQ26" s="113">
        <v>3</v>
      </c>
      <c r="AR26" s="113">
        <v>4</v>
      </c>
      <c r="AS26" s="110">
        <v>32</v>
      </c>
      <c r="AT26" s="110">
        <v>3</v>
      </c>
      <c r="AU26" s="100">
        <v>16</v>
      </c>
      <c r="AV26" s="100">
        <v>2.6666666666666665</v>
      </c>
      <c r="AW26" s="100">
        <v>12</v>
      </c>
      <c r="AX26" s="100">
        <v>1</v>
      </c>
      <c r="AY26" s="100">
        <v>0.16666666666666666</v>
      </c>
      <c r="AZ26" s="100">
        <v>2.1666666666666665</v>
      </c>
      <c r="BA26" s="100">
        <v>0.16666666666666666</v>
      </c>
      <c r="BB26" s="100">
        <v>0.16666666666666666</v>
      </c>
      <c r="BC26" s="100">
        <v>0.33333333333333331</v>
      </c>
      <c r="BD26" s="106">
        <v>1</v>
      </c>
      <c r="BE26" s="106"/>
      <c r="BF26" s="91">
        <v>1</v>
      </c>
      <c r="BG26" s="106" t="s">
        <v>704</v>
      </c>
      <c r="BH26" s="100"/>
      <c r="BI26" s="100"/>
      <c r="BJ26" s="104" t="s">
        <v>760</v>
      </c>
    </row>
    <row r="27" spans="1:62">
      <c r="A27" s="101" t="s">
        <v>229</v>
      </c>
      <c r="B27" s="106" t="s">
        <v>32</v>
      </c>
      <c r="C27" s="102" t="s">
        <v>32</v>
      </c>
      <c r="D27" s="103">
        <v>82</v>
      </c>
      <c r="E27" s="103">
        <v>74</v>
      </c>
      <c r="F27" s="103">
        <v>2009</v>
      </c>
      <c r="G27" s="104">
        <v>18</v>
      </c>
      <c r="H27" s="105">
        <v>0</v>
      </c>
      <c r="I27" s="105">
        <v>2</v>
      </c>
      <c r="J27" s="100">
        <v>2015</v>
      </c>
      <c r="K27" s="100">
        <v>2021</v>
      </c>
      <c r="L27" s="100">
        <v>6</v>
      </c>
      <c r="M27" s="100">
        <v>1</v>
      </c>
      <c r="N27" s="127" t="s">
        <v>761</v>
      </c>
      <c r="O27" s="100" t="s">
        <v>28</v>
      </c>
      <c r="P27" s="100">
        <v>1</v>
      </c>
      <c r="Q27" s="100" t="s">
        <v>589</v>
      </c>
      <c r="R27" s="100" t="s">
        <v>30</v>
      </c>
      <c r="S27" s="104" t="s">
        <v>524</v>
      </c>
      <c r="T27" s="106"/>
      <c r="U27" s="106">
        <v>0</v>
      </c>
      <c r="V27" s="106"/>
      <c r="W27" s="104">
        <v>2</v>
      </c>
      <c r="X27" s="107">
        <v>6</v>
      </c>
      <c r="AA27" s="112">
        <v>0</v>
      </c>
      <c r="AB27" s="112">
        <v>0</v>
      </c>
      <c r="AC27" s="112">
        <v>3</v>
      </c>
      <c r="AD27" s="112">
        <v>0</v>
      </c>
      <c r="AE27" s="112">
        <v>1</v>
      </c>
      <c r="AF27" s="112">
        <v>0</v>
      </c>
      <c r="AG27" s="109">
        <v>1</v>
      </c>
      <c r="AH27" s="109">
        <v>0</v>
      </c>
      <c r="AI27" s="109">
        <v>1</v>
      </c>
      <c r="AJ27" s="109">
        <v>0</v>
      </c>
      <c r="AK27" s="109">
        <v>0</v>
      </c>
      <c r="AL27" s="109">
        <v>1</v>
      </c>
      <c r="AM27" s="113">
        <v>1</v>
      </c>
      <c r="AN27" s="113">
        <v>0</v>
      </c>
      <c r="AO27" s="113">
        <v>4</v>
      </c>
      <c r="AP27" s="113">
        <v>0</v>
      </c>
      <c r="AQ27" s="113">
        <v>1</v>
      </c>
      <c r="AR27" s="113">
        <v>1</v>
      </c>
      <c r="AS27" s="110">
        <v>6</v>
      </c>
      <c r="AT27" s="110">
        <v>0.33333333333333331</v>
      </c>
      <c r="AU27" s="100">
        <v>1</v>
      </c>
      <c r="AV27" s="100">
        <v>0.16666666666666666</v>
      </c>
      <c r="AW27" s="100">
        <v>4</v>
      </c>
      <c r="AX27" s="100">
        <v>0.16666666666666666</v>
      </c>
      <c r="AY27" s="100">
        <v>0</v>
      </c>
      <c r="AZ27" s="100">
        <v>0.16666666666666666</v>
      </c>
      <c r="BA27" s="100">
        <v>0</v>
      </c>
      <c r="BB27" s="100">
        <v>0</v>
      </c>
      <c r="BC27" s="100">
        <v>0.16666666666666666</v>
      </c>
      <c r="BD27" s="106">
        <v>1</v>
      </c>
      <c r="BE27" s="106"/>
      <c r="BF27" s="91">
        <v>1</v>
      </c>
      <c r="BG27" s="106" t="s">
        <v>588</v>
      </c>
      <c r="BH27" s="100"/>
      <c r="BI27" s="100"/>
      <c r="BJ27" s="104" t="s">
        <v>761</v>
      </c>
    </row>
    <row r="28" spans="1:62">
      <c r="A28" s="101" t="s">
        <v>248</v>
      </c>
      <c r="B28" s="102" t="s">
        <v>85</v>
      </c>
      <c r="C28" s="102" t="s">
        <v>85</v>
      </c>
      <c r="D28" s="103">
        <v>85</v>
      </c>
      <c r="E28" s="103">
        <v>74</v>
      </c>
      <c r="F28" s="103">
        <v>2008</v>
      </c>
      <c r="G28" s="104">
        <v>70</v>
      </c>
      <c r="H28" s="105">
        <v>0</v>
      </c>
      <c r="I28" s="105">
        <v>2</v>
      </c>
      <c r="J28" s="100">
        <v>2016</v>
      </c>
      <c r="K28" s="100">
        <v>2022</v>
      </c>
      <c r="L28" s="100">
        <v>6</v>
      </c>
      <c r="M28" s="100">
        <v>1</v>
      </c>
      <c r="N28" s="125" t="s">
        <v>762</v>
      </c>
      <c r="O28" s="100" t="s">
        <v>35</v>
      </c>
      <c r="P28" s="100">
        <v>0</v>
      </c>
      <c r="Q28" s="100"/>
      <c r="R28" s="100" t="s">
        <v>225</v>
      </c>
      <c r="S28" s="100" t="s">
        <v>475</v>
      </c>
      <c r="T28" s="106" t="s">
        <v>84</v>
      </c>
      <c r="U28" s="106">
        <v>0</v>
      </c>
      <c r="V28" s="106">
        <v>101</v>
      </c>
      <c r="W28" s="100">
        <v>1</v>
      </c>
      <c r="X28" s="107">
        <v>6</v>
      </c>
      <c r="AA28" s="112">
        <v>0</v>
      </c>
      <c r="AB28" s="112">
        <v>0</v>
      </c>
      <c r="AC28" s="112">
        <v>0</v>
      </c>
      <c r="AD28" s="112">
        <v>0</v>
      </c>
      <c r="AE28" s="112">
        <v>0</v>
      </c>
      <c r="AF28" s="112">
        <v>0</v>
      </c>
      <c r="AG28" s="109">
        <v>5</v>
      </c>
      <c r="AH28" s="109">
        <v>0</v>
      </c>
      <c r="AI28" s="109">
        <v>0</v>
      </c>
      <c r="AJ28" s="109">
        <v>2</v>
      </c>
      <c r="AK28" s="109">
        <v>0</v>
      </c>
      <c r="AL28" s="109">
        <v>4</v>
      </c>
      <c r="AM28" s="113">
        <v>5</v>
      </c>
      <c r="AN28" s="113">
        <v>0</v>
      </c>
      <c r="AO28" s="113">
        <v>0</v>
      </c>
      <c r="AP28" s="113">
        <v>2</v>
      </c>
      <c r="AQ28" s="113">
        <v>0</v>
      </c>
      <c r="AR28" s="113">
        <v>4</v>
      </c>
      <c r="AS28" s="110">
        <v>6</v>
      </c>
      <c r="AT28" s="110">
        <v>1</v>
      </c>
      <c r="AU28" s="100">
        <v>2</v>
      </c>
      <c r="AV28" s="100">
        <v>0.33333333333333331</v>
      </c>
      <c r="AW28" s="100">
        <v>0</v>
      </c>
      <c r="AX28" s="100">
        <v>0.83333333333333337</v>
      </c>
      <c r="AY28" s="100">
        <v>0</v>
      </c>
      <c r="AZ28" s="100">
        <v>0</v>
      </c>
      <c r="BA28" s="100">
        <v>0.33333333333333331</v>
      </c>
      <c r="BB28" s="100">
        <v>0</v>
      </c>
      <c r="BC28" s="100">
        <v>0.66666666666666663</v>
      </c>
      <c r="BD28" s="106"/>
      <c r="BE28" s="106"/>
      <c r="BF28" s="91">
        <v>1</v>
      </c>
      <c r="BG28" s="106" t="s">
        <v>705</v>
      </c>
      <c r="BH28" s="100"/>
      <c r="BI28" s="100"/>
      <c r="BJ28" s="100" t="s">
        <v>762</v>
      </c>
    </row>
    <row r="29" spans="1:62">
      <c r="A29" s="101" t="s">
        <v>248</v>
      </c>
      <c r="B29" s="102" t="s">
        <v>85</v>
      </c>
      <c r="C29" s="102" t="s">
        <v>85</v>
      </c>
      <c r="D29" s="103">
        <v>85</v>
      </c>
      <c r="E29" s="103">
        <v>74</v>
      </c>
      <c r="F29" s="103">
        <v>2008</v>
      </c>
      <c r="G29" s="104">
        <v>70</v>
      </c>
      <c r="H29" s="105">
        <v>0</v>
      </c>
      <c r="I29" s="105">
        <v>2</v>
      </c>
      <c r="J29" s="100">
        <v>2015</v>
      </c>
      <c r="K29" s="100">
        <v>2021</v>
      </c>
      <c r="L29" s="100">
        <v>6</v>
      </c>
      <c r="M29" s="100">
        <v>1</v>
      </c>
      <c r="N29" s="125" t="s">
        <v>763</v>
      </c>
      <c r="O29" s="100" t="s">
        <v>35</v>
      </c>
      <c r="P29" s="100">
        <v>0</v>
      </c>
      <c r="Q29" s="100"/>
      <c r="R29" s="100" t="s">
        <v>225</v>
      </c>
      <c r="S29" s="118" t="s">
        <v>573</v>
      </c>
      <c r="T29" s="106" t="s">
        <v>84</v>
      </c>
      <c r="U29" s="106">
        <v>0</v>
      </c>
      <c r="V29" s="106">
        <v>56</v>
      </c>
      <c r="W29" s="100">
        <v>7</v>
      </c>
      <c r="X29" s="107">
        <v>16</v>
      </c>
      <c r="AA29" s="112">
        <v>1</v>
      </c>
      <c r="AB29" s="112">
        <v>2</v>
      </c>
      <c r="AC29" s="112">
        <v>1</v>
      </c>
      <c r="AD29" s="112">
        <v>1</v>
      </c>
      <c r="AE29" s="112">
        <v>0</v>
      </c>
      <c r="AF29" s="112">
        <v>0</v>
      </c>
      <c r="AG29" s="109">
        <v>1</v>
      </c>
      <c r="AH29" s="109">
        <v>2</v>
      </c>
      <c r="AI29" s="109">
        <v>4</v>
      </c>
      <c r="AJ29" s="109">
        <v>3</v>
      </c>
      <c r="AK29" s="109">
        <v>0</v>
      </c>
      <c r="AL29" s="109">
        <v>3</v>
      </c>
      <c r="AM29" s="113">
        <v>2</v>
      </c>
      <c r="AN29" s="113">
        <v>4</v>
      </c>
      <c r="AO29" s="113">
        <v>5</v>
      </c>
      <c r="AP29" s="113">
        <v>4</v>
      </c>
      <c r="AQ29" s="113">
        <v>0</v>
      </c>
      <c r="AR29" s="113">
        <v>3</v>
      </c>
      <c r="AS29" s="110">
        <v>16</v>
      </c>
      <c r="AT29" s="110">
        <v>2</v>
      </c>
      <c r="AU29" s="100">
        <v>9</v>
      </c>
      <c r="AV29" s="100">
        <v>1.5</v>
      </c>
      <c r="AW29" s="100">
        <v>4</v>
      </c>
      <c r="AX29" s="100">
        <v>0.16666666666666666</v>
      </c>
      <c r="AY29" s="100">
        <v>0.33333333333333331</v>
      </c>
      <c r="AZ29" s="100">
        <v>0.66666666666666663</v>
      </c>
      <c r="BA29" s="100">
        <v>0.5</v>
      </c>
      <c r="BB29" s="100">
        <v>0</v>
      </c>
      <c r="BC29" s="100">
        <v>0.5</v>
      </c>
      <c r="BD29" s="106">
        <v>0</v>
      </c>
      <c r="BE29" s="106"/>
      <c r="BF29" s="91">
        <v>1</v>
      </c>
      <c r="BG29" s="106" t="s">
        <v>706</v>
      </c>
      <c r="BH29" s="100"/>
      <c r="BI29" s="100"/>
      <c r="BJ29" s="100" t="s">
        <v>763</v>
      </c>
    </row>
    <row r="30" spans="1:62" ht="26">
      <c r="A30" s="101" t="s">
        <v>262</v>
      </c>
      <c r="B30" s="106" t="s">
        <v>32</v>
      </c>
      <c r="C30" s="106" t="s">
        <v>32</v>
      </c>
      <c r="D30" s="103">
        <v>50</v>
      </c>
      <c r="E30" s="103">
        <v>74</v>
      </c>
      <c r="F30" s="103">
        <v>2011</v>
      </c>
      <c r="G30" s="104">
        <v>23</v>
      </c>
      <c r="H30" s="105">
        <v>0</v>
      </c>
      <c r="I30" s="105">
        <v>2</v>
      </c>
      <c r="J30" s="100">
        <v>2016</v>
      </c>
      <c r="K30" s="100">
        <v>2022</v>
      </c>
      <c r="L30" s="100">
        <v>6</v>
      </c>
      <c r="M30" s="100">
        <v>1</v>
      </c>
      <c r="N30" s="125" t="s">
        <v>764</v>
      </c>
      <c r="O30" s="100" t="s">
        <v>35</v>
      </c>
      <c r="P30" s="100">
        <v>0</v>
      </c>
      <c r="Q30" s="100"/>
      <c r="R30" s="100" t="s">
        <v>225</v>
      </c>
      <c r="S30" s="104" t="s">
        <v>516</v>
      </c>
      <c r="T30" s="106" t="s">
        <v>84</v>
      </c>
      <c r="U30" s="106">
        <v>0</v>
      </c>
      <c r="V30" s="106">
        <v>71</v>
      </c>
      <c r="W30" s="100">
        <v>6</v>
      </c>
      <c r="X30" s="107">
        <v>10</v>
      </c>
      <c r="AA30" s="112">
        <v>0</v>
      </c>
      <c r="AB30" s="112">
        <v>0</v>
      </c>
      <c r="AC30" s="112">
        <v>0</v>
      </c>
      <c r="AD30" s="112">
        <v>0</v>
      </c>
      <c r="AE30" s="112">
        <v>0</v>
      </c>
      <c r="AF30" s="112">
        <v>0</v>
      </c>
      <c r="AG30" s="109">
        <v>3</v>
      </c>
      <c r="AH30" s="109">
        <v>0</v>
      </c>
      <c r="AI30" s="109">
        <v>7</v>
      </c>
      <c r="AJ30" s="109">
        <v>2</v>
      </c>
      <c r="AK30" s="109">
        <v>0</v>
      </c>
      <c r="AL30" s="109">
        <v>1</v>
      </c>
      <c r="AM30" s="113">
        <v>3</v>
      </c>
      <c r="AN30" s="113">
        <v>0</v>
      </c>
      <c r="AO30" s="113">
        <v>7</v>
      </c>
      <c r="AP30" s="113">
        <v>2</v>
      </c>
      <c r="AQ30" s="113">
        <v>0</v>
      </c>
      <c r="AR30" s="113">
        <v>1</v>
      </c>
      <c r="AS30" s="110">
        <v>10</v>
      </c>
      <c r="AT30" s="110">
        <v>1.6666666666666667</v>
      </c>
      <c r="AU30" s="100">
        <v>9</v>
      </c>
      <c r="AV30" s="100">
        <v>1.5</v>
      </c>
      <c r="AW30" s="100">
        <v>0</v>
      </c>
      <c r="AX30" s="100">
        <v>0.5</v>
      </c>
      <c r="AY30" s="100">
        <v>0</v>
      </c>
      <c r="AZ30" s="100">
        <v>1.1666666666666667</v>
      </c>
      <c r="BA30" s="100">
        <v>0.33333333333333331</v>
      </c>
      <c r="BB30" s="100">
        <v>0</v>
      </c>
      <c r="BC30" s="100">
        <v>0.16666666666666666</v>
      </c>
      <c r="BD30" s="106"/>
      <c r="BE30" s="106"/>
      <c r="BF30" s="91">
        <v>0</v>
      </c>
      <c r="BG30" s="106" t="s">
        <v>707</v>
      </c>
      <c r="BH30" s="100"/>
      <c r="BI30" s="100"/>
      <c r="BJ30" s="100" t="s">
        <v>764</v>
      </c>
    </row>
    <row r="31" spans="1:62" ht="26">
      <c r="A31" s="101" t="s">
        <v>262</v>
      </c>
      <c r="B31" s="106" t="s">
        <v>32</v>
      </c>
      <c r="C31" s="106" t="s">
        <v>32</v>
      </c>
      <c r="D31" s="103">
        <v>50</v>
      </c>
      <c r="E31" s="103">
        <v>74</v>
      </c>
      <c r="F31" s="103">
        <v>2011</v>
      </c>
      <c r="G31" s="104">
        <v>23</v>
      </c>
      <c r="H31" s="105">
        <v>0</v>
      </c>
      <c r="I31" s="105">
        <v>2</v>
      </c>
      <c r="J31" s="100">
        <v>2017</v>
      </c>
      <c r="K31" s="100">
        <v>2023</v>
      </c>
      <c r="L31" s="100">
        <v>6</v>
      </c>
      <c r="M31" s="100">
        <v>1</v>
      </c>
      <c r="N31" s="125" t="s">
        <v>765</v>
      </c>
      <c r="O31" s="100" t="s">
        <v>35</v>
      </c>
      <c r="P31" s="100">
        <v>0</v>
      </c>
      <c r="Q31" s="100"/>
      <c r="R31" s="100" t="s">
        <v>225</v>
      </c>
      <c r="S31" s="100" t="s">
        <v>271</v>
      </c>
      <c r="T31" s="106" t="s">
        <v>218</v>
      </c>
      <c r="U31" s="106">
        <v>0</v>
      </c>
      <c r="V31" s="106">
        <v>10</v>
      </c>
      <c r="W31" s="100">
        <v>7</v>
      </c>
      <c r="X31" s="107">
        <v>23</v>
      </c>
      <c r="AA31" s="108">
        <v>4</v>
      </c>
      <c r="AB31" s="108">
        <v>0</v>
      </c>
      <c r="AC31" s="108">
        <v>3</v>
      </c>
      <c r="AD31" s="108">
        <v>4</v>
      </c>
      <c r="AE31" s="108">
        <v>1</v>
      </c>
      <c r="AF31" s="108">
        <v>0</v>
      </c>
      <c r="AG31" s="109">
        <v>5</v>
      </c>
      <c r="AH31" s="109">
        <v>0</v>
      </c>
      <c r="AI31" s="109">
        <v>8</v>
      </c>
      <c r="AJ31" s="109">
        <v>4</v>
      </c>
      <c r="AK31" s="109">
        <v>3</v>
      </c>
      <c r="AL31" s="109">
        <v>0</v>
      </c>
      <c r="AM31" s="107">
        <v>9</v>
      </c>
      <c r="AN31" s="107">
        <v>0</v>
      </c>
      <c r="AO31" s="107">
        <v>11</v>
      </c>
      <c r="AP31" s="107">
        <v>8</v>
      </c>
      <c r="AQ31" s="107">
        <v>4</v>
      </c>
      <c r="AR31" s="107">
        <v>0</v>
      </c>
      <c r="AS31" s="110">
        <v>23</v>
      </c>
      <c r="AT31" s="110">
        <v>2.5</v>
      </c>
      <c r="AU31" s="100">
        <v>15</v>
      </c>
      <c r="AV31" s="100">
        <v>2.5</v>
      </c>
      <c r="AW31" s="100">
        <v>8</v>
      </c>
      <c r="AX31" s="100">
        <v>0.83333333333333337</v>
      </c>
      <c r="AY31" s="100">
        <v>0</v>
      </c>
      <c r="AZ31" s="100">
        <v>1.3333333333333333</v>
      </c>
      <c r="BA31" s="100">
        <v>0.66666666666666663</v>
      </c>
      <c r="BB31" s="100">
        <v>0.5</v>
      </c>
      <c r="BC31" s="100">
        <v>0</v>
      </c>
      <c r="BD31" s="106">
        <v>0</v>
      </c>
      <c r="BE31" s="106"/>
      <c r="BF31" s="91">
        <v>1</v>
      </c>
      <c r="BG31" s="106" t="s">
        <v>270</v>
      </c>
      <c r="BH31" s="100"/>
      <c r="BI31" s="100"/>
      <c r="BJ31" s="100" t="s">
        <v>765</v>
      </c>
    </row>
    <row r="32" spans="1:62" ht="26">
      <c r="A32" s="101" t="s">
        <v>262</v>
      </c>
      <c r="B32" s="106" t="s">
        <v>32</v>
      </c>
      <c r="C32" s="106" t="s">
        <v>32</v>
      </c>
      <c r="D32" s="103">
        <v>50</v>
      </c>
      <c r="E32" s="103">
        <v>74</v>
      </c>
      <c r="F32" s="103">
        <v>2011</v>
      </c>
      <c r="G32" s="104">
        <v>23</v>
      </c>
      <c r="H32" s="105">
        <v>0</v>
      </c>
      <c r="I32" s="105">
        <v>2</v>
      </c>
      <c r="J32" s="118">
        <v>2015</v>
      </c>
      <c r="K32" s="100">
        <v>2023</v>
      </c>
      <c r="L32" s="100">
        <v>8</v>
      </c>
      <c r="M32" s="100">
        <v>1</v>
      </c>
      <c r="N32" s="128" t="s">
        <v>766</v>
      </c>
      <c r="O32" s="118" t="s">
        <v>35</v>
      </c>
      <c r="P32" s="118">
        <v>0</v>
      </c>
      <c r="Q32" s="118"/>
      <c r="R32" s="118" t="s">
        <v>225</v>
      </c>
      <c r="S32" s="118" t="s">
        <v>264</v>
      </c>
      <c r="T32" s="106" t="s">
        <v>218</v>
      </c>
      <c r="U32" s="106">
        <v>0</v>
      </c>
      <c r="V32" s="106">
        <v>13</v>
      </c>
      <c r="W32" s="118">
        <v>8</v>
      </c>
      <c r="X32" s="107">
        <v>26</v>
      </c>
      <c r="AA32" s="108">
        <v>2</v>
      </c>
      <c r="AB32" s="108">
        <v>0</v>
      </c>
      <c r="AC32" s="108">
        <v>1</v>
      </c>
      <c r="AD32" s="108">
        <v>0</v>
      </c>
      <c r="AE32" s="108">
        <v>1</v>
      </c>
      <c r="AF32" s="108">
        <v>0</v>
      </c>
      <c r="AG32" s="109">
        <v>6</v>
      </c>
      <c r="AH32" s="109">
        <v>0</v>
      </c>
      <c r="AI32" s="109">
        <v>15</v>
      </c>
      <c r="AJ32" s="109">
        <v>1</v>
      </c>
      <c r="AK32" s="109">
        <v>0</v>
      </c>
      <c r="AL32" s="109">
        <v>8</v>
      </c>
      <c r="AM32" s="107">
        <v>8</v>
      </c>
      <c r="AN32" s="107">
        <v>0</v>
      </c>
      <c r="AO32" s="107">
        <v>16</v>
      </c>
      <c r="AP32" s="107">
        <v>1</v>
      </c>
      <c r="AQ32" s="107">
        <v>1</v>
      </c>
      <c r="AR32" s="107">
        <v>8</v>
      </c>
      <c r="AS32" s="110">
        <v>26</v>
      </c>
      <c r="AT32" s="110">
        <v>3</v>
      </c>
      <c r="AU32" s="100">
        <v>16</v>
      </c>
      <c r="AV32" s="100">
        <v>2</v>
      </c>
      <c r="AW32" s="100">
        <v>2</v>
      </c>
      <c r="AX32" s="100">
        <v>0.75</v>
      </c>
      <c r="AY32" s="100">
        <v>0</v>
      </c>
      <c r="AZ32" s="100">
        <v>1.875</v>
      </c>
      <c r="BA32" s="100">
        <v>0.125</v>
      </c>
      <c r="BB32" s="100">
        <v>0</v>
      </c>
      <c r="BC32" s="100">
        <v>1</v>
      </c>
      <c r="BD32" s="106">
        <v>2</v>
      </c>
      <c r="BE32" s="106"/>
      <c r="BF32" s="91">
        <v>2</v>
      </c>
      <c r="BG32" s="106" t="s">
        <v>273</v>
      </c>
      <c r="BH32" s="118"/>
      <c r="BI32" s="118" t="s">
        <v>274</v>
      </c>
      <c r="BJ32" s="118" t="s">
        <v>766</v>
      </c>
    </row>
    <row r="33" spans="1:62">
      <c r="A33" s="101" t="s">
        <v>287</v>
      </c>
      <c r="B33" s="106" t="s">
        <v>32</v>
      </c>
      <c r="C33" s="106" t="s">
        <v>32</v>
      </c>
      <c r="D33" s="103">
        <v>91</v>
      </c>
      <c r="E33" s="103">
        <v>76</v>
      </c>
      <c r="F33" s="103">
        <v>2008</v>
      </c>
      <c r="G33" s="104">
        <v>11</v>
      </c>
      <c r="H33" s="105">
        <v>0</v>
      </c>
      <c r="I33" s="105">
        <v>1</v>
      </c>
      <c r="J33" s="100">
        <v>2015</v>
      </c>
      <c r="K33" s="100">
        <v>2023</v>
      </c>
      <c r="L33" s="100">
        <v>8</v>
      </c>
      <c r="M33" s="100">
        <v>1</v>
      </c>
      <c r="N33" s="125" t="s">
        <v>767</v>
      </c>
      <c r="O33" s="100" t="s">
        <v>28</v>
      </c>
      <c r="P33" s="100">
        <v>0</v>
      </c>
      <c r="Q33" s="100"/>
      <c r="R33" s="100" t="s">
        <v>30</v>
      </c>
      <c r="S33" s="100" t="s">
        <v>307</v>
      </c>
      <c r="T33" s="106" t="s">
        <v>101</v>
      </c>
      <c r="U33" s="106">
        <v>0</v>
      </c>
      <c r="V33" s="106">
        <v>35</v>
      </c>
      <c r="W33" s="100">
        <v>6</v>
      </c>
      <c r="X33" s="107">
        <v>21</v>
      </c>
      <c r="AA33" s="108">
        <v>0</v>
      </c>
      <c r="AB33" s="108">
        <v>0</v>
      </c>
      <c r="AC33" s="108">
        <v>0</v>
      </c>
      <c r="AD33" s="108">
        <v>0</v>
      </c>
      <c r="AE33" s="108">
        <v>0</v>
      </c>
      <c r="AF33" s="108">
        <v>0</v>
      </c>
      <c r="AG33" s="109">
        <v>3</v>
      </c>
      <c r="AH33" s="109">
        <v>8</v>
      </c>
      <c r="AI33" s="109">
        <v>9</v>
      </c>
      <c r="AJ33" s="109">
        <v>4</v>
      </c>
      <c r="AK33" s="109">
        <v>0</v>
      </c>
      <c r="AL33" s="109">
        <v>0</v>
      </c>
      <c r="AM33" s="107">
        <v>3</v>
      </c>
      <c r="AN33" s="107">
        <v>8</v>
      </c>
      <c r="AO33" s="107">
        <v>9</v>
      </c>
      <c r="AP33" s="107">
        <v>4</v>
      </c>
      <c r="AQ33" s="107">
        <v>0</v>
      </c>
      <c r="AR33" s="107">
        <v>0</v>
      </c>
      <c r="AS33" s="110">
        <v>21</v>
      </c>
      <c r="AT33" s="110">
        <v>2.625</v>
      </c>
      <c r="AU33" s="100">
        <v>21</v>
      </c>
      <c r="AV33" s="100">
        <v>2.625</v>
      </c>
      <c r="AW33" s="100">
        <v>0</v>
      </c>
      <c r="AX33" s="100">
        <v>0.375</v>
      </c>
      <c r="AY33" s="100">
        <v>1</v>
      </c>
      <c r="AZ33" s="100">
        <v>1.125</v>
      </c>
      <c r="BA33" s="100">
        <v>0.5</v>
      </c>
      <c r="BB33" s="100">
        <v>0</v>
      </c>
      <c r="BC33" s="100">
        <v>0</v>
      </c>
      <c r="BD33" s="106">
        <v>1</v>
      </c>
      <c r="BE33" s="106"/>
      <c r="BF33" s="91">
        <v>1</v>
      </c>
      <c r="BG33" s="106" t="s">
        <v>306</v>
      </c>
      <c r="BH33" s="100"/>
      <c r="BI33" s="100" t="s">
        <v>308</v>
      </c>
      <c r="BJ33" s="100" t="s">
        <v>767</v>
      </c>
    </row>
    <row r="34" spans="1:62">
      <c r="A34" s="101" t="s">
        <v>287</v>
      </c>
      <c r="B34" s="106" t="s">
        <v>32</v>
      </c>
      <c r="C34" s="106" t="s">
        <v>32</v>
      </c>
      <c r="D34" s="103">
        <v>91</v>
      </c>
      <c r="E34" s="103">
        <v>76</v>
      </c>
      <c r="F34" s="103">
        <v>2008</v>
      </c>
      <c r="G34" s="104">
        <v>11</v>
      </c>
      <c r="H34" s="105">
        <v>0</v>
      </c>
      <c r="I34" s="105">
        <v>1</v>
      </c>
      <c r="J34" s="100">
        <v>2015</v>
      </c>
      <c r="K34" s="100">
        <v>2023</v>
      </c>
      <c r="L34" s="100">
        <v>8</v>
      </c>
      <c r="M34" s="100">
        <v>1</v>
      </c>
      <c r="N34" s="125" t="s">
        <v>768</v>
      </c>
      <c r="O34" s="100" t="s">
        <v>35</v>
      </c>
      <c r="P34" s="100">
        <v>0</v>
      </c>
      <c r="Q34" s="100"/>
      <c r="R34" s="100" t="s">
        <v>30</v>
      </c>
      <c r="S34" s="100" t="s">
        <v>310</v>
      </c>
      <c r="T34" s="106" t="s">
        <v>218</v>
      </c>
      <c r="U34" s="106">
        <v>0</v>
      </c>
      <c r="V34" s="106">
        <v>13</v>
      </c>
      <c r="W34" s="100">
        <v>17</v>
      </c>
      <c r="X34" s="107">
        <v>62</v>
      </c>
      <c r="AA34" s="108">
        <v>2</v>
      </c>
      <c r="AB34" s="108">
        <v>0</v>
      </c>
      <c r="AC34" s="108">
        <v>3</v>
      </c>
      <c r="AD34" s="108">
        <v>0</v>
      </c>
      <c r="AE34" s="108">
        <v>0</v>
      </c>
      <c r="AF34" s="108">
        <v>0</v>
      </c>
      <c r="AG34" s="109">
        <v>10</v>
      </c>
      <c r="AH34" s="109">
        <v>49</v>
      </c>
      <c r="AI34" s="109">
        <v>4</v>
      </c>
      <c r="AJ34" s="109">
        <v>2</v>
      </c>
      <c r="AK34" s="109">
        <v>1</v>
      </c>
      <c r="AL34" s="109">
        <v>3</v>
      </c>
      <c r="AM34" s="107">
        <v>12</v>
      </c>
      <c r="AN34" s="107">
        <v>49</v>
      </c>
      <c r="AO34" s="107">
        <v>7</v>
      </c>
      <c r="AP34" s="107">
        <v>2</v>
      </c>
      <c r="AQ34" s="107">
        <v>1</v>
      </c>
      <c r="AR34" s="107">
        <v>3</v>
      </c>
      <c r="AS34" s="110">
        <v>62</v>
      </c>
      <c r="AT34" s="110">
        <v>7.375</v>
      </c>
      <c r="AU34" s="100">
        <v>56</v>
      </c>
      <c r="AV34" s="100">
        <v>7</v>
      </c>
      <c r="AW34" s="100">
        <v>3</v>
      </c>
      <c r="AX34" s="100">
        <v>1.25</v>
      </c>
      <c r="AY34" s="100">
        <v>6.125</v>
      </c>
      <c r="AZ34" s="100">
        <v>0.5</v>
      </c>
      <c r="BA34" s="100">
        <v>0.25</v>
      </c>
      <c r="BB34" s="100">
        <v>0.125</v>
      </c>
      <c r="BC34" s="100">
        <v>0.375</v>
      </c>
      <c r="BD34" s="106">
        <v>1</v>
      </c>
      <c r="BE34" s="106"/>
      <c r="BF34" s="91">
        <v>1</v>
      </c>
      <c r="BG34" s="106" t="s">
        <v>306</v>
      </c>
      <c r="BH34" s="100"/>
      <c r="BI34" s="100"/>
      <c r="BJ34" s="100" t="s">
        <v>768</v>
      </c>
    </row>
    <row r="35" spans="1:62">
      <c r="A35" s="101" t="s">
        <v>320</v>
      </c>
      <c r="B35" s="106" t="s">
        <v>32</v>
      </c>
      <c r="C35" s="106" t="s">
        <v>32</v>
      </c>
      <c r="D35" s="103">
        <v>76</v>
      </c>
      <c r="E35" s="103">
        <v>74</v>
      </c>
      <c r="F35" s="103">
        <v>2013</v>
      </c>
      <c r="G35" s="104">
        <v>6</v>
      </c>
      <c r="H35" s="105">
        <v>1</v>
      </c>
      <c r="I35" s="105">
        <v>1</v>
      </c>
      <c r="J35" s="115">
        <v>2015</v>
      </c>
      <c r="K35" s="100">
        <v>2023</v>
      </c>
      <c r="L35" s="100">
        <v>8</v>
      </c>
      <c r="M35" s="100">
        <v>1</v>
      </c>
      <c r="N35" s="125" t="s">
        <v>769</v>
      </c>
      <c r="O35" s="100" t="s">
        <v>35</v>
      </c>
      <c r="P35" s="100">
        <v>0</v>
      </c>
      <c r="Q35" s="100"/>
      <c r="R35" s="100" t="s">
        <v>30</v>
      </c>
      <c r="S35" s="100" t="s">
        <v>343</v>
      </c>
      <c r="T35" s="106" t="s">
        <v>218</v>
      </c>
      <c r="U35" s="106">
        <v>0</v>
      </c>
      <c r="V35" s="106">
        <v>13</v>
      </c>
      <c r="W35" s="100">
        <v>2</v>
      </c>
      <c r="X35" s="107">
        <v>18</v>
      </c>
      <c r="AA35" s="108">
        <v>1</v>
      </c>
      <c r="AB35" s="108">
        <v>0</v>
      </c>
      <c r="AC35" s="108">
        <v>2</v>
      </c>
      <c r="AD35" s="108">
        <v>0</v>
      </c>
      <c r="AE35" s="108">
        <v>0</v>
      </c>
      <c r="AF35" s="108">
        <v>0</v>
      </c>
      <c r="AG35" s="109">
        <v>6</v>
      </c>
      <c r="AH35" s="109">
        <v>0</v>
      </c>
      <c r="AI35" s="109">
        <v>5</v>
      </c>
      <c r="AJ35" s="109">
        <v>0</v>
      </c>
      <c r="AK35" s="109">
        <v>7</v>
      </c>
      <c r="AL35" s="109">
        <v>4</v>
      </c>
      <c r="AM35" s="107">
        <v>7</v>
      </c>
      <c r="AN35" s="107">
        <v>0</v>
      </c>
      <c r="AO35" s="107">
        <v>7</v>
      </c>
      <c r="AP35" s="107">
        <v>0</v>
      </c>
      <c r="AQ35" s="107">
        <v>7</v>
      </c>
      <c r="AR35" s="107">
        <v>4</v>
      </c>
      <c r="AS35" s="110">
        <v>18</v>
      </c>
      <c r="AT35" s="110">
        <v>2</v>
      </c>
      <c r="AU35" s="100">
        <v>12</v>
      </c>
      <c r="AV35" s="100">
        <v>1.5</v>
      </c>
      <c r="AW35" s="100">
        <v>2</v>
      </c>
      <c r="AX35" s="100">
        <v>0.75</v>
      </c>
      <c r="AY35" s="100">
        <v>0</v>
      </c>
      <c r="AZ35" s="100">
        <v>0.625</v>
      </c>
      <c r="BA35" s="100">
        <v>0</v>
      </c>
      <c r="BB35" s="100">
        <v>0.875</v>
      </c>
      <c r="BC35" s="100">
        <v>0.5</v>
      </c>
      <c r="BD35" s="106">
        <v>1</v>
      </c>
      <c r="BE35" s="106"/>
      <c r="BF35" s="91">
        <v>1</v>
      </c>
      <c r="BG35" s="106" t="s">
        <v>342</v>
      </c>
      <c r="BH35" s="100"/>
      <c r="BI35" s="100"/>
      <c r="BJ35" s="100" t="s">
        <v>769</v>
      </c>
    </row>
    <row r="36" spans="1:62">
      <c r="A36" s="101" t="s">
        <v>320</v>
      </c>
      <c r="B36" s="106" t="s">
        <v>32</v>
      </c>
      <c r="C36" s="106" t="s">
        <v>32</v>
      </c>
      <c r="D36" s="103">
        <v>76</v>
      </c>
      <c r="E36" s="103">
        <v>74</v>
      </c>
      <c r="F36" s="103">
        <v>2013</v>
      </c>
      <c r="G36" s="104">
        <v>6</v>
      </c>
      <c r="H36" s="105">
        <v>1</v>
      </c>
      <c r="I36" s="105">
        <v>1</v>
      </c>
      <c r="J36" s="100">
        <v>2015</v>
      </c>
      <c r="K36" s="100">
        <v>2022</v>
      </c>
      <c r="L36" s="100">
        <v>7</v>
      </c>
      <c r="M36" s="100">
        <v>1</v>
      </c>
      <c r="N36" s="125" t="s">
        <v>770</v>
      </c>
      <c r="O36" s="100" t="s">
        <v>35</v>
      </c>
      <c r="P36" s="100">
        <v>0</v>
      </c>
      <c r="Q36" s="100"/>
      <c r="R36" s="100" t="s">
        <v>39</v>
      </c>
      <c r="S36" s="100" t="s">
        <v>346</v>
      </c>
      <c r="T36" s="106" t="s">
        <v>84</v>
      </c>
      <c r="U36" s="106">
        <v>0</v>
      </c>
      <c r="V36" s="106">
        <v>85</v>
      </c>
      <c r="W36" s="100">
        <v>15</v>
      </c>
      <c r="X36" s="107">
        <v>82</v>
      </c>
      <c r="AA36" s="108">
        <v>1</v>
      </c>
      <c r="AB36" s="108">
        <v>0</v>
      </c>
      <c r="AC36" s="108">
        <v>1</v>
      </c>
      <c r="AD36" s="108">
        <v>0</v>
      </c>
      <c r="AE36" s="108">
        <v>0</v>
      </c>
      <c r="AF36" s="108">
        <v>0</v>
      </c>
      <c r="AG36" s="109">
        <v>43</v>
      </c>
      <c r="AH36" s="109">
        <v>0</v>
      </c>
      <c r="AI36" s="109">
        <v>51</v>
      </c>
      <c r="AJ36" s="109">
        <v>1</v>
      </c>
      <c r="AK36" s="109">
        <v>4</v>
      </c>
      <c r="AL36" s="109">
        <v>25</v>
      </c>
      <c r="AM36" s="107">
        <v>44</v>
      </c>
      <c r="AN36" s="107">
        <v>0</v>
      </c>
      <c r="AO36" s="107">
        <v>52</v>
      </c>
      <c r="AP36" s="107">
        <v>1</v>
      </c>
      <c r="AQ36" s="107">
        <v>4</v>
      </c>
      <c r="AR36" s="107">
        <v>25</v>
      </c>
      <c r="AS36" s="110">
        <v>82</v>
      </c>
      <c r="AT36" s="110">
        <v>11.571428571428571</v>
      </c>
      <c r="AU36" s="100">
        <v>56</v>
      </c>
      <c r="AV36" s="100">
        <v>8</v>
      </c>
      <c r="AW36" s="100">
        <v>1</v>
      </c>
      <c r="AX36" s="100">
        <v>6.1428571428571432</v>
      </c>
      <c r="AY36" s="100">
        <v>0</v>
      </c>
      <c r="AZ36" s="100">
        <v>7.2857142857142856</v>
      </c>
      <c r="BA36" s="100">
        <v>0.14285714285714285</v>
      </c>
      <c r="BB36" s="100">
        <v>0.5714285714285714</v>
      </c>
      <c r="BC36" s="100">
        <v>3.5714285714285716</v>
      </c>
      <c r="BD36" s="106"/>
      <c r="BE36" s="106"/>
      <c r="BF36" s="91">
        <v>1</v>
      </c>
      <c r="BG36" s="106" t="s">
        <v>345</v>
      </c>
      <c r="BH36" s="100"/>
      <c r="BI36" s="100"/>
      <c r="BJ36" s="100" t="s">
        <v>770</v>
      </c>
    </row>
    <row r="37" spans="1:62">
      <c r="A37" s="101" t="s">
        <v>347</v>
      </c>
      <c r="B37" s="102" t="s">
        <v>85</v>
      </c>
      <c r="C37" s="102" t="s">
        <v>85</v>
      </c>
      <c r="D37" s="103">
        <v>56</v>
      </c>
      <c r="E37" s="103">
        <v>88</v>
      </c>
      <c r="F37" s="103">
        <v>2011</v>
      </c>
      <c r="G37" s="104">
        <v>53</v>
      </c>
      <c r="H37" s="105">
        <v>0</v>
      </c>
      <c r="I37" s="105">
        <v>2</v>
      </c>
      <c r="J37" s="100">
        <v>2017</v>
      </c>
      <c r="K37" s="100">
        <v>2023</v>
      </c>
      <c r="L37" s="100">
        <v>6</v>
      </c>
      <c r="M37" s="100">
        <v>1</v>
      </c>
      <c r="N37" s="125" t="s">
        <v>771</v>
      </c>
      <c r="O37" s="100" t="s">
        <v>35</v>
      </c>
      <c r="P37" s="100">
        <v>0</v>
      </c>
      <c r="Q37" s="100"/>
      <c r="R37" s="100" t="s">
        <v>30</v>
      </c>
      <c r="S37" s="100" t="s">
        <v>95</v>
      </c>
      <c r="T37" s="106" t="s">
        <v>84</v>
      </c>
      <c r="U37" s="106">
        <v>0</v>
      </c>
      <c r="V37" s="106">
        <v>88</v>
      </c>
      <c r="W37" s="100">
        <v>6</v>
      </c>
      <c r="X37" s="107">
        <v>10</v>
      </c>
      <c r="AA37" s="108">
        <v>0</v>
      </c>
      <c r="AB37" s="108">
        <v>4</v>
      </c>
      <c r="AC37" s="108">
        <v>0</v>
      </c>
      <c r="AD37" s="108">
        <v>0</v>
      </c>
      <c r="AE37" s="108">
        <v>0</v>
      </c>
      <c r="AF37" s="108">
        <v>0</v>
      </c>
      <c r="AG37" s="109">
        <v>1</v>
      </c>
      <c r="AH37" s="109">
        <v>0</v>
      </c>
      <c r="AI37" s="109">
        <v>1</v>
      </c>
      <c r="AJ37" s="109">
        <v>3</v>
      </c>
      <c r="AK37" s="109">
        <v>1</v>
      </c>
      <c r="AL37" s="109">
        <v>1</v>
      </c>
      <c r="AM37" s="107">
        <v>1</v>
      </c>
      <c r="AN37" s="107">
        <v>4</v>
      </c>
      <c r="AO37" s="107">
        <v>1</v>
      </c>
      <c r="AP37" s="107">
        <v>3</v>
      </c>
      <c r="AQ37" s="107">
        <v>1</v>
      </c>
      <c r="AR37" s="107">
        <v>1</v>
      </c>
      <c r="AS37" s="110">
        <v>10</v>
      </c>
      <c r="AT37" s="110">
        <v>1</v>
      </c>
      <c r="AU37" s="100">
        <v>5</v>
      </c>
      <c r="AV37" s="100">
        <v>0.83333333333333337</v>
      </c>
      <c r="AW37" s="100">
        <v>4</v>
      </c>
      <c r="AX37" s="100">
        <v>0.16666666666666666</v>
      </c>
      <c r="AY37" s="100">
        <v>0</v>
      </c>
      <c r="AZ37" s="100">
        <v>0.16666666666666666</v>
      </c>
      <c r="BA37" s="100">
        <v>0.5</v>
      </c>
      <c r="BB37" s="100">
        <v>0.16666666666666666</v>
      </c>
      <c r="BC37" s="100">
        <v>0.16666666666666666</v>
      </c>
      <c r="BD37" s="106">
        <v>1</v>
      </c>
      <c r="BE37" s="106"/>
      <c r="BF37" s="91">
        <v>1</v>
      </c>
      <c r="BG37" s="106" t="s">
        <v>355</v>
      </c>
      <c r="BH37" s="100"/>
      <c r="BI37" s="100"/>
      <c r="BJ37" s="100" t="s">
        <v>771</v>
      </c>
    </row>
    <row r="38" spans="1:62">
      <c r="A38" s="101" t="s">
        <v>347</v>
      </c>
      <c r="B38" s="102" t="s">
        <v>85</v>
      </c>
      <c r="C38" s="102" t="s">
        <v>85</v>
      </c>
      <c r="D38" s="103">
        <v>56</v>
      </c>
      <c r="E38" s="103">
        <v>88</v>
      </c>
      <c r="F38" s="103">
        <v>2011</v>
      </c>
      <c r="G38" s="104">
        <v>53</v>
      </c>
      <c r="H38" s="105">
        <v>0</v>
      </c>
      <c r="I38" s="105">
        <v>2</v>
      </c>
      <c r="J38" s="100">
        <v>2016</v>
      </c>
      <c r="K38" s="100">
        <v>2022</v>
      </c>
      <c r="L38" s="100">
        <v>6</v>
      </c>
      <c r="M38" s="100">
        <v>1</v>
      </c>
      <c r="N38" s="125" t="s">
        <v>772</v>
      </c>
      <c r="O38" s="100" t="s">
        <v>35</v>
      </c>
      <c r="P38" s="100">
        <v>0</v>
      </c>
      <c r="Q38" s="100"/>
      <c r="R38" s="100" t="s">
        <v>39</v>
      </c>
      <c r="S38" s="100" t="s">
        <v>473</v>
      </c>
      <c r="T38" s="106" t="s">
        <v>84</v>
      </c>
      <c r="U38" s="106">
        <v>0</v>
      </c>
      <c r="V38" s="106">
        <v>104</v>
      </c>
      <c r="W38" s="100">
        <v>6</v>
      </c>
      <c r="X38" s="107">
        <v>34</v>
      </c>
      <c r="AA38" s="112">
        <v>0</v>
      </c>
      <c r="AB38" s="112">
        <v>0</v>
      </c>
      <c r="AC38" s="112">
        <v>3</v>
      </c>
      <c r="AD38" s="112">
        <v>0</v>
      </c>
      <c r="AE38" s="112">
        <v>0</v>
      </c>
      <c r="AF38" s="112">
        <v>0</v>
      </c>
      <c r="AG38" s="109">
        <v>10</v>
      </c>
      <c r="AH38" s="109">
        <v>0</v>
      </c>
      <c r="AI38" s="109">
        <v>16</v>
      </c>
      <c r="AJ38" s="109">
        <v>3</v>
      </c>
      <c r="AK38" s="109">
        <v>2</v>
      </c>
      <c r="AL38" s="109">
        <v>10</v>
      </c>
      <c r="AM38" s="113">
        <v>10</v>
      </c>
      <c r="AN38" s="113">
        <v>0</v>
      </c>
      <c r="AO38" s="113">
        <v>19</v>
      </c>
      <c r="AP38" s="113">
        <v>3</v>
      </c>
      <c r="AQ38" s="113">
        <v>2</v>
      </c>
      <c r="AR38" s="113">
        <v>10</v>
      </c>
      <c r="AS38" s="110">
        <v>34</v>
      </c>
      <c r="AT38" s="110">
        <v>5.166666666666667</v>
      </c>
      <c r="AU38" s="100">
        <v>21</v>
      </c>
      <c r="AV38" s="100">
        <v>3.5</v>
      </c>
      <c r="AW38" s="100">
        <v>3</v>
      </c>
      <c r="AX38" s="100">
        <v>1.6666666666666667</v>
      </c>
      <c r="AY38" s="100">
        <v>0</v>
      </c>
      <c r="AZ38" s="100">
        <v>2.6666666666666665</v>
      </c>
      <c r="BA38" s="100">
        <v>0.5</v>
      </c>
      <c r="BB38" s="100">
        <v>0.33333333333333331</v>
      </c>
      <c r="BC38" s="100">
        <v>1.6666666666666667</v>
      </c>
      <c r="BD38" s="106"/>
      <c r="BE38" s="106"/>
      <c r="BF38" s="91">
        <v>0</v>
      </c>
      <c r="BG38" s="106" t="s">
        <v>708</v>
      </c>
      <c r="BH38" s="100"/>
      <c r="BI38" s="100"/>
      <c r="BJ38" s="100" t="s">
        <v>772</v>
      </c>
    </row>
    <row r="39" spans="1:62">
      <c r="A39" s="101" t="s">
        <v>347</v>
      </c>
      <c r="B39" s="102" t="s">
        <v>85</v>
      </c>
      <c r="C39" s="102" t="s">
        <v>85</v>
      </c>
      <c r="D39" s="103">
        <v>56</v>
      </c>
      <c r="E39" s="103">
        <v>88</v>
      </c>
      <c r="F39" s="103">
        <v>2011</v>
      </c>
      <c r="G39" s="104">
        <v>53</v>
      </c>
      <c r="H39" s="105">
        <v>0</v>
      </c>
      <c r="I39" s="105">
        <v>2</v>
      </c>
      <c r="J39" s="119">
        <v>2015</v>
      </c>
      <c r="K39" s="100">
        <v>2022</v>
      </c>
      <c r="L39" s="100">
        <v>7</v>
      </c>
      <c r="M39" s="100">
        <v>1</v>
      </c>
      <c r="N39" s="125" t="s">
        <v>773</v>
      </c>
      <c r="O39" s="100" t="s">
        <v>35</v>
      </c>
      <c r="P39" s="100">
        <v>0</v>
      </c>
      <c r="Q39" s="100"/>
      <c r="R39" s="100" t="s">
        <v>30</v>
      </c>
      <c r="S39" s="100" t="s">
        <v>350</v>
      </c>
      <c r="T39" s="106" t="s">
        <v>101</v>
      </c>
      <c r="U39" s="106">
        <v>0</v>
      </c>
      <c r="V39" s="106">
        <v>32</v>
      </c>
      <c r="W39" s="100">
        <v>4</v>
      </c>
      <c r="X39" s="107">
        <v>11</v>
      </c>
      <c r="AA39" s="112">
        <v>1</v>
      </c>
      <c r="AB39" s="112">
        <v>0</v>
      </c>
      <c r="AC39" s="112">
        <v>0</v>
      </c>
      <c r="AD39" s="112">
        <v>1</v>
      </c>
      <c r="AE39" s="112">
        <v>0</v>
      </c>
      <c r="AF39" s="112">
        <v>0</v>
      </c>
      <c r="AG39" s="109">
        <v>5</v>
      </c>
      <c r="AH39" s="109">
        <v>1</v>
      </c>
      <c r="AI39" s="109">
        <v>7</v>
      </c>
      <c r="AJ39" s="109">
        <v>2</v>
      </c>
      <c r="AK39" s="109">
        <v>0</v>
      </c>
      <c r="AL39" s="109">
        <v>0</v>
      </c>
      <c r="AM39" s="113">
        <v>6</v>
      </c>
      <c r="AN39" s="113">
        <v>1</v>
      </c>
      <c r="AO39" s="113">
        <v>7</v>
      </c>
      <c r="AP39" s="113">
        <v>3</v>
      </c>
      <c r="AQ39" s="113">
        <v>0</v>
      </c>
      <c r="AR39" s="113">
        <v>0</v>
      </c>
      <c r="AS39" s="110">
        <v>11</v>
      </c>
      <c r="AT39" s="110">
        <v>1.4285714285714286</v>
      </c>
      <c r="AU39" s="100">
        <v>10</v>
      </c>
      <c r="AV39" s="100">
        <v>1.4285714285714286</v>
      </c>
      <c r="AW39" s="100">
        <v>1</v>
      </c>
      <c r="AX39" s="100">
        <v>0.7142857142857143</v>
      </c>
      <c r="AY39" s="100">
        <v>0.14285714285714285</v>
      </c>
      <c r="AZ39" s="100">
        <v>1</v>
      </c>
      <c r="BA39" s="100">
        <v>0.2857142857142857</v>
      </c>
      <c r="BB39" s="100">
        <v>0</v>
      </c>
      <c r="BC39" s="100">
        <v>0</v>
      </c>
      <c r="BD39" s="106"/>
      <c r="BE39" s="106"/>
      <c r="BF39" s="91">
        <v>1</v>
      </c>
      <c r="BG39" s="106" t="s">
        <v>355</v>
      </c>
      <c r="BH39" s="100"/>
      <c r="BI39" s="100"/>
      <c r="BJ39" s="100" t="s">
        <v>773</v>
      </c>
    </row>
    <row r="40" spans="1:62">
      <c r="A40" s="101" t="s">
        <v>356</v>
      </c>
      <c r="B40" s="102" t="s">
        <v>85</v>
      </c>
      <c r="C40" s="103" t="s">
        <v>33</v>
      </c>
      <c r="D40" s="103">
        <v>62</v>
      </c>
      <c r="E40" s="103">
        <v>74</v>
      </c>
      <c r="F40" s="103">
        <v>2009</v>
      </c>
      <c r="G40" s="104">
        <v>16</v>
      </c>
      <c r="H40" s="105">
        <v>0</v>
      </c>
      <c r="I40" s="105">
        <v>2</v>
      </c>
      <c r="J40" s="100">
        <v>2015</v>
      </c>
      <c r="K40" s="100">
        <v>2021</v>
      </c>
      <c r="L40" s="100">
        <v>6</v>
      </c>
      <c r="M40" s="100">
        <v>1</v>
      </c>
      <c r="N40" s="125" t="s">
        <v>774</v>
      </c>
      <c r="O40" s="100" t="s">
        <v>28</v>
      </c>
      <c r="P40" s="100">
        <v>0</v>
      </c>
      <c r="Q40" s="100"/>
      <c r="R40" s="100" t="s">
        <v>30</v>
      </c>
      <c r="S40" s="100" t="s">
        <v>162</v>
      </c>
      <c r="T40" s="106" t="s">
        <v>37</v>
      </c>
      <c r="U40" s="106">
        <v>0</v>
      </c>
      <c r="V40" s="106">
        <v>30</v>
      </c>
      <c r="W40" s="100">
        <v>3</v>
      </c>
      <c r="X40" s="107">
        <v>3</v>
      </c>
      <c r="AA40" s="108">
        <v>0</v>
      </c>
      <c r="AB40" s="108">
        <v>0</v>
      </c>
      <c r="AC40" s="108">
        <v>1</v>
      </c>
      <c r="AD40" s="108">
        <v>0</v>
      </c>
      <c r="AE40" s="108">
        <v>0</v>
      </c>
      <c r="AF40" s="108">
        <v>0</v>
      </c>
      <c r="AG40" s="109">
        <v>0</v>
      </c>
      <c r="AH40" s="109">
        <v>0</v>
      </c>
      <c r="AI40" s="109">
        <v>2</v>
      </c>
      <c r="AJ40" s="109">
        <v>0</v>
      </c>
      <c r="AK40" s="109">
        <v>0</v>
      </c>
      <c r="AL40" s="109">
        <v>0</v>
      </c>
      <c r="AM40" s="107">
        <v>0</v>
      </c>
      <c r="AN40" s="107">
        <v>0</v>
      </c>
      <c r="AO40" s="107">
        <v>3</v>
      </c>
      <c r="AP40" s="107">
        <v>0</v>
      </c>
      <c r="AQ40" s="107">
        <v>0</v>
      </c>
      <c r="AR40" s="107">
        <v>0</v>
      </c>
      <c r="AS40" s="110">
        <v>3</v>
      </c>
      <c r="AT40" s="110">
        <v>0.33333333333333331</v>
      </c>
      <c r="AU40" s="100">
        <v>2</v>
      </c>
      <c r="AV40" s="100">
        <v>0.33333333333333331</v>
      </c>
      <c r="AW40" s="100">
        <v>1</v>
      </c>
      <c r="AX40" s="100">
        <v>0</v>
      </c>
      <c r="AY40" s="100">
        <v>0</v>
      </c>
      <c r="AZ40" s="100">
        <v>0.33333333333333331</v>
      </c>
      <c r="BA40" s="100">
        <v>0</v>
      </c>
      <c r="BB40" s="100">
        <v>0</v>
      </c>
      <c r="BC40" s="100">
        <v>0</v>
      </c>
      <c r="BD40" s="106">
        <v>0</v>
      </c>
      <c r="BE40" s="106"/>
      <c r="BF40" s="91">
        <v>0</v>
      </c>
      <c r="BG40" s="106" t="s">
        <v>709</v>
      </c>
      <c r="BH40" s="100"/>
      <c r="BI40" s="100"/>
      <c r="BJ40" s="100" t="s">
        <v>774</v>
      </c>
    </row>
    <row r="41" spans="1:62">
      <c r="A41" s="101" t="s">
        <v>367</v>
      </c>
      <c r="B41" s="102" t="s">
        <v>32</v>
      </c>
      <c r="C41" s="103" t="s">
        <v>32</v>
      </c>
      <c r="D41" s="103">
        <v>29</v>
      </c>
      <c r="E41" s="103">
        <v>74</v>
      </c>
      <c r="F41" s="103">
        <v>2013</v>
      </c>
      <c r="G41" s="104">
        <v>64</v>
      </c>
      <c r="H41" s="105">
        <v>0</v>
      </c>
      <c r="I41" s="105">
        <v>0</v>
      </c>
      <c r="J41" s="100">
        <v>2017</v>
      </c>
      <c r="K41" s="100">
        <v>2023</v>
      </c>
      <c r="L41" s="100">
        <v>6</v>
      </c>
      <c r="M41" s="100">
        <v>1</v>
      </c>
      <c r="N41" s="125" t="s">
        <v>775</v>
      </c>
      <c r="O41" s="100" t="s">
        <v>28</v>
      </c>
      <c r="P41" s="100">
        <v>1</v>
      </c>
      <c r="Q41" s="100" t="s">
        <v>604</v>
      </c>
      <c r="R41" s="100" t="s">
        <v>30</v>
      </c>
      <c r="S41" s="100" t="s">
        <v>374</v>
      </c>
      <c r="T41" s="106" t="s">
        <v>605</v>
      </c>
      <c r="U41" s="106">
        <v>0</v>
      </c>
      <c r="V41" s="106"/>
      <c r="W41" s="100">
        <v>0</v>
      </c>
      <c r="X41" s="107">
        <v>2</v>
      </c>
      <c r="AA41" s="108">
        <v>0</v>
      </c>
      <c r="AB41" s="108">
        <v>0</v>
      </c>
      <c r="AC41" s="108">
        <v>0</v>
      </c>
      <c r="AD41" s="108">
        <v>0</v>
      </c>
      <c r="AE41" s="108">
        <v>0</v>
      </c>
      <c r="AF41" s="108">
        <v>0</v>
      </c>
      <c r="AG41" s="109">
        <v>2</v>
      </c>
      <c r="AH41" s="109">
        <v>0</v>
      </c>
      <c r="AI41" s="109">
        <v>2</v>
      </c>
      <c r="AJ41" s="109">
        <v>0</v>
      </c>
      <c r="AK41" s="109">
        <v>0</v>
      </c>
      <c r="AL41" s="109">
        <v>0</v>
      </c>
      <c r="AM41" s="107">
        <v>2</v>
      </c>
      <c r="AN41" s="107">
        <v>0</v>
      </c>
      <c r="AO41" s="107">
        <v>2</v>
      </c>
      <c r="AP41" s="107">
        <v>0</v>
      </c>
      <c r="AQ41" s="107">
        <v>0</v>
      </c>
      <c r="AR41" s="107">
        <v>0</v>
      </c>
      <c r="AS41" s="110">
        <v>2</v>
      </c>
      <c r="AT41" s="110">
        <v>0.33333333333333331</v>
      </c>
      <c r="AU41" s="100">
        <v>2</v>
      </c>
      <c r="AV41" s="100">
        <v>0.33333333333333331</v>
      </c>
      <c r="AW41" s="100">
        <v>0</v>
      </c>
      <c r="AX41" s="100">
        <v>0.33333333333333331</v>
      </c>
      <c r="AY41" s="100">
        <v>0</v>
      </c>
      <c r="AZ41" s="100">
        <v>0.33333333333333331</v>
      </c>
      <c r="BA41" s="100">
        <v>0</v>
      </c>
      <c r="BB41" s="100">
        <v>0</v>
      </c>
      <c r="BC41" s="100">
        <v>0</v>
      </c>
      <c r="BD41" s="106">
        <v>0</v>
      </c>
      <c r="BE41" s="106"/>
      <c r="BF41" s="91">
        <v>1</v>
      </c>
      <c r="BG41" s="106" t="s">
        <v>710</v>
      </c>
      <c r="BH41" s="100"/>
      <c r="BI41" s="100"/>
      <c r="BJ41" s="100" t="s">
        <v>775</v>
      </c>
    </row>
    <row r="42" spans="1:62">
      <c r="A42" s="101" t="s">
        <v>367</v>
      </c>
      <c r="B42" s="102" t="s">
        <v>32</v>
      </c>
      <c r="C42" s="103" t="s">
        <v>32</v>
      </c>
      <c r="D42" s="103">
        <v>29</v>
      </c>
      <c r="E42" s="103">
        <v>74</v>
      </c>
      <c r="F42" s="103">
        <v>2013</v>
      </c>
      <c r="G42" s="104">
        <v>64</v>
      </c>
      <c r="H42" s="105">
        <v>0</v>
      </c>
      <c r="I42" s="105">
        <v>0</v>
      </c>
      <c r="J42" s="100">
        <v>2016</v>
      </c>
      <c r="K42" s="100">
        <v>2022</v>
      </c>
      <c r="L42" s="100">
        <v>6</v>
      </c>
      <c r="M42" s="100">
        <v>1</v>
      </c>
      <c r="N42" s="127" t="s">
        <v>776</v>
      </c>
      <c r="O42" s="100" t="s">
        <v>35</v>
      </c>
      <c r="P42" s="100">
        <v>0</v>
      </c>
      <c r="Q42" s="100"/>
      <c r="R42" s="100" t="s">
        <v>30</v>
      </c>
      <c r="S42" s="104" t="s">
        <v>534</v>
      </c>
      <c r="T42" s="106" t="s">
        <v>84</v>
      </c>
      <c r="U42" s="106">
        <v>0</v>
      </c>
      <c r="V42" s="106">
        <v>64</v>
      </c>
      <c r="W42" s="104">
        <v>4</v>
      </c>
      <c r="X42" s="107">
        <v>12</v>
      </c>
      <c r="AA42" s="112">
        <v>0</v>
      </c>
      <c r="AB42" s="112">
        <v>0</v>
      </c>
      <c r="AC42" s="112">
        <v>1</v>
      </c>
      <c r="AD42" s="112">
        <v>0</v>
      </c>
      <c r="AE42" s="112">
        <v>0</v>
      </c>
      <c r="AF42" s="112">
        <v>0</v>
      </c>
      <c r="AG42" s="109">
        <v>6</v>
      </c>
      <c r="AH42" s="109">
        <v>0</v>
      </c>
      <c r="AI42" s="109">
        <v>2</v>
      </c>
      <c r="AJ42" s="109">
        <v>3</v>
      </c>
      <c r="AK42" s="109">
        <v>2</v>
      </c>
      <c r="AL42" s="109">
        <v>4</v>
      </c>
      <c r="AM42" s="113">
        <v>6</v>
      </c>
      <c r="AN42" s="113">
        <v>0</v>
      </c>
      <c r="AO42" s="113">
        <v>3</v>
      </c>
      <c r="AP42" s="113">
        <v>3</v>
      </c>
      <c r="AQ42" s="113">
        <v>2</v>
      </c>
      <c r="AR42" s="113">
        <v>4</v>
      </c>
      <c r="AS42" s="110">
        <v>12</v>
      </c>
      <c r="AT42" s="110">
        <v>1.8333333333333333</v>
      </c>
      <c r="AU42" s="100">
        <v>7</v>
      </c>
      <c r="AV42" s="100">
        <v>1.1666666666666667</v>
      </c>
      <c r="AW42" s="100">
        <v>1</v>
      </c>
      <c r="AX42" s="100">
        <v>1</v>
      </c>
      <c r="AY42" s="100">
        <v>0</v>
      </c>
      <c r="AZ42" s="100">
        <v>0.33333333333333331</v>
      </c>
      <c r="BA42" s="100">
        <v>0.5</v>
      </c>
      <c r="BB42" s="100">
        <v>0.33333333333333331</v>
      </c>
      <c r="BC42" s="100">
        <v>0.66666666666666663</v>
      </c>
      <c r="BD42" s="106"/>
      <c r="BE42" s="106"/>
      <c r="BF42" s="91">
        <v>1</v>
      </c>
      <c r="BG42" s="106" t="s">
        <v>533</v>
      </c>
      <c r="BH42" s="100"/>
      <c r="BI42" s="100"/>
      <c r="BJ42" s="104" t="s">
        <v>776</v>
      </c>
    </row>
    <row r="43" spans="1:62">
      <c r="A43" s="101" t="s">
        <v>367</v>
      </c>
      <c r="B43" s="102" t="s">
        <v>32</v>
      </c>
      <c r="C43" s="103" t="s">
        <v>32</v>
      </c>
      <c r="D43" s="103">
        <v>29</v>
      </c>
      <c r="E43" s="103">
        <v>74</v>
      </c>
      <c r="F43" s="103">
        <v>2013</v>
      </c>
      <c r="G43" s="104">
        <v>64</v>
      </c>
      <c r="H43" s="105">
        <v>0</v>
      </c>
      <c r="I43" s="105">
        <v>0</v>
      </c>
      <c r="J43" s="100">
        <v>2015</v>
      </c>
      <c r="K43" s="100">
        <v>2021</v>
      </c>
      <c r="L43" s="100">
        <v>6</v>
      </c>
      <c r="M43" s="100">
        <v>1</v>
      </c>
      <c r="N43" s="127" t="s">
        <v>777</v>
      </c>
      <c r="O43" s="100" t="s">
        <v>28</v>
      </c>
      <c r="P43" s="100">
        <v>0</v>
      </c>
      <c r="Q43" s="100"/>
      <c r="R43" s="100" t="s">
        <v>30</v>
      </c>
      <c r="S43" s="100" t="s">
        <v>104</v>
      </c>
      <c r="T43" s="106" t="s">
        <v>47</v>
      </c>
      <c r="U43" s="106">
        <v>0</v>
      </c>
      <c r="V43" s="106">
        <v>22</v>
      </c>
      <c r="W43" s="104">
        <v>0</v>
      </c>
      <c r="X43" s="107">
        <v>1</v>
      </c>
      <c r="AA43" s="112">
        <v>0</v>
      </c>
      <c r="AB43" s="112">
        <v>0</v>
      </c>
      <c r="AC43" s="112">
        <v>0</v>
      </c>
      <c r="AD43" s="112">
        <v>0</v>
      </c>
      <c r="AE43" s="112">
        <v>0</v>
      </c>
      <c r="AF43" s="112">
        <v>0</v>
      </c>
      <c r="AG43" s="109">
        <v>0</v>
      </c>
      <c r="AH43" s="109">
        <v>0</v>
      </c>
      <c r="AI43" s="109">
        <v>1</v>
      </c>
      <c r="AJ43" s="109">
        <v>0</v>
      </c>
      <c r="AK43" s="109">
        <v>0</v>
      </c>
      <c r="AL43" s="109">
        <v>0</v>
      </c>
      <c r="AM43" s="113">
        <v>0</v>
      </c>
      <c r="AN43" s="113">
        <v>0</v>
      </c>
      <c r="AO43" s="113">
        <v>1</v>
      </c>
      <c r="AP43" s="113">
        <v>0</v>
      </c>
      <c r="AQ43" s="113">
        <v>0</v>
      </c>
      <c r="AR43" s="113">
        <v>0</v>
      </c>
      <c r="AS43" s="110">
        <v>1</v>
      </c>
      <c r="AT43" s="110">
        <v>0.16666666666666666</v>
      </c>
      <c r="AU43" s="100">
        <v>1</v>
      </c>
      <c r="AV43" s="100">
        <v>0.16666666666666666</v>
      </c>
      <c r="AW43" s="100">
        <v>0</v>
      </c>
      <c r="AX43" s="100">
        <v>0</v>
      </c>
      <c r="AY43" s="100">
        <v>0</v>
      </c>
      <c r="AZ43" s="100">
        <v>0.16666666666666666</v>
      </c>
      <c r="BA43" s="100">
        <v>0</v>
      </c>
      <c r="BB43" s="100">
        <v>0</v>
      </c>
      <c r="BC43" s="100">
        <v>0</v>
      </c>
      <c r="BD43" s="106"/>
      <c r="BE43" s="106"/>
      <c r="BF43" s="91">
        <v>1</v>
      </c>
      <c r="BG43" s="106" t="s">
        <v>533</v>
      </c>
      <c r="BH43" s="100"/>
      <c r="BI43" s="100"/>
      <c r="BJ43" s="104" t="s">
        <v>777</v>
      </c>
    </row>
    <row r="44" spans="1:62">
      <c r="A44" s="101" t="s">
        <v>375</v>
      </c>
      <c r="B44" s="102" t="s">
        <v>32</v>
      </c>
      <c r="C44" s="103" t="s">
        <v>32</v>
      </c>
      <c r="D44" s="103">
        <v>88</v>
      </c>
      <c r="E44" s="103">
        <v>74</v>
      </c>
      <c r="F44" s="103">
        <v>2008</v>
      </c>
      <c r="G44" s="104">
        <v>4</v>
      </c>
      <c r="H44" s="105">
        <v>0</v>
      </c>
      <c r="I44" s="105">
        <v>2</v>
      </c>
      <c r="J44" s="100">
        <v>2015</v>
      </c>
      <c r="K44" s="100">
        <v>2021</v>
      </c>
      <c r="L44" s="100">
        <v>6</v>
      </c>
      <c r="M44" s="100">
        <v>1</v>
      </c>
      <c r="N44" s="125" t="s">
        <v>778</v>
      </c>
      <c r="O44" s="100" t="s">
        <v>35</v>
      </c>
      <c r="P44" s="100">
        <v>1</v>
      </c>
      <c r="Q44" s="106" t="s">
        <v>367</v>
      </c>
      <c r="R44" s="100" t="s">
        <v>30</v>
      </c>
      <c r="S44" s="100" t="s">
        <v>609</v>
      </c>
      <c r="T44" s="106"/>
      <c r="U44" s="106">
        <v>0</v>
      </c>
      <c r="V44" s="106"/>
      <c r="W44" s="100">
        <v>18</v>
      </c>
      <c r="X44" s="107">
        <v>67</v>
      </c>
      <c r="AA44" s="112">
        <v>22</v>
      </c>
      <c r="AB44" s="112">
        <v>18</v>
      </c>
      <c r="AC44" s="112">
        <v>6</v>
      </c>
      <c r="AD44" s="112">
        <v>3</v>
      </c>
      <c r="AE44" s="112">
        <v>12</v>
      </c>
      <c r="AF44" s="112">
        <v>4</v>
      </c>
      <c r="AG44" s="109">
        <v>19</v>
      </c>
      <c r="AH44" s="109">
        <v>0</v>
      </c>
      <c r="AI44" s="109">
        <v>11</v>
      </c>
      <c r="AJ44" s="109">
        <v>4</v>
      </c>
      <c r="AK44" s="109">
        <v>4</v>
      </c>
      <c r="AL44" s="109">
        <v>5</v>
      </c>
      <c r="AM44" s="113">
        <v>41</v>
      </c>
      <c r="AN44" s="113">
        <v>18</v>
      </c>
      <c r="AO44" s="113">
        <v>17</v>
      </c>
      <c r="AP44" s="113">
        <v>7</v>
      </c>
      <c r="AQ44" s="113">
        <v>16</v>
      </c>
      <c r="AR44" s="113">
        <v>9</v>
      </c>
      <c r="AS44" s="110">
        <v>67</v>
      </c>
      <c r="AT44" s="110">
        <v>4</v>
      </c>
      <c r="AU44" s="100">
        <v>19</v>
      </c>
      <c r="AV44" s="100">
        <v>3.1666666666666665</v>
      </c>
      <c r="AW44" s="100">
        <v>39</v>
      </c>
      <c r="AX44" s="100">
        <v>3.1666666666666665</v>
      </c>
      <c r="AY44" s="100">
        <v>0</v>
      </c>
      <c r="AZ44" s="100">
        <v>1.8333333333333333</v>
      </c>
      <c r="BA44" s="100">
        <v>0.66666666666666663</v>
      </c>
      <c r="BB44" s="100">
        <v>0.66666666666666663</v>
      </c>
      <c r="BC44" s="100">
        <v>0.83333333333333337</v>
      </c>
      <c r="BD44" s="106"/>
      <c r="BE44" s="106"/>
      <c r="BF44" s="91">
        <v>1</v>
      </c>
      <c r="BG44" s="106" t="s">
        <v>711</v>
      </c>
      <c r="BH44" s="100"/>
      <c r="BI44" s="100"/>
      <c r="BJ44" s="100" t="s">
        <v>778</v>
      </c>
    </row>
    <row r="45" spans="1:62">
      <c r="A45" s="101" t="s">
        <v>395</v>
      </c>
      <c r="B45" s="102" t="s">
        <v>85</v>
      </c>
      <c r="C45" s="102" t="s">
        <v>85</v>
      </c>
      <c r="D45" s="103">
        <v>38</v>
      </c>
      <c r="E45" s="103">
        <v>85</v>
      </c>
      <c r="F45" s="103">
        <v>2009</v>
      </c>
      <c r="G45" s="104">
        <v>15</v>
      </c>
      <c r="H45" s="105">
        <v>0</v>
      </c>
      <c r="I45" s="105">
        <v>0</v>
      </c>
      <c r="J45" s="100">
        <v>2017</v>
      </c>
      <c r="K45" s="100">
        <v>2023</v>
      </c>
      <c r="L45" s="100">
        <v>6</v>
      </c>
      <c r="M45" s="100">
        <v>1</v>
      </c>
      <c r="N45" s="125" t="s">
        <v>779</v>
      </c>
      <c r="O45" s="100" t="s">
        <v>28</v>
      </c>
      <c r="P45" s="100">
        <v>0</v>
      </c>
      <c r="Q45" s="106"/>
      <c r="R45" s="100" t="s">
        <v>30</v>
      </c>
      <c r="S45" s="100" t="s">
        <v>114</v>
      </c>
      <c r="T45" s="106" t="s">
        <v>101</v>
      </c>
      <c r="U45" s="106">
        <v>0</v>
      </c>
      <c r="V45" s="106">
        <v>25</v>
      </c>
      <c r="W45" s="100">
        <v>9</v>
      </c>
      <c r="X45" s="107">
        <v>28</v>
      </c>
      <c r="AA45" s="108">
        <v>1</v>
      </c>
      <c r="AB45" s="108">
        <v>0</v>
      </c>
      <c r="AC45" s="108">
        <v>9</v>
      </c>
      <c r="AD45" s="108">
        <v>2</v>
      </c>
      <c r="AE45" s="108">
        <v>0</v>
      </c>
      <c r="AF45" s="108">
        <v>0</v>
      </c>
      <c r="AG45" s="109">
        <v>14</v>
      </c>
      <c r="AH45" s="109">
        <v>0</v>
      </c>
      <c r="AI45" s="109">
        <v>9</v>
      </c>
      <c r="AJ45" s="109">
        <v>3</v>
      </c>
      <c r="AK45" s="109">
        <v>1</v>
      </c>
      <c r="AL45" s="109">
        <v>4</v>
      </c>
      <c r="AM45" s="107">
        <v>15</v>
      </c>
      <c r="AN45" s="107">
        <v>0</v>
      </c>
      <c r="AO45" s="107">
        <v>18</v>
      </c>
      <c r="AP45" s="107">
        <v>5</v>
      </c>
      <c r="AQ45" s="107">
        <v>1</v>
      </c>
      <c r="AR45" s="107">
        <v>4</v>
      </c>
      <c r="AS45" s="110">
        <v>28</v>
      </c>
      <c r="AT45" s="110">
        <v>2.8333333333333335</v>
      </c>
      <c r="AU45" s="100">
        <v>13</v>
      </c>
      <c r="AV45" s="100">
        <v>2.1666666666666665</v>
      </c>
      <c r="AW45" s="100">
        <v>11</v>
      </c>
      <c r="AX45" s="100">
        <v>2.3333333333333335</v>
      </c>
      <c r="AY45" s="100">
        <v>0</v>
      </c>
      <c r="AZ45" s="100">
        <v>1.5</v>
      </c>
      <c r="BA45" s="100">
        <v>0.5</v>
      </c>
      <c r="BB45" s="100">
        <v>0.16666666666666666</v>
      </c>
      <c r="BC45" s="100">
        <v>0.66666666666666663</v>
      </c>
      <c r="BD45" s="106"/>
      <c r="BE45" s="106"/>
      <c r="BF45" s="91">
        <v>1</v>
      </c>
      <c r="BG45" s="106" t="s">
        <v>222</v>
      </c>
      <c r="BH45" s="100"/>
      <c r="BI45" s="100"/>
      <c r="BJ45" s="100" t="s">
        <v>779</v>
      </c>
    </row>
    <row r="46" spans="1:62">
      <c r="A46" s="101" t="s">
        <v>395</v>
      </c>
      <c r="B46" s="102" t="s">
        <v>85</v>
      </c>
      <c r="C46" s="102" t="s">
        <v>85</v>
      </c>
      <c r="D46" s="103">
        <v>38</v>
      </c>
      <c r="E46" s="103">
        <v>85</v>
      </c>
      <c r="F46" s="103">
        <v>2009</v>
      </c>
      <c r="G46" s="104">
        <v>15</v>
      </c>
      <c r="H46" s="105">
        <v>0</v>
      </c>
      <c r="I46" s="105">
        <v>0</v>
      </c>
      <c r="J46" s="100">
        <v>2016</v>
      </c>
      <c r="K46" s="100">
        <v>2022</v>
      </c>
      <c r="L46" s="100">
        <v>6</v>
      </c>
      <c r="M46" s="100">
        <v>1</v>
      </c>
      <c r="N46" s="125" t="s">
        <v>780</v>
      </c>
      <c r="O46" s="100" t="s">
        <v>28</v>
      </c>
      <c r="P46" s="100">
        <v>0</v>
      </c>
      <c r="Q46" s="106"/>
      <c r="R46" s="100" t="s">
        <v>39</v>
      </c>
      <c r="S46" s="100" t="s">
        <v>392</v>
      </c>
      <c r="T46" s="106" t="s">
        <v>37</v>
      </c>
      <c r="U46" s="106">
        <v>0</v>
      </c>
      <c r="V46" s="106">
        <v>23</v>
      </c>
      <c r="W46" s="100">
        <v>0</v>
      </c>
      <c r="X46" s="107">
        <v>1</v>
      </c>
      <c r="AA46" s="112">
        <v>0</v>
      </c>
      <c r="AB46" s="112">
        <v>0</v>
      </c>
      <c r="AC46" s="112">
        <v>0</v>
      </c>
      <c r="AD46" s="112">
        <v>0</v>
      </c>
      <c r="AE46" s="112">
        <v>0</v>
      </c>
      <c r="AF46" s="112">
        <v>0</v>
      </c>
      <c r="AG46" s="109">
        <v>0</v>
      </c>
      <c r="AH46" s="109">
        <v>0</v>
      </c>
      <c r="AI46" s="109">
        <v>0</v>
      </c>
      <c r="AJ46" s="109">
        <v>1</v>
      </c>
      <c r="AK46" s="109">
        <v>0</v>
      </c>
      <c r="AL46" s="109">
        <v>0</v>
      </c>
      <c r="AM46" s="113">
        <v>0</v>
      </c>
      <c r="AN46" s="113">
        <v>0</v>
      </c>
      <c r="AO46" s="113">
        <v>0</v>
      </c>
      <c r="AP46" s="113">
        <v>1</v>
      </c>
      <c r="AQ46" s="113">
        <v>0</v>
      </c>
      <c r="AR46" s="113">
        <v>0</v>
      </c>
      <c r="AS46" s="110">
        <v>1</v>
      </c>
      <c r="AT46" s="110">
        <v>0.16666666666666666</v>
      </c>
      <c r="AU46" s="100">
        <v>1</v>
      </c>
      <c r="AV46" s="100">
        <v>0.16666666666666666</v>
      </c>
      <c r="AW46" s="100">
        <v>0</v>
      </c>
      <c r="AX46" s="100">
        <v>0</v>
      </c>
      <c r="AY46" s="100">
        <v>0</v>
      </c>
      <c r="AZ46" s="100">
        <v>0</v>
      </c>
      <c r="BA46" s="100">
        <v>0.16666666666666666</v>
      </c>
      <c r="BB46" s="100">
        <v>0</v>
      </c>
      <c r="BC46" s="100">
        <v>0</v>
      </c>
      <c r="BD46" s="106"/>
      <c r="BE46" s="106"/>
      <c r="BF46" s="91">
        <v>1</v>
      </c>
      <c r="BG46" s="114" t="s">
        <v>727</v>
      </c>
      <c r="BH46" s="100"/>
      <c r="BI46" s="100"/>
      <c r="BJ46" s="100" t="s">
        <v>780</v>
      </c>
    </row>
    <row r="47" spans="1:62">
      <c r="A47" s="101" t="s">
        <v>395</v>
      </c>
      <c r="B47" s="102" t="s">
        <v>85</v>
      </c>
      <c r="C47" s="102" t="s">
        <v>85</v>
      </c>
      <c r="D47" s="103">
        <v>38</v>
      </c>
      <c r="E47" s="103">
        <v>85</v>
      </c>
      <c r="F47" s="103">
        <v>2009</v>
      </c>
      <c r="G47" s="104">
        <v>15</v>
      </c>
      <c r="H47" s="105">
        <v>0</v>
      </c>
      <c r="I47" s="105">
        <v>0</v>
      </c>
      <c r="J47" s="100">
        <v>2015</v>
      </c>
      <c r="K47" s="100">
        <v>2021</v>
      </c>
      <c r="L47" s="100">
        <v>6</v>
      </c>
      <c r="M47" s="100">
        <v>1</v>
      </c>
      <c r="N47" s="125" t="s">
        <v>781</v>
      </c>
      <c r="O47" s="100" t="s">
        <v>35</v>
      </c>
      <c r="P47" s="100">
        <v>0</v>
      </c>
      <c r="Q47" s="106"/>
      <c r="R47" s="100" t="s">
        <v>30</v>
      </c>
      <c r="S47" s="100" t="s">
        <v>612</v>
      </c>
      <c r="T47" s="106" t="s">
        <v>101</v>
      </c>
      <c r="U47" s="106">
        <v>0</v>
      </c>
      <c r="V47" s="106">
        <v>26</v>
      </c>
      <c r="W47" s="100">
        <v>2</v>
      </c>
      <c r="X47" s="107">
        <v>8</v>
      </c>
      <c r="AA47" s="112">
        <v>0</v>
      </c>
      <c r="AB47" s="112">
        <v>0</v>
      </c>
      <c r="AC47" s="112">
        <v>0</v>
      </c>
      <c r="AD47" s="112">
        <v>0</v>
      </c>
      <c r="AE47" s="112">
        <v>0</v>
      </c>
      <c r="AF47" s="112">
        <v>0</v>
      </c>
      <c r="AG47" s="109">
        <v>4</v>
      </c>
      <c r="AH47" s="109">
        <v>0</v>
      </c>
      <c r="AI47" s="109">
        <v>1</v>
      </c>
      <c r="AJ47" s="109">
        <v>2</v>
      </c>
      <c r="AK47" s="109">
        <v>0</v>
      </c>
      <c r="AL47" s="109">
        <v>5</v>
      </c>
      <c r="AM47" s="113">
        <v>4</v>
      </c>
      <c r="AN47" s="113">
        <v>0</v>
      </c>
      <c r="AO47" s="113">
        <v>1</v>
      </c>
      <c r="AP47" s="113">
        <v>2</v>
      </c>
      <c r="AQ47" s="113">
        <v>0</v>
      </c>
      <c r="AR47" s="113">
        <v>5</v>
      </c>
      <c r="AS47" s="110">
        <v>8</v>
      </c>
      <c r="AT47" s="110">
        <v>1.3333333333333333</v>
      </c>
      <c r="AU47" s="100">
        <v>3</v>
      </c>
      <c r="AV47" s="100">
        <v>0.5</v>
      </c>
      <c r="AW47" s="100">
        <v>0</v>
      </c>
      <c r="AX47" s="100">
        <v>0.66666666666666663</v>
      </c>
      <c r="AY47" s="100">
        <v>0</v>
      </c>
      <c r="AZ47" s="100">
        <v>0.16666666666666666</v>
      </c>
      <c r="BA47" s="100">
        <v>0.33333333333333331</v>
      </c>
      <c r="BB47" s="100">
        <v>0</v>
      </c>
      <c r="BC47" s="100">
        <v>0.83333333333333337</v>
      </c>
      <c r="BD47" s="106"/>
      <c r="BE47" s="106"/>
      <c r="BF47" s="91">
        <v>0</v>
      </c>
      <c r="BG47" s="105" t="s">
        <v>729</v>
      </c>
      <c r="BH47" s="100"/>
      <c r="BI47" s="100"/>
      <c r="BJ47" s="100" t="s">
        <v>781</v>
      </c>
    </row>
    <row r="48" spans="1:62">
      <c r="A48" s="101" t="s">
        <v>403</v>
      </c>
      <c r="B48" s="120" t="s">
        <v>32</v>
      </c>
      <c r="C48" s="120" t="s">
        <v>32</v>
      </c>
      <c r="D48" s="103">
        <v>44</v>
      </c>
      <c r="E48" s="103">
        <v>74</v>
      </c>
      <c r="F48" s="103">
        <v>2011</v>
      </c>
      <c r="G48" s="104">
        <v>8</v>
      </c>
      <c r="H48" s="105">
        <v>1</v>
      </c>
      <c r="I48" s="105">
        <v>1</v>
      </c>
      <c r="J48" s="106">
        <v>2015</v>
      </c>
      <c r="K48" s="100">
        <v>2023</v>
      </c>
      <c r="L48" s="100">
        <v>8</v>
      </c>
      <c r="M48" s="100">
        <v>1</v>
      </c>
      <c r="N48" s="124" t="s">
        <v>782</v>
      </c>
      <c r="O48" s="106" t="s">
        <v>35</v>
      </c>
      <c r="P48" s="106">
        <v>0</v>
      </c>
      <c r="Q48" s="106"/>
      <c r="R48" s="106" t="s">
        <v>30</v>
      </c>
      <c r="S48" s="106" t="s">
        <v>427</v>
      </c>
      <c r="T48" s="106" t="s">
        <v>101</v>
      </c>
      <c r="U48" s="106">
        <v>0</v>
      </c>
      <c r="V48" s="106">
        <v>28</v>
      </c>
      <c r="W48" s="106">
        <v>6</v>
      </c>
      <c r="X48" s="107">
        <v>19</v>
      </c>
      <c r="AA48" s="108">
        <v>2</v>
      </c>
      <c r="AB48" s="108">
        <v>0</v>
      </c>
      <c r="AC48" s="108">
        <v>0</v>
      </c>
      <c r="AD48" s="108">
        <v>2</v>
      </c>
      <c r="AE48" s="108">
        <v>0</v>
      </c>
      <c r="AF48" s="108">
        <v>0</v>
      </c>
      <c r="AG48" s="109">
        <v>10</v>
      </c>
      <c r="AH48" s="109">
        <v>1</v>
      </c>
      <c r="AI48" s="109">
        <v>7</v>
      </c>
      <c r="AJ48" s="109">
        <v>2</v>
      </c>
      <c r="AK48" s="109">
        <v>4</v>
      </c>
      <c r="AL48" s="109">
        <v>3</v>
      </c>
      <c r="AM48" s="107">
        <v>12</v>
      </c>
      <c r="AN48" s="107">
        <v>1</v>
      </c>
      <c r="AO48" s="107">
        <v>7</v>
      </c>
      <c r="AP48" s="107">
        <v>4</v>
      </c>
      <c r="AQ48" s="107">
        <v>4</v>
      </c>
      <c r="AR48" s="107">
        <v>3</v>
      </c>
      <c r="AS48" s="110">
        <v>19</v>
      </c>
      <c r="AT48" s="110">
        <v>2.125</v>
      </c>
      <c r="AU48" s="100">
        <v>14</v>
      </c>
      <c r="AV48" s="100">
        <v>1.75</v>
      </c>
      <c r="AW48" s="100">
        <v>2</v>
      </c>
      <c r="AX48" s="100">
        <v>1.25</v>
      </c>
      <c r="AY48" s="100">
        <v>0.125</v>
      </c>
      <c r="AZ48" s="100">
        <v>0.875</v>
      </c>
      <c r="BA48" s="100">
        <v>0.25</v>
      </c>
      <c r="BB48" s="100">
        <v>0.5</v>
      </c>
      <c r="BC48" s="100">
        <v>0.375</v>
      </c>
      <c r="BD48" s="106">
        <v>1</v>
      </c>
      <c r="BE48" s="106"/>
      <c r="BF48" s="91">
        <v>1</v>
      </c>
      <c r="BG48" s="106" t="s">
        <v>426</v>
      </c>
      <c r="BH48" s="106"/>
      <c r="BI48" s="106"/>
      <c r="BJ48" s="106" t="s">
        <v>782</v>
      </c>
    </row>
    <row r="49" spans="1:62">
      <c r="A49" s="101" t="s">
        <v>403</v>
      </c>
      <c r="B49" s="120" t="s">
        <v>32</v>
      </c>
      <c r="C49" s="120" t="s">
        <v>32</v>
      </c>
      <c r="D49" s="103">
        <v>44</v>
      </c>
      <c r="E49" s="103">
        <v>74</v>
      </c>
      <c r="F49" s="103">
        <v>2011</v>
      </c>
      <c r="G49" s="104">
        <v>8</v>
      </c>
      <c r="H49" s="105">
        <v>1</v>
      </c>
      <c r="I49" s="105">
        <v>1</v>
      </c>
      <c r="J49" s="106">
        <v>2015</v>
      </c>
      <c r="K49" s="100">
        <v>2023</v>
      </c>
      <c r="L49" s="100">
        <v>8</v>
      </c>
      <c r="M49" s="100">
        <v>1</v>
      </c>
      <c r="N49" s="124" t="s">
        <v>783</v>
      </c>
      <c r="O49" s="106" t="s">
        <v>28</v>
      </c>
      <c r="P49" s="106">
        <v>0</v>
      </c>
      <c r="Q49" s="106"/>
      <c r="R49" s="100" t="s">
        <v>39</v>
      </c>
      <c r="S49" s="106" t="s">
        <v>614</v>
      </c>
      <c r="T49" s="106" t="s">
        <v>84</v>
      </c>
      <c r="U49" s="106">
        <v>0</v>
      </c>
      <c r="V49" s="106">
        <v>114</v>
      </c>
      <c r="W49" s="106">
        <v>5</v>
      </c>
      <c r="X49" s="107">
        <v>12</v>
      </c>
      <c r="AA49" s="108">
        <v>0</v>
      </c>
      <c r="AB49" s="108">
        <v>0</v>
      </c>
      <c r="AC49" s="108">
        <v>0</v>
      </c>
      <c r="AD49" s="108">
        <v>0</v>
      </c>
      <c r="AE49" s="108">
        <v>0</v>
      </c>
      <c r="AF49" s="108">
        <v>0</v>
      </c>
      <c r="AG49" s="109">
        <v>6</v>
      </c>
      <c r="AH49" s="109">
        <v>1</v>
      </c>
      <c r="AI49" s="109">
        <v>3</v>
      </c>
      <c r="AJ49" s="109">
        <v>3</v>
      </c>
      <c r="AK49" s="109">
        <v>3</v>
      </c>
      <c r="AL49" s="109">
        <v>2</v>
      </c>
      <c r="AM49" s="107">
        <v>6</v>
      </c>
      <c r="AN49" s="107">
        <v>1</v>
      </c>
      <c r="AO49" s="107">
        <v>3</v>
      </c>
      <c r="AP49" s="107">
        <v>3</v>
      </c>
      <c r="AQ49" s="107">
        <v>3</v>
      </c>
      <c r="AR49" s="107">
        <v>2</v>
      </c>
      <c r="AS49" s="110">
        <v>12</v>
      </c>
      <c r="AT49" s="110">
        <v>1.5</v>
      </c>
      <c r="AU49" s="100">
        <v>10</v>
      </c>
      <c r="AV49" s="100">
        <v>1.25</v>
      </c>
      <c r="AW49" s="100">
        <v>0</v>
      </c>
      <c r="AX49" s="100">
        <v>0.75</v>
      </c>
      <c r="AY49" s="100">
        <v>0.125</v>
      </c>
      <c r="AZ49" s="100">
        <v>0.375</v>
      </c>
      <c r="BA49" s="100">
        <v>0.375</v>
      </c>
      <c r="BB49" s="100">
        <v>0.375</v>
      </c>
      <c r="BC49" s="100">
        <v>0.25</v>
      </c>
      <c r="BD49" s="106">
        <v>0</v>
      </c>
      <c r="BE49" s="106"/>
      <c r="BF49" s="91">
        <v>1</v>
      </c>
      <c r="BG49" s="106" t="s">
        <v>429</v>
      </c>
      <c r="BH49" s="106"/>
      <c r="BI49" s="106"/>
      <c r="BJ49" s="106" t="s">
        <v>783</v>
      </c>
    </row>
    <row r="50" spans="1:62">
      <c r="A50" s="101" t="s">
        <v>403</v>
      </c>
      <c r="B50" s="120" t="s">
        <v>32</v>
      </c>
      <c r="C50" s="120" t="s">
        <v>32</v>
      </c>
      <c r="D50" s="103">
        <v>44</v>
      </c>
      <c r="E50" s="103">
        <v>74</v>
      </c>
      <c r="F50" s="103">
        <v>2011</v>
      </c>
      <c r="G50" s="104">
        <v>8</v>
      </c>
      <c r="H50" s="105">
        <v>1</v>
      </c>
      <c r="I50" s="105">
        <v>1</v>
      </c>
      <c r="J50" s="106">
        <v>2015</v>
      </c>
      <c r="K50" s="100">
        <v>2023</v>
      </c>
      <c r="L50" s="100">
        <v>8</v>
      </c>
      <c r="M50" s="100">
        <v>1</v>
      </c>
      <c r="N50" s="124" t="s">
        <v>784</v>
      </c>
      <c r="O50" s="106" t="s">
        <v>28</v>
      </c>
      <c r="P50" s="106">
        <v>0</v>
      </c>
      <c r="Q50" s="106"/>
      <c r="R50" s="106" t="s">
        <v>30</v>
      </c>
      <c r="S50" s="106" t="s">
        <v>432</v>
      </c>
      <c r="T50" s="106" t="s">
        <v>84</v>
      </c>
      <c r="U50" s="106">
        <v>0</v>
      </c>
      <c r="V50" s="106">
        <v>44</v>
      </c>
      <c r="W50" s="106">
        <v>9</v>
      </c>
      <c r="X50" s="107">
        <v>76</v>
      </c>
      <c r="AA50" s="108">
        <v>0</v>
      </c>
      <c r="AB50" s="108">
        <v>0</v>
      </c>
      <c r="AC50" s="108">
        <v>0</v>
      </c>
      <c r="AD50" s="108">
        <v>0</v>
      </c>
      <c r="AE50" s="108">
        <v>0</v>
      </c>
      <c r="AF50" s="108">
        <v>0</v>
      </c>
      <c r="AG50" s="109">
        <v>32</v>
      </c>
      <c r="AH50" s="109">
        <v>0</v>
      </c>
      <c r="AI50" s="109">
        <v>54</v>
      </c>
      <c r="AJ50" s="109">
        <v>7</v>
      </c>
      <c r="AK50" s="109">
        <v>4</v>
      </c>
      <c r="AL50" s="109">
        <v>11</v>
      </c>
      <c r="AM50" s="107">
        <v>32</v>
      </c>
      <c r="AN50" s="107">
        <v>0</v>
      </c>
      <c r="AO50" s="107">
        <v>54</v>
      </c>
      <c r="AP50" s="107">
        <v>7</v>
      </c>
      <c r="AQ50" s="107">
        <v>4</v>
      </c>
      <c r="AR50" s="107">
        <v>11</v>
      </c>
      <c r="AS50" s="110">
        <v>76</v>
      </c>
      <c r="AT50" s="110">
        <v>9.5</v>
      </c>
      <c r="AU50" s="100">
        <v>65</v>
      </c>
      <c r="AV50" s="100">
        <v>8.125</v>
      </c>
      <c r="AW50" s="100">
        <v>0</v>
      </c>
      <c r="AX50" s="100">
        <v>4</v>
      </c>
      <c r="AY50" s="100">
        <v>0</v>
      </c>
      <c r="AZ50" s="100">
        <v>6.75</v>
      </c>
      <c r="BA50" s="100">
        <v>0.875</v>
      </c>
      <c r="BB50" s="100">
        <v>0.5</v>
      </c>
      <c r="BC50" s="100">
        <v>1.375</v>
      </c>
      <c r="BD50" s="106">
        <v>8</v>
      </c>
      <c r="BE50" s="106"/>
      <c r="BF50" s="91">
        <v>2</v>
      </c>
      <c r="BG50" s="106" t="s">
        <v>431</v>
      </c>
      <c r="BH50" s="106"/>
      <c r="BI50" s="106"/>
      <c r="BJ50" s="106" t="s">
        <v>784</v>
      </c>
    </row>
    <row r="51" spans="1:62">
      <c r="A51" s="101" t="s">
        <v>433</v>
      </c>
      <c r="B51" s="120" t="s">
        <v>32</v>
      </c>
      <c r="C51" s="120" t="s">
        <v>32</v>
      </c>
      <c r="D51" s="103">
        <v>41</v>
      </c>
      <c r="E51" s="103">
        <v>94</v>
      </c>
      <c r="F51" s="103">
        <v>2011</v>
      </c>
      <c r="G51" s="104">
        <v>27</v>
      </c>
      <c r="H51" s="105">
        <v>0</v>
      </c>
      <c r="I51" s="105">
        <v>2</v>
      </c>
      <c r="J51" s="106">
        <v>2016</v>
      </c>
      <c r="K51" s="100">
        <v>2023</v>
      </c>
      <c r="L51" s="100">
        <v>7</v>
      </c>
      <c r="M51" s="100">
        <v>1</v>
      </c>
      <c r="N51" s="124" t="s">
        <v>785</v>
      </c>
      <c r="O51" s="106" t="s">
        <v>35</v>
      </c>
      <c r="P51" s="106">
        <v>0</v>
      </c>
      <c r="Q51" s="106"/>
      <c r="R51" s="106" t="s">
        <v>30</v>
      </c>
      <c r="S51" s="106" t="s">
        <v>448</v>
      </c>
      <c r="T51" s="106" t="s">
        <v>84</v>
      </c>
      <c r="U51" s="106">
        <v>0</v>
      </c>
      <c r="V51" s="106">
        <v>58</v>
      </c>
      <c r="W51" s="106">
        <v>1</v>
      </c>
      <c r="X51" s="107">
        <v>6</v>
      </c>
      <c r="AA51" s="108">
        <v>0</v>
      </c>
      <c r="AB51" s="108">
        <v>0</v>
      </c>
      <c r="AC51" s="108">
        <v>0</v>
      </c>
      <c r="AD51" s="108">
        <v>1</v>
      </c>
      <c r="AE51" s="108">
        <v>0</v>
      </c>
      <c r="AF51" s="108">
        <v>0</v>
      </c>
      <c r="AG51" s="109">
        <v>2</v>
      </c>
      <c r="AH51" s="109">
        <v>0</v>
      </c>
      <c r="AI51" s="109">
        <v>1</v>
      </c>
      <c r="AJ51" s="109">
        <v>0</v>
      </c>
      <c r="AK51" s="109">
        <v>1</v>
      </c>
      <c r="AL51" s="109">
        <v>3</v>
      </c>
      <c r="AM51" s="107">
        <v>2</v>
      </c>
      <c r="AN51" s="107">
        <v>0</v>
      </c>
      <c r="AO51" s="107">
        <v>1</v>
      </c>
      <c r="AP51" s="107">
        <v>1</v>
      </c>
      <c r="AQ51" s="107">
        <v>1</v>
      </c>
      <c r="AR51" s="107">
        <v>3</v>
      </c>
      <c r="AS51" s="110">
        <v>6</v>
      </c>
      <c r="AT51" s="110">
        <v>0.7142857142857143</v>
      </c>
      <c r="AU51" s="100">
        <v>2</v>
      </c>
      <c r="AV51" s="100">
        <v>0.2857142857142857</v>
      </c>
      <c r="AW51" s="100">
        <v>1</v>
      </c>
      <c r="AX51" s="100">
        <v>0.2857142857142857</v>
      </c>
      <c r="AY51" s="100">
        <v>0</v>
      </c>
      <c r="AZ51" s="100">
        <v>0.14285714285714285</v>
      </c>
      <c r="BA51" s="100">
        <v>0</v>
      </c>
      <c r="BB51" s="100">
        <v>0.14285714285714285</v>
      </c>
      <c r="BC51" s="100">
        <v>0.42857142857142855</v>
      </c>
      <c r="BD51" s="106">
        <v>0</v>
      </c>
      <c r="BE51" s="106"/>
      <c r="BF51" s="91">
        <v>1</v>
      </c>
      <c r="BG51" s="106" t="s">
        <v>447</v>
      </c>
      <c r="BH51" s="106"/>
      <c r="BI51" s="106"/>
      <c r="BJ51" s="106" t="s">
        <v>785</v>
      </c>
    </row>
    <row r="52" spans="1:62">
      <c r="A52" s="101" t="s">
        <v>433</v>
      </c>
      <c r="B52" s="120" t="s">
        <v>32</v>
      </c>
      <c r="C52" s="120" t="s">
        <v>32</v>
      </c>
      <c r="D52" s="103">
        <v>41</v>
      </c>
      <c r="E52" s="103">
        <v>94</v>
      </c>
      <c r="F52" s="103">
        <v>2011</v>
      </c>
      <c r="G52" s="104">
        <v>27</v>
      </c>
      <c r="H52" s="105">
        <v>0</v>
      </c>
      <c r="I52" s="105">
        <v>2</v>
      </c>
      <c r="J52" s="100">
        <v>2015</v>
      </c>
      <c r="K52" s="100">
        <v>2022</v>
      </c>
      <c r="L52" s="100">
        <v>7</v>
      </c>
      <c r="M52" s="100">
        <v>1</v>
      </c>
      <c r="N52" s="125" t="s">
        <v>786</v>
      </c>
      <c r="O52" s="100" t="s">
        <v>28</v>
      </c>
      <c r="P52" s="100">
        <v>0</v>
      </c>
      <c r="Q52" s="106"/>
      <c r="R52" s="100" t="s">
        <v>39</v>
      </c>
      <c r="S52" s="100" t="s">
        <v>435</v>
      </c>
      <c r="T52" s="106" t="s">
        <v>101</v>
      </c>
      <c r="U52" s="106">
        <v>0</v>
      </c>
      <c r="V52" s="106">
        <v>28</v>
      </c>
      <c r="W52" s="100">
        <v>0</v>
      </c>
      <c r="X52" s="107">
        <v>2</v>
      </c>
      <c r="AA52" s="112">
        <v>0</v>
      </c>
      <c r="AB52" s="112">
        <v>0</v>
      </c>
      <c r="AC52" s="112">
        <v>0</v>
      </c>
      <c r="AD52" s="112">
        <v>0</v>
      </c>
      <c r="AE52" s="112">
        <v>0</v>
      </c>
      <c r="AF52" s="112">
        <v>0</v>
      </c>
      <c r="AG52" s="109">
        <v>0</v>
      </c>
      <c r="AH52" s="109">
        <v>0</v>
      </c>
      <c r="AI52" s="109">
        <v>0</v>
      </c>
      <c r="AJ52" s="109">
        <v>0</v>
      </c>
      <c r="AK52" s="109">
        <v>0</v>
      </c>
      <c r="AL52" s="109">
        <v>2</v>
      </c>
      <c r="AM52" s="113">
        <v>0</v>
      </c>
      <c r="AN52" s="113">
        <v>0</v>
      </c>
      <c r="AO52" s="113">
        <v>0</v>
      </c>
      <c r="AP52" s="113">
        <v>0</v>
      </c>
      <c r="AQ52" s="113">
        <v>0</v>
      </c>
      <c r="AR52" s="113">
        <v>2</v>
      </c>
      <c r="AS52" s="110">
        <v>2</v>
      </c>
      <c r="AT52" s="110">
        <v>0.2857142857142857</v>
      </c>
      <c r="AU52" s="100">
        <v>0</v>
      </c>
      <c r="AV52" s="100">
        <v>0</v>
      </c>
      <c r="AW52" s="100">
        <v>0</v>
      </c>
      <c r="AX52" s="100">
        <v>0</v>
      </c>
      <c r="AY52" s="100">
        <v>0</v>
      </c>
      <c r="AZ52" s="100">
        <v>0</v>
      </c>
      <c r="BA52" s="100">
        <v>0</v>
      </c>
      <c r="BB52" s="100">
        <v>0</v>
      </c>
      <c r="BC52" s="100">
        <v>0.2857142857142857</v>
      </c>
      <c r="BD52" s="106"/>
      <c r="BE52" s="106"/>
      <c r="BF52" s="91">
        <v>0</v>
      </c>
      <c r="BG52" s="105" t="s">
        <v>728</v>
      </c>
      <c r="BH52" s="100"/>
      <c r="BI52" s="100"/>
      <c r="BJ52" s="100" t="s">
        <v>786</v>
      </c>
    </row>
    <row r="53" spans="1:62" ht="26">
      <c r="A53" s="101" t="s">
        <v>452</v>
      </c>
      <c r="B53" s="102" t="s">
        <v>85</v>
      </c>
      <c r="C53" s="102" t="s">
        <v>85</v>
      </c>
      <c r="D53" s="103">
        <v>29</v>
      </c>
      <c r="E53" s="103">
        <v>74</v>
      </c>
      <c r="F53" s="103">
        <v>2008</v>
      </c>
      <c r="G53" s="104">
        <v>73</v>
      </c>
      <c r="H53" s="105">
        <v>0</v>
      </c>
      <c r="I53" s="105">
        <v>0</v>
      </c>
      <c r="J53" s="100">
        <v>2017</v>
      </c>
      <c r="K53" s="100">
        <v>2023</v>
      </c>
      <c r="L53" s="100">
        <v>6</v>
      </c>
      <c r="M53" s="100">
        <v>1</v>
      </c>
      <c r="N53" s="129" t="s">
        <v>787</v>
      </c>
      <c r="O53" s="100" t="s">
        <v>28</v>
      </c>
      <c r="P53" s="100">
        <v>0</v>
      </c>
      <c r="Q53" s="106"/>
      <c r="R53" s="100" t="s">
        <v>252</v>
      </c>
      <c r="S53" s="100" t="s">
        <v>454</v>
      </c>
      <c r="T53" s="106" t="s">
        <v>84</v>
      </c>
      <c r="U53" s="106">
        <v>0</v>
      </c>
      <c r="V53" s="106">
        <v>116</v>
      </c>
      <c r="W53" s="100">
        <v>0</v>
      </c>
      <c r="X53" s="107">
        <v>1</v>
      </c>
      <c r="AA53" s="108">
        <v>0</v>
      </c>
      <c r="AB53" s="108">
        <v>0</v>
      </c>
      <c r="AC53" s="108">
        <v>0</v>
      </c>
      <c r="AD53" s="108">
        <v>0</v>
      </c>
      <c r="AE53" s="108">
        <v>0</v>
      </c>
      <c r="AF53" s="108">
        <v>0</v>
      </c>
      <c r="AG53" s="109">
        <v>1</v>
      </c>
      <c r="AH53" s="109">
        <v>0</v>
      </c>
      <c r="AI53" s="109">
        <v>0</v>
      </c>
      <c r="AJ53" s="109">
        <v>0</v>
      </c>
      <c r="AK53" s="109">
        <v>0</v>
      </c>
      <c r="AL53" s="109">
        <v>1</v>
      </c>
      <c r="AM53" s="107">
        <v>1</v>
      </c>
      <c r="AN53" s="107">
        <v>0</v>
      </c>
      <c r="AO53" s="107">
        <v>0</v>
      </c>
      <c r="AP53" s="107">
        <v>0</v>
      </c>
      <c r="AQ53" s="107">
        <v>0</v>
      </c>
      <c r="AR53" s="107">
        <v>1</v>
      </c>
      <c r="AS53" s="110">
        <v>1</v>
      </c>
      <c r="AT53" s="110">
        <v>0.16666666666666666</v>
      </c>
      <c r="AU53" s="100">
        <v>0</v>
      </c>
      <c r="AV53" s="100">
        <v>0</v>
      </c>
      <c r="AW53" s="100">
        <v>0</v>
      </c>
      <c r="AX53" s="100">
        <v>0.16666666666666666</v>
      </c>
      <c r="AY53" s="100">
        <v>0</v>
      </c>
      <c r="AZ53" s="100">
        <v>0</v>
      </c>
      <c r="BA53" s="100">
        <v>0</v>
      </c>
      <c r="BB53" s="100">
        <v>0</v>
      </c>
      <c r="BC53" s="100">
        <v>0.16666666666666666</v>
      </c>
      <c r="BD53" s="106"/>
      <c r="BE53" s="106"/>
      <c r="BF53" s="91">
        <v>0</v>
      </c>
      <c r="BG53" s="107" t="s">
        <v>730</v>
      </c>
      <c r="BH53" s="100"/>
      <c r="BI53" s="100"/>
      <c r="BJ53" s="121" t="s">
        <v>787</v>
      </c>
    </row>
    <row r="54" spans="1:62" ht="26">
      <c r="A54" s="101" t="s">
        <v>452</v>
      </c>
      <c r="B54" s="102" t="s">
        <v>85</v>
      </c>
      <c r="C54" s="102" t="s">
        <v>85</v>
      </c>
      <c r="D54" s="103">
        <v>29</v>
      </c>
      <c r="E54" s="103">
        <v>74</v>
      </c>
      <c r="F54" s="103">
        <v>2008</v>
      </c>
      <c r="G54" s="104">
        <v>73</v>
      </c>
      <c r="H54" s="105">
        <v>0</v>
      </c>
      <c r="I54" s="105">
        <v>0</v>
      </c>
      <c r="J54" s="100">
        <v>2016</v>
      </c>
      <c r="K54" s="100">
        <v>2022</v>
      </c>
      <c r="L54" s="100">
        <v>6</v>
      </c>
      <c r="M54" s="100">
        <v>1</v>
      </c>
      <c r="N54" s="129" t="s">
        <v>788</v>
      </c>
      <c r="O54" s="100" t="s">
        <v>35</v>
      </c>
      <c r="P54" s="100">
        <v>0</v>
      </c>
      <c r="Q54" s="106"/>
      <c r="R54" s="100" t="s">
        <v>30</v>
      </c>
      <c r="S54" s="100" t="s">
        <v>463</v>
      </c>
      <c r="T54" s="106" t="s">
        <v>84</v>
      </c>
      <c r="U54" s="106">
        <v>0</v>
      </c>
      <c r="V54" s="106" t="s">
        <v>107</v>
      </c>
      <c r="W54" s="100">
        <v>3</v>
      </c>
      <c r="X54" s="107">
        <v>12</v>
      </c>
      <c r="AA54" s="112">
        <v>1</v>
      </c>
      <c r="AB54" s="112">
        <v>0</v>
      </c>
      <c r="AC54" s="112">
        <v>1</v>
      </c>
      <c r="AD54" s="112">
        <v>2</v>
      </c>
      <c r="AE54" s="112">
        <v>0</v>
      </c>
      <c r="AF54" s="112">
        <v>1</v>
      </c>
      <c r="AG54" s="109">
        <v>6</v>
      </c>
      <c r="AH54" s="109">
        <v>0</v>
      </c>
      <c r="AI54" s="109">
        <v>3</v>
      </c>
      <c r="AJ54" s="109">
        <v>0</v>
      </c>
      <c r="AK54" s="109">
        <v>0</v>
      </c>
      <c r="AL54" s="109">
        <v>5</v>
      </c>
      <c r="AM54" s="113">
        <v>7</v>
      </c>
      <c r="AN54" s="113">
        <v>0</v>
      </c>
      <c r="AO54" s="113">
        <v>4</v>
      </c>
      <c r="AP54" s="113">
        <v>2</v>
      </c>
      <c r="AQ54" s="113">
        <v>0</v>
      </c>
      <c r="AR54" s="113">
        <v>6</v>
      </c>
      <c r="AS54" s="110">
        <v>12</v>
      </c>
      <c r="AT54" s="110">
        <v>1.3333333333333333</v>
      </c>
      <c r="AU54" s="100">
        <v>3</v>
      </c>
      <c r="AV54" s="100">
        <v>0.5</v>
      </c>
      <c r="AW54" s="100">
        <v>3</v>
      </c>
      <c r="AX54" s="100">
        <v>1</v>
      </c>
      <c r="AY54" s="100">
        <v>0</v>
      </c>
      <c r="AZ54" s="100">
        <v>0.5</v>
      </c>
      <c r="BA54" s="100">
        <v>0</v>
      </c>
      <c r="BB54" s="100">
        <v>0</v>
      </c>
      <c r="BC54" s="100">
        <v>0.83333333333333337</v>
      </c>
      <c r="BD54" s="106">
        <v>1</v>
      </c>
      <c r="BE54" s="106"/>
      <c r="BF54" s="91">
        <v>1</v>
      </c>
      <c r="BG54" s="106" t="s">
        <v>619</v>
      </c>
      <c r="BH54" s="100"/>
      <c r="BI54" s="100"/>
      <c r="BJ54" s="121" t="s">
        <v>788</v>
      </c>
    </row>
    <row r="55" spans="1:62">
      <c r="A55" s="122" t="s">
        <v>467</v>
      </c>
      <c r="B55" s="102" t="s">
        <v>33</v>
      </c>
      <c r="C55" s="102" t="s">
        <v>33</v>
      </c>
      <c r="D55" s="103">
        <v>71</v>
      </c>
      <c r="E55" s="103">
        <v>74</v>
      </c>
      <c r="F55" s="103">
        <v>2011</v>
      </c>
      <c r="G55" s="104">
        <v>46</v>
      </c>
      <c r="H55" s="105">
        <v>1</v>
      </c>
      <c r="I55" s="105">
        <v>1</v>
      </c>
      <c r="J55" s="106">
        <v>2015</v>
      </c>
      <c r="K55" s="100">
        <v>2023</v>
      </c>
      <c r="L55" s="100">
        <v>8</v>
      </c>
      <c r="M55" s="100">
        <v>1</v>
      </c>
      <c r="N55" s="124" t="s">
        <v>789</v>
      </c>
      <c r="O55" s="106" t="s">
        <v>35</v>
      </c>
      <c r="P55" s="106">
        <v>0</v>
      </c>
      <c r="Q55" s="106"/>
      <c r="R55" s="106" t="s">
        <v>30</v>
      </c>
      <c r="S55" s="106" t="s">
        <v>271</v>
      </c>
      <c r="T55" s="106" t="s">
        <v>218</v>
      </c>
      <c r="U55" s="106">
        <v>0</v>
      </c>
      <c r="V55" s="106">
        <v>10</v>
      </c>
      <c r="W55" s="106">
        <v>10</v>
      </c>
      <c r="X55" s="107">
        <v>46</v>
      </c>
      <c r="AA55" s="108">
        <v>0</v>
      </c>
      <c r="AB55" s="108">
        <v>0</v>
      </c>
      <c r="AC55" s="108">
        <v>0</v>
      </c>
      <c r="AD55" s="108">
        <v>1</v>
      </c>
      <c r="AE55" s="108">
        <v>1</v>
      </c>
      <c r="AF55" s="108">
        <v>1</v>
      </c>
      <c r="AG55" s="109">
        <v>21</v>
      </c>
      <c r="AH55" s="109">
        <v>2</v>
      </c>
      <c r="AI55" s="109">
        <v>26</v>
      </c>
      <c r="AJ55" s="109">
        <v>2</v>
      </c>
      <c r="AK55" s="109">
        <v>2</v>
      </c>
      <c r="AL55" s="109">
        <v>11</v>
      </c>
      <c r="AM55" s="107">
        <v>21</v>
      </c>
      <c r="AN55" s="107">
        <v>2</v>
      </c>
      <c r="AO55" s="107">
        <v>26</v>
      </c>
      <c r="AP55" s="107">
        <v>3</v>
      </c>
      <c r="AQ55" s="107">
        <v>3</v>
      </c>
      <c r="AR55" s="107">
        <v>12</v>
      </c>
      <c r="AS55" s="110">
        <v>46</v>
      </c>
      <c r="AT55" s="110">
        <v>5.375</v>
      </c>
      <c r="AU55" s="100">
        <v>32</v>
      </c>
      <c r="AV55" s="100">
        <v>4</v>
      </c>
      <c r="AW55" s="100">
        <v>2</v>
      </c>
      <c r="AX55" s="100">
        <v>2.625</v>
      </c>
      <c r="AY55" s="100">
        <v>0.25</v>
      </c>
      <c r="AZ55" s="100">
        <v>3.25</v>
      </c>
      <c r="BA55" s="100">
        <v>0.25</v>
      </c>
      <c r="BB55" s="100">
        <v>0.25</v>
      </c>
      <c r="BC55" s="100">
        <v>1.375</v>
      </c>
      <c r="BD55" s="106"/>
      <c r="BE55" s="106"/>
      <c r="BF55" s="91">
        <v>1</v>
      </c>
      <c r="BG55" s="106" t="s">
        <v>469</v>
      </c>
      <c r="BH55" s="106"/>
      <c r="BI55" s="106"/>
      <c r="BJ55" s="106" t="s">
        <v>789</v>
      </c>
    </row>
    <row r="56" spans="1:62">
      <c r="A56" s="94" t="s">
        <v>481</v>
      </c>
      <c r="B56" s="102" t="s">
        <v>32</v>
      </c>
      <c r="C56" s="102" t="s">
        <v>32</v>
      </c>
      <c r="D56" s="106">
        <v>53</v>
      </c>
      <c r="E56" s="106">
        <v>74</v>
      </c>
      <c r="F56" s="106">
        <v>2011</v>
      </c>
      <c r="G56" s="104">
        <v>34</v>
      </c>
      <c r="H56" s="105">
        <v>0</v>
      </c>
      <c r="I56" s="105">
        <v>2</v>
      </c>
      <c r="J56" s="100">
        <v>2017</v>
      </c>
      <c r="K56" s="100">
        <v>2023</v>
      </c>
      <c r="L56" s="100">
        <v>6</v>
      </c>
      <c r="M56" s="100">
        <v>1</v>
      </c>
      <c r="N56" s="130" t="s">
        <v>790</v>
      </c>
      <c r="O56" s="100" t="s">
        <v>28</v>
      </c>
      <c r="P56" s="100">
        <v>0</v>
      </c>
      <c r="Q56" s="106"/>
      <c r="R56" s="100" t="s">
        <v>30</v>
      </c>
      <c r="S56" s="100" t="s">
        <v>489</v>
      </c>
      <c r="T56" s="106" t="s">
        <v>218</v>
      </c>
      <c r="U56" s="106">
        <v>0</v>
      </c>
      <c r="V56" s="106">
        <v>13</v>
      </c>
      <c r="W56" s="100">
        <v>2</v>
      </c>
      <c r="X56" s="107">
        <v>6</v>
      </c>
      <c r="AA56" s="108">
        <v>1</v>
      </c>
      <c r="AB56" s="108">
        <v>0</v>
      </c>
      <c r="AC56" s="108">
        <v>1</v>
      </c>
      <c r="AD56" s="108">
        <v>0</v>
      </c>
      <c r="AE56" s="108">
        <v>0</v>
      </c>
      <c r="AF56" s="108">
        <v>0</v>
      </c>
      <c r="AG56" s="109">
        <v>0</v>
      </c>
      <c r="AH56" s="109">
        <v>0</v>
      </c>
      <c r="AI56" s="109">
        <v>3</v>
      </c>
      <c r="AJ56" s="109">
        <v>1</v>
      </c>
      <c r="AK56" s="109">
        <v>1</v>
      </c>
      <c r="AL56" s="109">
        <v>0</v>
      </c>
      <c r="AM56" s="107">
        <v>1</v>
      </c>
      <c r="AN56" s="107">
        <v>0</v>
      </c>
      <c r="AO56" s="107">
        <v>4</v>
      </c>
      <c r="AP56" s="107">
        <v>1</v>
      </c>
      <c r="AQ56" s="107">
        <v>1</v>
      </c>
      <c r="AR56" s="107">
        <v>0</v>
      </c>
      <c r="AS56" s="110">
        <v>6</v>
      </c>
      <c r="AT56" s="110">
        <v>0.83333333333333337</v>
      </c>
      <c r="AU56" s="100">
        <v>5</v>
      </c>
      <c r="AV56" s="100">
        <v>0.83333333333333337</v>
      </c>
      <c r="AW56" s="100">
        <v>1</v>
      </c>
      <c r="AX56" s="100">
        <v>0</v>
      </c>
      <c r="AY56" s="100">
        <v>0</v>
      </c>
      <c r="AZ56" s="100">
        <v>0.5</v>
      </c>
      <c r="BA56" s="100">
        <v>0.16666666666666666</v>
      </c>
      <c r="BB56" s="100">
        <v>0.16666666666666666</v>
      </c>
      <c r="BC56" s="100">
        <v>0</v>
      </c>
      <c r="BD56" s="106">
        <v>0</v>
      </c>
      <c r="BE56" s="106"/>
      <c r="BF56" s="91">
        <v>1</v>
      </c>
      <c r="BG56" s="106" t="s">
        <v>731</v>
      </c>
      <c r="BH56" s="100"/>
      <c r="BI56" s="100"/>
      <c r="BJ56" s="119" t="s">
        <v>790</v>
      </c>
    </row>
    <row r="57" spans="1:62">
      <c r="A57" s="94" t="s">
        <v>481</v>
      </c>
      <c r="B57" s="102" t="s">
        <v>32</v>
      </c>
      <c r="C57" s="102" t="s">
        <v>32</v>
      </c>
      <c r="D57" s="106">
        <v>53</v>
      </c>
      <c r="E57" s="106">
        <v>74</v>
      </c>
      <c r="F57" s="106">
        <v>2011</v>
      </c>
      <c r="G57" s="104">
        <v>34</v>
      </c>
      <c r="H57" s="105">
        <v>0</v>
      </c>
      <c r="I57" s="105">
        <v>2</v>
      </c>
      <c r="J57" s="100">
        <v>2016</v>
      </c>
      <c r="K57" s="100">
        <v>2022</v>
      </c>
      <c r="L57" s="100">
        <v>6</v>
      </c>
      <c r="M57" s="100">
        <v>1</v>
      </c>
      <c r="N57" s="127" t="s">
        <v>791</v>
      </c>
      <c r="O57" s="100" t="s">
        <v>35</v>
      </c>
      <c r="P57" s="100">
        <v>0</v>
      </c>
      <c r="Q57" s="106"/>
      <c r="R57" s="100" t="s">
        <v>252</v>
      </c>
      <c r="S57" s="104" t="s">
        <v>527</v>
      </c>
      <c r="T57" s="106" t="s">
        <v>84</v>
      </c>
      <c r="U57" s="106">
        <v>0</v>
      </c>
      <c r="V57" s="106">
        <v>118</v>
      </c>
      <c r="W57" s="100">
        <v>6</v>
      </c>
      <c r="X57" s="107">
        <v>10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09">
        <v>2</v>
      </c>
      <c r="AH57" s="109">
        <v>0</v>
      </c>
      <c r="AI57" s="109">
        <v>7</v>
      </c>
      <c r="AJ57" s="109">
        <v>2</v>
      </c>
      <c r="AK57" s="109">
        <v>1</v>
      </c>
      <c r="AL57" s="109">
        <v>0</v>
      </c>
      <c r="AM57" s="113">
        <v>2</v>
      </c>
      <c r="AN57" s="113">
        <v>0</v>
      </c>
      <c r="AO57" s="113">
        <v>7</v>
      </c>
      <c r="AP57" s="113">
        <v>2</v>
      </c>
      <c r="AQ57" s="113">
        <v>1</v>
      </c>
      <c r="AR57" s="113">
        <v>0</v>
      </c>
      <c r="AS57" s="110">
        <v>10</v>
      </c>
      <c r="AT57" s="110">
        <v>1.6666666666666667</v>
      </c>
      <c r="AU57" s="100">
        <v>10</v>
      </c>
      <c r="AV57" s="100">
        <v>1.6666666666666667</v>
      </c>
      <c r="AW57" s="100">
        <v>0</v>
      </c>
      <c r="AX57" s="100">
        <v>0.33333333333333331</v>
      </c>
      <c r="AY57" s="100">
        <v>0</v>
      </c>
      <c r="AZ57" s="100">
        <v>1.1666666666666667</v>
      </c>
      <c r="BA57" s="100">
        <v>0.33333333333333331</v>
      </c>
      <c r="BB57" s="100">
        <v>0.16666666666666666</v>
      </c>
      <c r="BC57" s="100">
        <v>0</v>
      </c>
      <c r="BD57" s="106">
        <v>0</v>
      </c>
      <c r="BE57" s="106"/>
      <c r="BF57" s="91">
        <v>0</v>
      </c>
      <c r="BG57" s="105" t="s">
        <v>732</v>
      </c>
      <c r="BH57" s="100"/>
      <c r="BI57" s="100"/>
      <c r="BJ57" s="104" t="s">
        <v>791</v>
      </c>
    </row>
    <row r="58" spans="1:62">
      <c r="A58" s="94" t="s">
        <v>490</v>
      </c>
      <c r="B58" s="102" t="s">
        <v>33</v>
      </c>
      <c r="C58" s="102" t="s">
        <v>32</v>
      </c>
      <c r="D58" s="106">
        <v>74</v>
      </c>
      <c r="E58" s="106">
        <v>91</v>
      </c>
      <c r="F58" s="106">
        <v>2013</v>
      </c>
      <c r="G58" s="104">
        <v>12</v>
      </c>
      <c r="H58" s="105">
        <v>0</v>
      </c>
      <c r="I58" s="105">
        <v>2</v>
      </c>
      <c r="J58" s="100">
        <v>2016</v>
      </c>
      <c r="K58" s="100">
        <v>2022</v>
      </c>
      <c r="L58" s="100">
        <v>6</v>
      </c>
      <c r="M58" s="100">
        <v>1</v>
      </c>
      <c r="N58" s="125" t="s">
        <v>792</v>
      </c>
      <c r="O58" s="100" t="s">
        <v>28</v>
      </c>
      <c r="P58" s="100">
        <v>0</v>
      </c>
      <c r="Q58" s="100"/>
      <c r="R58" s="100" t="s">
        <v>156</v>
      </c>
      <c r="S58" s="100" t="s">
        <v>471</v>
      </c>
      <c r="T58" s="106" t="s">
        <v>37</v>
      </c>
      <c r="U58" s="106">
        <v>0</v>
      </c>
      <c r="V58" s="106">
        <v>23</v>
      </c>
      <c r="W58" s="100">
        <v>1</v>
      </c>
      <c r="X58" s="107">
        <v>1</v>
      </c>
      <c r="AA58" s="112">
        <v>0</v>
      </c>
      <c r="AB58" s="112">
        <v>0</v>
      </c>
      <c r="AC58" s="112">
        <v>0</v>
      </c>
      <c r="AD58" s="112">
        <v>0</v>
      </c>
      <c r="AE58" s="112">
        <v>0</v>
      </c>
      <c r="AF58" s="112">
        <v>0</v>
      </c>
      <c r="AG58" s="109">
        <v>0</v>
      </c>
      <c r="AH58" s="109">
        <v>0</v>
      </c>
      <c r="AI58" s="109">
        <v>0</v>
      </c>
      <c r="AJ58" s="109">
        <v>0</v>
      </c>
      <c r="AK58" s="109">
        <v>1</v>
      </c>
      <c r="AL58" s="109">
        <v>0</v>
      </c>
      <c r="AM58" s="113">
        <v>0</v>
      </c>
      <c r="AN58" s="113">
        <v>0</v>
      </c>
      <c r="AO58" s="113">
        <v>0</v>
      </c>
      <c r="AP58" s="113">
        <v>0</v>
      </c>
      <c r="AQ58" s="113">
        <v>1</v>
      </c>
      <c r="AR58" s="113">
        <v>0</v>
      </c>
      <c r="AS58" s="110">
        <v>1</v>
      </c>
      <c r="AT58" s="110">
        <v>0.16666666666666666</v>
      </c>
      <c r="AU58" s="100">
        <v>1</v>
      </c>
      <c r="AV58" s="100">
        <v>0.16666666666666666</v>
      </c>
      <c r="AW58" s="100">
        <v>0</v>
      </c>
      <c r="AX58" s="100">
        <v>0</v>
      </c>
      <c r="AY58" s="100">
        <v>0</v>
      </c>
      <c r="AZ58" s="100">
        <v>0</v>
      </c>
      <c r="BA58" s="100">
        <v>0</v>
      </c>
      <c r="BB58" s="100">
        <v>0.16666666666666666</v>
      </c>
      <c r="BC58" s="100">
        <v>0</v>
      </c>
      <c r="BD58" s="106"/>
      <c r="BE58" s="106"/>
      <c r="BF58" s="91">
        <v>1</v>
      </c>
      <c r="BG58" s="114" t="s">
        <v>733</v>
      </c>
      <c r="BH58" s="100"/>
      <c r="BI58" s="100"/>
      <c r="BJ58" s="100" t="s">
        <v>792</v>
      </c>
    </row>
  </sheetData>
  <hyperlinks>
    <hyperlink ref="N53" r:id="rId1" display="https://lsom.uthscsa.edu/ct-surgery/team-member/hope-cordova-do/" xr:uid="{B10B34B0-26E0-4249-A767-AB3C1E7E6187}"/>
    <hyperlink ref="BJ53" r:id="rId2" display="https://lsom.uthscsa.edu/ct-surgery/team-member/hope-cordova-do/" xr:uid="{FC455123-91DD-4B47-8006-8EF23115FC7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DF62-E128-4FD8-85FC-90F8A5DCBE33}">
  <dimension ref="A1:L58"/>
  <sheetViews>
    <sheetView tabSelected="1" workbookViewId="0">
      <selection activeCell="J14" sqref="J14"/>
    </sheetView>
  </sheetViews>
  <sheetFormatPr defaultRowHeight="14.5"/>
  <cols>
    <col min="1" max="1" width="15.81640625" style="87" customWidth="1"/>
    <col min="2" max="3" width="8.7265625" style="87"/>
    <col min="4" max="4" width="6.6328125" style="87" customWidth="1"/>
    <col min="5" max="5" width="29.36328125" style="88" customWidth="1"/>
    <col min="6" max="6" width="47.08984375" style="87" customWidth="1"/>
    <col min="7" max="7" width="11.453125" style="93" customWidth="1"/>
    <col min="8" max="8" width="12" style="93" customWidth="1"/>
    <col min="9" max="9" width="8.7265625" style="92"/>
    <col min="10" max="10" width="63.6328125" style="74" customWidth="1"/>
    <col min="11" max="12" width="53.54296875" style="74" customWidth="1"/>
    <col min="13" max="16384" width="8.7265625" style="83"/>
  </cols>
  <sheetData>
    <row r="1" spans="1:12">
      <c r="A1" s="61" t="s">
        <v>0</v>
      </c>
      <c r="B1" s="61" t="s">
        <v>648</v>
      </c>
      <c r="C1" s="61" t="s">
        <v>649</v>
      </c>
      <c r="D1" s="61" t="s">
        <v>537</v>
      </c>
      <c r="E1" s="63" t="s">
        <v>650</v>
      </c>
      <c r="F1" s="61" t="s">
        <v>15</v>
      </c>
      <c r="G1" s="75" t="s">
        <v>793</v>
      </c>
      <c r="H1" s="75" t="s">
        <v>794</v>
      </c>
      <c r="I1" s="90" t="s">
        <v>726</v>
      </c>
      <c r="J1" s="79" t="s">
        <v>681</v>
      </c>
      <c r="K1" s="75" t="s">
        <v>682</v>
      </c>
      <c r="L1" s="75" t="s">
        <v>683</v>
      </c>
    </row>
    <row r="2" spans="1:12">
      <c r="A2" s="61" t="s">
        <v>564</v>
      </c>
      <c r="B2" s="65">
        <v>2015</v>
      </c>
      <c r="C2" s="62">
        <v>2021</v>
      </c>
      <c r="D2" s="62">
        <v>6</v>
      </c>
      <c r="E2" s="64" t="s">
        <v>736</v>
      </c>
      <c r="F2" s="65" t="s">
        <v>695</v>
      </c>
      <c r="G2" s="81">
        <v>5</v>
      </c>
      <c r="H2" s="81">
        <v>2</v>
      </c>
      <c r="I2" s="91">
        <v>0</v>
      </c>
      <c r="J2" s="76" t="s">
        <v>723</v>
      </c>
      <c r="K2" s="76"/>
      <c r="L2" s="76"/>
    </row>
    <row r="3" spans="1:12">
      <c r="A3" s="61" t="s">
        <v>564</v>
      </c>
      <c r="B3" s="65">
        <v>2017</v>
      </c>
      <c r="C3" s="62">
        <v>2023</v>
      </c>
      <c r="D3" s="62">
        <v>6</v>
      </c>
      <c r="E3" s="64" t="s">
        <v>737</v>
      </c>
      <c r="F3" s="62" t="s">
        <v>95</v>
      </c>
      <c r="G3" s="81">
        <v>0</v>
      </c>
      <c r="H3" s="81">
        <v>1</v>
      </c>
      <c r="I3" s="91">
        <v>0</v>
      </c>
      <c r="J3" s="76" t="s">
        <v>724</v>
      </c>
      <c r="K3" s="76"/>
      <c r="L3" s="76"/>
    </row>
    <row r="4" spans="1:12">
      <c r="A4" s="61" t="s">
        <v>96</v>
      </c>
      <c r="B4" s="62">
        <v>2017</v>
      </c>
      <c r="C4" s="62">
        <v>2023</v>
      </c>
      <c r="D4" s="62">
        <v>6</v>
      </c>
      <c r="E4" s="66" t="s">
        <v>738</v>
      </c>
      <c r="F4" s="62" t="s">
        <v>114</v>
      </c>
      <c r="G4" s="81">
        <v>3</v>
      </c>
      <c r="H4" s="81">
        <v>0</v>
      </c>
      <c r="I4" s="91">
        <v>0</v>
      </c>
      <c r="J4" s="76" t="s">
        <v>713</v>
      </c>
      <c r="K4" s="77"/>
      <c r="L4" s="77"/>
    </row>
    <row r="5" spans="1:12">
      <c r="A5" s="61" t="s">
        <v>96</v>
      </c>
      <c r="B5" s="62">
        <v>2017</v>
      </c>
      <c r="C5" s="62">
        <v>2023</v>
      </c>
      <c r="D5" s="62">
        <v>6</v>
      </c>
      <c r="E5" s="66" t="s">
        <v>739</v>
      </c>
      <c r="F5" s="62" t="s">
        <v>130</v>
      </c>
      <c r="G5" s="81">
        <v>4</v>
      </c>
      <c r="H5" s="81">
        <v>11</v>
      </c>
      <c r="I5" s="91">
        <v>1</v>
      </c>
      <c r="J5" s="76" t="s">
        <v>714</v>
      </c>
      <c r="K5" s="77"/>
      <c r="L5" s="77"/>
    </row>
    <row r="6" spans="1:12">
      <c r="A6" s="61" t="s">
        <v>96</v>
      </c>
      <c r="B6" s="62">
        <v>2016</v>
      </c>
      <c r="C6" s="62">
        <v>2022</v>
      </c>
      <c r="D6" s="62">
        <v>6</v>
      </c>
      <c r="E6" s="84" t="s">
        <v>740</v>
      </c>
      <c r="F6" s="62" t="s">
        <v>114</v>
      </c>
      <c r="G6" s="81">
        <v>9</v>
      </c>
      <c r="H6" s="81">
        <v>11</v>
      </c>
      <c r="I6" s="91">
        <v>1</v>
      </c>
      <c r="J6" s="76" t="s">
        <v>715</v>
      </c>
      <c r="K6" s="77"/>
      <c r="L6" s="77"/>
    </row>
    <row r="7" spans="1:12">
      <c r="A7" s="61" t="s">
        <v>96</v>
      </c>
      <c r="B7" s="62">
        <v>2016</v>
      </c>
      <c r="C7" s="62">
        <v>2022</v>
      </c>
      <c r="D7" s="62">
        <v>6</v>
      </c>
      <c r="E7" s="84" t="s">
        <v>741</v>
      </c>
      <c r="F7" s="85" t="s">
        <v>517</v>
      </c>
      <c r="G7" s="81">
        <v>0</v>
      </c>
      <c r="H7" s="81">
        <v>1</v>
      </c>
      <c r="I7" s="91">
        <v>0</v>
      </c>
      <c r="J7" s="76" t="s">
        <v>735</v>
      </c>
      <c r="K7" s="77"/>
      <c r="L7" s="77"/>
    </row>
    <row r="8" spans="1:12">
      <c r="A8" s="61" t="s">
        <v>96</v>
      </c>
      <c r="B8" s="62">
        <v>2015</v>
      </c>
      <c r="C8" s="62">
        <v>2021</v>
      </c>
      <c r="D8" s="62">
        <v>6</v>
      </c>
      <c r="E8" s="84" t="s">
        <v>742</v>
      </c>
      <c r="F8" s="85" t="s">
        <v>518</v>
      </c>
      <c r="G8" s="81">
        <v>3</v>
      </c>
      <c r="H8" s="81">
        <v>17</v>
      </c>
      <c r="I8" s="91">
        <v>1</v>
      </c>
      <c r="J8" s="76" t="s">
        <v>270</v>
      </c>
      <c r="K8" s="77"/>
      <c r="L8" s="77"/>
    </row>
    <row r="9" spans="1:12">
      <c r="A9" s="61" t="s">
        <v>96</v>
      </c>
      <c r="B9" s="62">
        <v>2015</v>
      </c>
      <c r="C9" s="62">
        <v>2021</v>
      </c>
      <c r="D9" s="62">
        <v>6</v>
      </c>
      <c r="E9" s="84" t="s">
        <v>743</v>
      </c>
      <c r="F9" s="65" t="s">
        <v>358</v>
      </c>
      <c r="G9" s="81">
        <v>3</v>
      </c>
      <c r="H9" s="81">
        <v>6</v>
      </c>
      <c r="I9" s="91">
        <v>1</v>
      </c>
      <c r="J9" s="82" t="s">
        <v>725</v>
      </c>
      <c r="K9" s="77"/>
      <c r="L9" s="77"/>
    </row>
    <row r="10" spans="1:12">
      <c r="A10" s="61" t="s">
        <v>131</v>
      </c>
      <c r="B10" s="62">
        <v>2016</v>
      </c>
      <c r="C10" s="62">
        <v>2023</v>
      </c>
      <c r="D10" s="62">
        <v>7</v>
      </c>
      <c r="E10" s="66" t="s">
        <v>744</v>
      </c>
      <c r="F10" s="62" t="s">
        <v>147</v>
      </c>
      <c r="G10" s="81">
        <v>0</v>
      </c>
      <c r="H10" s="81">
        <v>19</v>
      </c>
      <c r="I10" s="91">
        <v>0</v>
      </c>
      <c r="J10" s="76" t="s">
        <v>716</v>
      </c>
      <c r="K10" s="77"/>
      <c r="L10" s="77"/>
    </row>
    <row r="11" spans="1:12">
      <c r="A11" s="61" t="s">
        <v>131</v>
      </c>
      <c r="B11" s="62">
        <v>2015</v>
      </c>
      <c r="C11" s="62">
        <v>2023</v>
      </c>
      <c r="D11" s="62">
        <v>8</v>
      </c>
      <c r="E11" s="66" t="s">
        <v>745</v>
      </c>
      <c r="F11" s="62" t="s">
        <v>59</v>
      </c>
      <c r="G11" s="81">
        <v>9</v>
      </c>
      <c r="H11" s="81">
        <v>16</v>
      </c>
      <c r="I11" s="91">
        <v>0</v>
      </c>
      <c r="J11" s="76" t="s">
        <v>717</v>
      </c>
      <c r="K11" s="77"/>
      <c r="L11" s="77"/>
    </row>
    <row r="12" spans="1:12">
      <c r="A12" s="61" t="s">
        <v>131</v>
      </c>
      <c r="B12" s="62">
        <v>2016</v>
      </c>
      <c r="C12" s="62">
        <v>2022</v>
      </c>
      <c r="D12" s="62">
        <v>6</v>
      </c>
      <c r="E12" s="86" t="s">
        <v>746</v>
      </c>
      <c r="F12" s="62" t="s">
        <v>288</v>
      </c>
      <c r="G12" s="81">
        <v>0</v>
      </c>
      <c r="H12" s="81">
        <v>13</v>
      </c>
      <c r="I12" s="91">
        <v>0</v>
      </c>
      <c r="J12" s="76" t="s">
        <v>570</v>
      </c>
      <c r="K12" s="77"/>
      <c r="L12" s="77"/>
    </row>
    <row r="13" spans="1:12">
      <c r="A13" s="61" t="s">
        <v>131</v>
      </c>
      <c r="B13" s="62">
        <v>2015</v>
      </c>
      <c r="C13" s="62">
        <v>2022</v>
      </c>
      <c r="D13" s="62">
        <v>6</v>
      </c>
      <c r="E13" s="86" t="s">
        <v>747</v>
      </c>
      <c r="F13" s="62" t="s">
        <v>697</v>
      </c>
      <c r="G13" s="81">
        <v>6</v>
      </c>
      <c r="H13" s="81">
        <v>12</v>
      </c>
      <c r="I13" s="91">
        <v>1</v>
      </c>
      <c r="J13" s="77" t="s">
        <v>698</v>
      </c>
      <c r="K13" s="77"/>
      <c r="L13" s="77"/>
    </row>
    <row r="14" spans="1:12">
      <c r="A14" s="61" t="s">
        <v>152</v>
      </c>
      <c r="B14" s="62">
        <v>2017</v>
      </c>
      <c r="C14" s="62">
        <v>2023</v>
      </c>
      <c r="D14" s="62">
        <v>6</v>
      </c>
      <c r="E14" s="66" t="s">
        <v>748</v>
      </c>
      <c r="F14" s="62" t="s">
        <v>162</v>
      </c>
      <c r="G14" s="81">
        <v>16</v>
      </c>
      <c r="H14" s="81">
        <v>22</v>
      </c>
      <c r="I14" s="91">
        <v>1</v>
      </c>
      <c r="J14" s="76" t="s">
        <v>718</v>
      </c>
      <c r="K14" s="77"/>
      <c r="L14" s="77"/>
    </row>
    <row r="15" spans="1:12">
      <c r="A15" s="61" t="s">
        <v>166</v>
      </c>
      <c r="B15" s="62">
        <v>2017</v>
      </c>
      <c r="C15" s="62">
        <v>2023</v>
      </c>
      <c r="D15" s="62">
        <v>6</v>
      </c>
      <c r="E15" s="66" t="s">
        <v>749</v>
      </c>
      <c r="F15" s="62" t="s">
        <v>177</v>
      </c>
      <c r="G15" s="81">
        <v>0</v>
      </c>
      <c r="H15" s="81">
        <v>6</v>
      </c>
      <c r="I15" s="91">
        <v>2</v>
      </c>
      <c r="J15" s="76" t="s">
        <v>719</v>
      </c>
      <c r="K15" s="77"/>
      <c r="L15" s="77"/>
    </row>
    <row r="16" spans="1:12">
      <c r="A16" s="61" t="s">
        <v>166</v>
      </c>
      <c r="B16" s="62">
        <v>2017</v>
      </c>
      <c r="C16" s="62">
        <v>2023</v>
      </c>
      <c r="D16" s="62">
        <v>6</v>
      </c>
      <c r="E16" s="66" t="s">
        <v>750</v>
      </c>
      <c r="F16" s="62" t="s">
        <v>573</v>
      </c>
      <c r="G16" s="81">
        <v>0</v>
      </c>
      <c r="H16" s="81">
        <v>1</v>
      </c>
      <c r="I16" s="91">
        <v>1</v>
      </c>
      <c r="J16" s="76" t="s">
        <v>720</v>
      </c>
      <c r="K16" s="77"/>
      <c r="L16" s="77"/>
    </row>
    <row r="17" spans="1:12">
      <c r="A17" s="61" t="s">
        <v>166</v>
      </c>
      <c r="B17" s="62">
        <v>2015</v>
      </c>
      <c r="C17" s="62">
        <v>2022</v>
      </c>
      <c r="D17" s="62">
        <v>7</v>
      </c>
      <c r="E17" s="66" t="s">
        <v>751</v>
      </c>
      <c r="F17" s="62" t="s">
        <v>264</v>
      </c>
      <c r="G17" s="81">
        <v>8</v>
      </c>
      <c r="H17" s="81">
        <v>37</v>
      </c>
      <c r="I17" s="91">
        <v>1</v>
      </c>
      <c r="J17" s="76" t="s">
        <v>639</v>
      </c>
      <c r="K17" s="77"/>
      <c r="L17" s="77"/>
    </row>
    <row r="18" spans="1:12">
      <c r="A18" s="61" t="s">
        <v>166</v>
      </c>
      <c r="B18" s="62">
        <v>2016</v>
      </c>
      <c r="C18" s="62">
        <v>2022</v>
      </c>
      <c r="D18" s="62">
        <v>6</v>
      </c>
      <c r="E18" s="66" t="s">
        <v>752</v>
      </c>
      <c r="F18" s="65" t="s">
        <v>450</v>
      </c>
      <c r="G18" s="81">
        <v>0</v>
      </c>
      <c r="H18" s="81">
        <v>6</v>
      </c>
      <c r="I18" s="91">
        <v>1</v>
      </c>
      <c r="J18" s="76" t="s">
        <v>631</v>
      </c>
      <c r="K18" s="77"/>
      <c r="L18" s="77"/>
    </row>
    <row r="19" spans="1:12">
      <c r="A19" s="61" t="s">
        <v>166</v>
      </c>
      <c r="B19" s="62">
        <v>2015</v>
      </c>
      <c r="C19" s="62">
        <v>2021</v>
      </c>
      <c r="D19" s="62">
        <v>6</v>
      </c>
      <c r="E19" s="66" t="s">
        <v>753</v>
      </c>
      <c r="F19" s="62" t="s">
        <v>324</v>
      </c>
      <c r="G19" s="81">
        <v>2</v>
      </c>
      <c r="H19" s="81">
        <v>7</v>
      </c>
      <c r="I19" s="91">
        <v>1</v>
      </c>
      <c r="J19" s="76" t="s">
        <v>632</v>
      </c>
      <c r="K19" s="77"/>
      <c r="L19" s="77"/>
    </row>
    <row r="20" spans="1:12">
      <c r="A20" s="61" t="s">
        <v>179</v>
      </c>
      <c r="B20" s="62">
        <v>2017</v>
      </c>
      <c r="C20" s="62">
        <v>2023</v>
      </c>
      <c r="D20" s="62">
        <v>6</v>
      </c>
      <c r="E20" s="66" t="s">
        <v>754</v>
      </c>
      <c r="F20" s="62" t="s">
        <v>183</v>
      </c>
      <c r="G20" s="81">
        <v>0</v>
      </c>
      <c r="H20" s="81">
        <v>2</v>
      </c>
      <c r="I20" s="91">
        <v>2</v>
      </c>
      <c r="J20" s="76" t="s">
        <v>721</v>
      </c>
      <c r="K20" s="77"/>
      <c r="L20" s="77"/>
    </row>
    <row r="21" spans="1:12">
      <c r="A21" s="61" t="s">
        <v>179</v>
      </c>
      <c r="B21" s="62">
        <v>2015</v>
      </c>
      <c r="C21" s="62">
        <v>2022</v>
      </c>
      <c r="D21" s="62">
        <v>7</v>
      </c>
      <c r="E21" s="66" t="s">
        <v>755</v>
      </c>
      <c r="F21" s="62" t="s">
        <v>192</v>
      </c>
      <c r="G21" s="81">
        <v>0</v>
      </c>
      <c r="H21" s="81">
        <v>38</v>
      </c>
      <c r="I21" s="91">
        <v>2</v>
      </c>
      <c r="J21" s="76" t="s">
        <v>576</v>
      </c>
      <c r="K21" s="77"/>
      <c r="L21" s="77"/>
    </row>
    <row r="22" spans="1:12">
      <c r="A22" s="61" t="s">
        <v>200</v>
      </c>
      <c r="B22" s="62">
        <v>2017</v>
      </c>
      <c r="C22" s="62">
        <v>2023</v>
      </c>
      <c r="D22" s="62">
        <v>6</v>
      </c>
      <c r="E22" s="66" t="s">
        <v>756</v>
      </c>
      <c r="F22" s="62" t="s">
        <v>579</v>
      </c>
      <c r="G22" s="81">
        <v>22</v>
      </c>
      <c r="H22" s="81">
        <v>14</v>
      </c>
      <c r="I22" s="91">
        <v>2</v>
      </c>
      <c r="J22" s="76" t="s">
        <v>208</v>
      </c>
      <c r="K22" s="77"/>
      <c r="L22" s="77"/>
    </row>
    <row r="23" spans="1:12">
      <c r="A23" s="61" t="s">
        <v>211</v>
      </c>
      <c r="B23" s="65">
        <v>2015</v>
      </c>
      <c r="C23" s="62">
        <v>2021</v>
      </c>
      <c r="D23" s="62">
        <v>6</v>
      </c>
      <c r="E23" s="86" t="s">
        <v>757</v>
      </c>
      <c r="F23" s="67" t="s">
        <v>228</v>
      </c>
      <c r="G23" s="81">
        <v>1</v>
      </c>
      <c r="H23" s="81">
        <v>3</v>
      </c>
      <c r="I23" s="91">
        <v>0</v>
      </c>
      <c r="J23" s="76" t="s">
        <v>722</v>
      </c>
      <c r="K23" s="76"/>
      <c r="L23" s="76"/>
    </row>
    <row r="24" spans="1:12">
      <c r="A24" s="61" t="s">
        <v>229</v>
      </c>
      <c r="B24" s="62">
        <v>2017</v>
      </c>
      <c r="C24" s="62">
        <v>2023</v>
      </c>
      <c r="D24" s="62">
        <v>6</v>
      </c>
      <c r="E24" s="66" t="s">
        <v>758</v>
      </c>
      <c r="F24" s="62" t="s">
        <v>247</v>
      </c>
      <c r="G24" s="81">
        <v>2</v>
      </c>
      <c r="H24" s="81">
        <v>19</v>
      </c>
      <c r="I24" s="91">
        <v>1</v>
      </c>
      <c r="J24" s="76" t="s">
        <v>703</v>
      </c>
      <c r="K24" s="77"/>
      <c r="L24" s="77"/>
    </row>
    <row r="25" spans="1:12">
      <c r="A25" s="61" t="s">
        <v>229</v>
      </c>
      <c r="B25" s="62">
        <v>2017</v>
      </c>
      <c r="C25" s="62">
        <v>2023</v>
      </c>
      <c r="D25" s="62">
        <v>6</v>
      </c>
      <c r="E25" s="86" t="s">
        <v>759</v>
      </c>
      <c r="F25" s="85" t="s">
        <v>522</v>
      </c>
      <c r="G25" s="81">
        <v>0</v>
      </c>
      <c r="H25" s="81">
        <v>1</v>
      </c>
      <c r="I25" s="91">
        <v>1</v>
      </c>
      <c r="J25" s="76" t="s">
        <v>703</v>
      </c>
      <c r="K25" s="77"/>
      <c r="L25" s="77"/>
    </row>
    <row r="26" spans="1:12">
      <c r="A26" s="61" t="s">
        <v>229</v>
      </c>
      <c r="B26" s="62">
        <v>2016</v>
      </c>
      <c r="C26" s="62">
        <v>2022</v>
      </c>
      <c r="D26" s="62">
        <v>6</v>
      </c>
      <c r="E26" s="86" t="s">
        <v>760</v>
      </c>
      <c r="F26" s="62" t="s">
        <v>266</v>
      </c>
      <c r="G26" s="81">
        <v>14</v>
      </c>
      <c r="H26" s="81">
        <v>18</v>
      </c>
      <c r="I26" s="91">
        <v>1</v>
      </c>
      <c r="J26" s="76" t="s">
        <v>704</v>
      </c>
      <c r="K26" s="77"/>
      <c r="L26" s="77"/>
    </row>
    <row r="27" spans="1:12">
      <c r="A27" s="61" t="s">
        <v>229</v>
      </c>
      <c r="B27" s="62">
        <v>2015</v>
      </c>
      <c r="C27" s="62">
        <v>2021</v>
      </c>
      <c r="D27" s="62">
        <v>6</v>
      </c>
      <c r="E27" s="86" t="s">
        <v>761</v>
      </c>
      <c r="F27" s="85" t="s">
        <v>524</v>
      </c>
      <c r="G27" s="81">
        <v>4</v>
      </c>
      <c r="H27" s="81">
        <v>2</v>
      </c>
      <c r="I27" s="91">
        <v>1</v>
      </c>
      <c r="J27" s="76" t="s">
        <v>588</v>
      </c>
      <c r="K27" s="77"/>
      <c r="L27" s="77"/>
    </row>
    <row r="28" spans="1:12">
      <c r="A28" s="61" t="s">
        <v>248</v>
      </c>
      <c r="B28" s="62">
        <v>2016</v>
      </c>
      <c r="C28" s="62">
        <v>2022</v>
      </c>
      <c r="D28" s="62">
        <v>6</v>
      </c>
      <c r="E28" s="66" t="s">
        <v>762</v>
      </c>
      <c r="F28" s="62" t="s">
        <v>475</v>
      </c>
      <c r="G28" s="81">
        <v>0</v>
      </c>
      <c r="H28" s="81">
        <v>6</v>
      </c>
      <c r="I28" s="91">
        <v>1</v>
      </c>
      <c r="J28" s="76" t="s">
        <v>705</v>
      </c>
      <c r="K28" s="77"/>
      <c r="L28" s="77"/>
    </row>
    <row r="29" spans="1:12">
      <c r="A29" s="61" t="s">
        <v>248</v>
      </c>
      <c r="B29" s="62">
        <v>2015</v>
      </c>
      <c r="C29" s="62">
        <v>2021</v>
      </c>
      <c r="D29" s="62">
        <v>6</v>
      </c>
      <c r="E29" s="66" t="s">
        <v>763</v>
      </c>
      <c r="F29" s="68" t="s">
        <v>573</v>
      </c>
      <c r="G29" s="81">
        <v>4</v>
      </c>
      <c r="H29" s="81">
        <v>12</v>
      </c>
      <c r="I29" s="91">
        <v>1</v>
      </c>
      <c r="J29" s="76" t="s">
        <v>706</v>
      </c>
      <c r="K29" s="77"/>
      <c r="L29" s="77"/>
    </row>
    <row r="30" spans="1:12">
      <c r="A30" s="61" t="s">
        <v>262</v>
      </c>
      <c r="B30" s="62">
        <v>2016</v>
      </c>
      <c r="C30" s="62">
        <v>2022</v>
      </c>
      <c r="D30" s="62">
        <v>6</v>
      </c>
      <c r="E30" s="66" t="s">
        <v>764</v>
      </c>
      <c r="F30" s="85" t="s">
        <v>516</v>
      </c>
      <c r="G30" s="81">
        <v>0</v>
      </c>
      <c r="H30" s="81">
        <v>10</v>
      </c>
      <c r="I30" s="91">
        <v>0</v>
      </c>
      <c r="J30" s="76" t="s">
        <v>707</v>
      </c>
      <c r="K30" s="77"/>
      <c r="L30" s="77"/>
    </row>
    <row r="31" spans="1:12">
      <c r="A31" s="61" t="s">
        <v>262</v>
      </c>
      <c r="B31" s="62">
        <v>2017</v>
      </c>
      <c r="C31" s="62">
        <v>2023</v>
      </c>
      <c r="D31" s="62">
        <v>6</v>
      </c>
      <c r="E31" s="66" t="s">
        <v>765</v>
      </c>
      <c r="F31" s="62" t="s">
        <v>271</v>
      </c>
      <c r="G31" s="81">
        <v>8</v>
      </c>
      <c r="H31" s="81">
        <v>15</v>
      </c>
      <c r="I31" s="91">
        <v>1</v>
      </c>
      <c r="J31" s="76" t="s">
        <v>270</v>
      </c>
      <c r="K31" s="77"/>
      <c r="L31" s="77"/>
    </row>
    <row r="32" spans="1:12">
      <c r="A32" s="61" t="s">
        <v>262</v>
      </c>
      <c r="B32" s="68">
        <v>2015</v>
      </c>
      <c r="C32" s="62">
        <v>2023</v>
      </c>
      <c r="D32" s="62">
        <v>8</v>
      </c>
      <c r="E32" s="71" t="s">
        <v>766</v>
      </c>
      <c r="F32" s="68" t="s">
        <v>264</v>
      </c>
      <c r="G32" s="81">
        <v>2</v>
      </c>
      <c r="H32" s="81">
        <v>24</v>
      </c>
      <c r="I32" s="91">
        <v>2</v>
      </c>
      <c r="J32" s="76" t="s">
        <v>273</v>
      </c>
      <c r="K32" s="78"/>
      <c r="L32" s="78" t="s">
        <v>274</v>
      </c>
    </row>
    <row r="33" spans="1:12">
      <c r="A33" s="61" t="s">
        <v>287</v>
      </c>
      <c r="B33" s="62">
        <v>2015</v>
      </c>
      <c r="C33" s="62">
        <v>2023</v>
      </c>
      <c r="D33" s="62">
        <v>8</v>
      </c>
      <c r="E33" s="66" t="s">
        <v>767</v>
      </c>
      <c r="F33" s="62" t="s">
        <v>307</v>
      </c>
      <c r="G33" s="81">
        <v>0</v>
      </c>
      <c r="H33" s="81">
        <v>21</v>
      </c>
      <c r="I33" s="91">
        <v>1</v>
      </c>
      <c r="J33" s="76" t="s">
        <v>306</v>
      </c>
      <c r="K33" s="77"/>
      <c r="L33" s="77" t="s">
        <v>308</v>
      </c>
    </row>
    <row r="34" spans="1:12">
      <c r="A34" s="61" t="s">
        <v>287</v>
      </c>
      <c r="B34" s="62">
        <v>2015</v>
      </c>
      <c r="C34" s="62">
        <v>2023</v>
      </c>
      <c r="D34" s="62">
        <v>8</v>
      </c>
      <c r="E34" s="66" t="s">
        <v>768</v>
      </c>
      <c r="F34" s="62" t="s">
        <v>310</v>
      </c>
      <c r="G34" s="81">
        <v>3</v>
      </c>
      <c r="H34" s="81">
        <v>59</v>
      </c>
      <c r="I34" s="91">
        <v>1</v>
      </c>
      <c r="J34" s="76" t="s">
        <v>306</v>
      </c>
      <c r="K34" s="77"/>
      <c r="L34" s="77"/>
    </row>
    <row r="35" spans="1:12">
      <c r="A35" s="61" t="s">
        <v>320</v>
      </c>
      <c r="B35" s="62">
        <v>2015</v>
      </c>
      <c r="C35" s="62">
        <v>2023</v>
      </c>
      <c r="D35" s="62">
        <v>8</v>
      </c>
      <c r="E35" s="66" t="s">
        <v>769</v>
      </c>
      <c r="F35" s="62" t="s">
        <v>343</v>
      </c>
      <c r="G35" s="81">
        <v>2</v>
      </c>
      <c r="H35" s="81">
        <v>16</v>
      </c>
      <c r="I35" s="91">
        <v>1</v>
      </c>
      <c r="J35" s="76" t="s">
        <v>342</v>
      </c>
      <c r="K35" s="77"/>
      <c r="L35" s="77"/>
    </row>
    <row r="36" spans="1:12">
      <c r="A36" s="61" t="s">
        <v>320</v>
      </c>
      <c r="B36" s="62">
        <v>2015</v>
      </c>
      <c r="C36" s="62">
        <v>2022</v>
      </c>
      <c r="D36" s="62">
        <v>7</v>
      </c>
      <c r="E36" s="66" t="s">
        <v>770</v>
      </c>
      <c r="F36" s="62" t="s">
        <v>346</v>
      </c>
      <c r="G36" s="81">
        <v>1</v>
      </c>
      <c r="H36" s="81">
        <v>81</v>
      </c>
      <c r="I36" s="91">
        <v>1</v>
      </c>
      <c r="J36" s="76" t="s">
        <v>345</v>
      </c>
      <c r="K36" s="77"/>
      <c r="L36" s="77"/>
    </row>
    <row r="37" spans="1:12">
      <c r="A37" s="61" t="s">
        <v>347</v>
      </c>
      <c r="B37" s="62">
        <v>2017</v>
      </c>
      <c r="C37" s="62">
        <v>2023</v>
      </c>
      <c r="D37" s="62">
        <v>6</v>
      </c>
      <c r="E37" s="66" t="s">
        <v>771</v>
      </c>
      <c r="F37" s="62" t="s">
        <v>95</v>
      </c>
      <c r="G37" s="81">
        <v>4</v>
      </c>
      <c r="H37" s="81">
        <v>6</v>
      </c>
      <c r="I37" s="91">
        <v>1</v>
      </c>
      <c r="J37" s="76" t="s">
        <v>355</v>
      </c>
      <c r="K37" s="77"/>
      <c r="L37" s="77"/>
    </row>
    <row r="38" spans="1:12">
      <c r="A38" s="61" t="s">
        <v>347</v>
      </c>
      <c r="B38" s="62">
        <v>2016</v>
      </c>
      <c r="C38" s="62">
        <v>2022</v>
      </c>
      <c r="D38" s="62">
        <v>6</v>
      </c>
      <c r="E38" s="66" t="s">
        <v>772</v>
      </c>
      <c r="F38" s="62" t="s">
        <v>473</v>
      </c>
      <c r="G38" s="81">
        <v>3</v>
      </c>
      <c r="H38" s="81">
        <v>31</v>
      </c>
      <c r="I38" s="91">
        <v>0</v>
      </c>
      <c r="J38" s="76" t="s">
        <v>708</v>
      </c>
      <c r="K38" s="77"/>
      <c r="L38" s="77"/>
    </row>
    <row r="39" spans="1:12">
      <c r="A39" s="61" t="s">
        <v>347</v>
      </c>
      <c r="B39" s="69">
        <v>2015</v>
      </c>
      <c r="C39" s="62">
        <v>2022</v>
      </c>
      <c r="D39" s="62">
        <v>7</v>
      </c>
      <c r="E39" s="66" t="s">
        <v>773</v>
      </c>
      <c r="F39" s="62" t="s">
        <v>350</v>
      </c>
      <c r="G39" s="81">
        <v>1</v>
      </c>
      <c r="H39" s="81">
        <v>10</v>
      </c>
      <c r="I39" s="91">
        <v>1</v>
      </c>
      <c r="J39" s="76" t="s">
        <v>355</v>
      </c>
      <c r="K39" s="77"/>
      <c r="L39" s="77"/>
    </row>
    <row r="40" spans="1:12">
      <c r="A40" s="61" t="s">
        <v>356</v>
      </c>
      <c r="B40" s="62">
        <v>2015</v>
      </c>
      <c r="C40" s="62">
        <v>2021</v>
      </c>
      <c r="D40" s="62">
        <v>6</v>
      </c>
      <c r="E40" s="66" t="s">
        <v>774</v>
      </c>
      <c r="F40" s="62" t="s">
        <v>162</v>
      </c>
      <c r="G40" s="81">
        <v>1</v>
      </c>
      <c r="H40" s="81">
        <v>2</v>
      </c>
      <c r="I40" s="91">
        <v>0</v>
      </c>
      <c r="J40" s="76" t="s">
        <v>709</v>
      </c>
      <c r="K40" s="77"/>
      <c r="L40" s="77"/>
    </row>
    <row r="41" spans="1:12">
      <c r="A41" s="61" t="s">
        <v>367</v>
      </c>
      <c r="B41" s="62">
        <v>2017</v>
      </c>
      <c r="C41" s="62">
        <v>2023</v>
      </c>
      <c r="D41" s="62">
        <v>6</v>
      </c>
      <c r="E41" s="66" t="s">
        <v>775</v>
      </c>
      <c r="F41" s="62" t="s">
        <v>374</v>
      </c>
      <c r="G41" s="81">
        <v>0</v>
      </c>
      <c r="H41" s="81">
        <v>2</v>
      </c>
      <c r="I41" s="91">
        <v>1</v>
      </c>
      <c r="J41" s="76" t="s">
        <v>710</v>
      </c>
      <c r="K41" s="77"/>
      <c r="L41" s="77"/>
    </row>
    <row r="42" spans="1:12">
      <c r="A42" s="61" t="s">
        <v>367</v>
      </c>
      <c r="B42" s="62">
        <v>2016</v>
      </c>
      <c r="C42" s="62">
        <v>2022</v>
      </c>
      <c r="D42" s="62">
        <v>6</v>
      </c>
      <c r="E42" s="86" t="s">
        <v>776</v>
      </c>
      <c r="F42" s="85" t="s">
        <v>534</v>
      </c>
      <c r="G42" s="81">
        <v>1</v>
      </c>
      <c r="H42" s="81">
        <v>11</v>
      </c>
      <c r="I42" s="91">
        <v>1</v>
      </c>
      <c r="J42" s="76" t="s">
        <v>533</v>
      </c>
      <c r="K42" s="77"/>
      <c r="L42" s="77"/>
    </row>
    <row r="43" spans="1:12">
      <c r="A43" s="61" t="s">
        <v>367</v>
      </c>
      <c r="B43" s="62">
        <v>2015</v>
      </c>
      <c r="C43" s="62">
        <v>2021</v>
      </c>
      <c r="D43" s="62">
        <v>6</v>
      </c>
      <c r="E43" s="86" t="s">
        <v>777</v>
      </c>
      <c r="F43" s="62" t="s">
        <v>104</v>
      </c>
      <c r="G43" s="81">
        <v>0</v>
      </c>
      <c r="H43" s="81">
        <v>1</v>
      </c>
      <c r="I43" s="91">
        <v>1</v>
      </c>
      <c r="J43" s="76" t="s">
        <v>533</v>
      </c>
      <c r="K43" s="77"/>
      <c r="L43" s="77"/>
    </row>
    <row r="44" spans="1:12">
      <c r="A44" s="61" t="s">
        <v>375</v>
      </c>
      <c r="B44" s="62">
        <v>2015</v>
      </c>
      <c r="C44" s="62">
        <v>2021</v>
      </c>
      <c r="D44" s="62">
        <v>6</v>
      </c>
      <c r="E44" s="66" t="s">
        <v>778</v>
      </c>
      <c r="F44" s="62" t="s">
        <v>609</v>
      </c>
      <c r="G44" s="81">
        <v>43</v>
      </c>
      <c r="H44" s="81">
        <v>24</v>
      </c>
      <c r="I44" s="91">
        <v>1</v>
      </c>
      <c r="J44" s="76" t="s">
        <v>711</v>
      </c>
      <c r="K44" s="77"/>
      <c r="L44" s="77"/>
    </row>
    <row r="45" spans="1:12">
      <c r="A45" s="61" t="s">
        <v>395</v>
      </c>
      <c r="B45" s="62">
        <v>2017</v>
      </c>
      <c r="C45" s="62">
        <v>2023</v>
      </c>
      <c r="D45" s="62">
        <v>6</v>
      </c>
      <c r="E45" s="66" t="s">
        <v>779</v>
      </c>
      <c r="F45" s="62" t="s">
        <v>114</v>
      </c>
      <c r="G45" s="81">
        <v>11</v>
      </c>
      <c r="H45" s="81">
        <v>17</v>
      </c>
      <c r="I45" s="91">
        <v>1</v>
      </c>
      <c r="J45" s="76" t="s">
        <v>222</v>
      </c>
      <c r="K45" s="77"/>
      <c r="L45" s="77"/>
    </row>
    <row r="46" spans="1:12">
      <c r="A46" s="61" t="s">
        <v>395</v>
      </c>
      <c r="B46" s="62">
        <v>2016</v>
      </c>
      <c r="C46" s="62">
        <v>2022</v>
      </c>
      <c r="D46" s="62">
        <v>6</v>
      </c>
      <c r="E46" s="66" t="s">
        <v>780</v>
      </c>
      <c r="F46" s="62" t="s">
        <v>392</v>
      </c>
      <c r="G46" s="81">
        <v>0</v>
      </c>
      <c r="H46" s="81">
        <v>1</v>
      </c>
      <c r="I46" s="91">
        <v>1</v>
      </c>
      <c r="J46" s="82" t="s">
        <v>727</v>
      </c>
      <c r="K46" s="77"/>
      <c r="L46" s="77"/>
    </row>
    <row r="47" spans="1:12">
      <c r="A47" s="61" t="s">
        <v>395</v>
      </c>
      <c r="B47" s="62">
        <v>2015</v>
      </c>
      <c r="C47" s="62">
        <v>2021</v>
      </c>
      <c r="D47" s="62">
        <v>6</v>
      </c>
      <c r="E47" s="66" t="s">
        <v>781</v>
      </c>
      <c r="F47" s="62" t="s">
        <v>612</v>
      </c>
      <c r="G47" s="81">
        <v>0</v>
      </c>
      <c r="H47" s="81">
        <v>8</v>
      </c>
      <c r="I47" s="91">
        <v>0</v>
      </c>
      <c r="J47" s="80" t="s">
        <v>729</v>
      </c>
      <c r="K47" s="77"/>
      <c r="L47" s="77"/>
    </row>
    <row r="48" spans="1:12">
      <c r="A48" s="61" t="s">
        <v>403</v>
      </c>
      <c r="B48" s="65">
        <v>2015</v>
      </c>
      <c r="C48" s="62">
        <v>2023</v>
      </c>
      <c r="D48" s="62">
        <v>8</v>
      </c>
      <c r="E48" s="64" t="s">
        <v>782</v>
      </c>
      <c r="F48" s="65" t="s">
        <v>427</v>
      </c>
      <c r="G48" s="81">
        <v>2</v>
      </c>
      <c r="H48" s="81">
        <v>17</v>
      </c>
      <c r="I48" s="91">
        <v>1</v>
      </c>
      <c r="J48" s="76" t="s">
        <v>426</v>
      </c>
      <c r="K48" s="76"/>
      <c r="L48" s="76"/>
    </row>
    <row r="49" spans="1:12">
      <c r="A49" s="61" t="s">
        <v>403</v>
      </c>
      <c r="B49" s="65">
        <v>2015</v>
      </c>
      <c r="C49" s="62">
        <v>2023</v>
      </c>
      <c r="D49" s="62">
        <v>8</v>
      </c>
      <c r="E49" s="64" t="s">
        <v>783</v>
      </c>
      <c r="F49" s="65" t="s">
        <v>614</v>
      </c>
      <c r="G49" s="81">
        <v>0</v>
      </c>
      <c r="H49" s="81">
        <v>12</v>
      </c>
      <c r="I49" s="91">
        <v>1</v>
      </c>
      <c r="J49" s="76" t="s">
        <v>429</v>
      </c>
      <c r="K49" s="76"/>
      <c r="L49" s="76"/>
    </row>
    <row r="50" spans="1:12">
      <c r="A50" s="61" t="s">
        <v>403</v>
      </c>
      <c r="B50" s="65">
        <v>2015</v>
      </c>
      <c r="C50" s="62">
        <v>2023</v>
      </c>
      <c r="D50" s="62">
        <v>8</v>
      </c>
      <c r="E50" s="64" t="s">
        <v>784</v>
      </c>
      <c r="F50" s="65" t="s">
        <v>432</v>
      </c>
      <c r="G50" s="81">
        <v>0</v>
      </c>
      <c r="H50" s="81">
        <v>76</v>
      </c>
      <c r="I50" s="91">
        <v>2</v>
      </c>
      <c r="J50" s="76" t="s">
        <v>431</v>
      </c>
      <c r="K50" s="76"/>
      <c r="L50" s="76"/>
    </row>
    <row r="51" spans="1:12">
      <c r="A51" s="61" t="s">
        <v>433</v>
      </c>
      <c r="B51" s="65">
        <v>2016</v>
      </c>
      <c r="C51" s="62">
        <v>2023</v>
      </c>
      <c r="D51" s="62">
        <v>7</v>
      </c>
      <c r="E51" s="64" t="s">
        <v>785</v>
      </c>
      <c r="F51" s="65" t="s">
        <v>448</v>
      </c>
      <c r="G51" s="81">
        <v>1</v>
      </c>
      <c r="H51" s="81">
        <v>5</v>
      </c>
      <c r="I51" s="91">
        <v>1</v>
      </c>
      <c r="J51" s="76" t="s">
        <v>447</v>
      </c>
      <c r="K51" s="76"/>
      <c r="L51" s="76"/>
    </row>
    <row r="52" spans="1:12">
      <c r="A52" s="61" t="s">
        <v>433</v>
      </c>
      <c r="B52" s="62">
        <v>2015</v>
      </c>
      <c r="C52" s="62">
        <v>2022</v>
      </c>
      <c r="D52" s="62">
        <v>7</v>
      </c>
      <c r="E52" s="66" t="s">
        <v>786</v>
      </c>
      <c r="F52" s="62" t="s">
        <v>435</v>
      </c>
      <c r="G52" s="81">
        <v>0</v>
      </c>
      <c r="H52" s="81">
        <v>2</v>
      </c>
      <c r="I52" s="91">
        <v>0</v>
      </c>
      <c r="J52" s="80" t="s">
        <v>728</v>
      </c>
      <c r="K52" s="77"/>
      <c r="L52" s="77"/>
    </row>
    <row r="53" spans="1:12">
      <c r="A53" s="61" t="s">
        <v>452</v>
      </c>
      <c r="B53" s="62">
        <v>2017</v>
      </c>
      <c r="C53" s="62">
        <v>2023</v>
      </c>
      <c r="D53" s="62">
        <v>6</v>
      </c>
      <c r="E53" s="70" t="s">
        <v>787</v>
      </c>
      <c r="F53" s="62" t="s">
        <v>454</v>
      </c>
      <c r="G53" s="81">
        <v>0</v>
      </c>
      <c r="H53" s="81">
        <v>1</v>
      </c>
      <c r="I53" s="91">
        <v>0</v>
      </c>
      <c r="J53" s="81" t="s">
        <v>730</v>
      </c>
      <c r="K53" s="77"/>
      <c r="L53" s="77"/>
    </row>
    <row r="54" spans="1:12">
      <c r="A54" s="61" t="s">
        <v>452</v>
      </c>
      <c r="B54" s="62">
        <v>2016</v>
      </c>
      <c r="C54" s="62">
        <v>2022</v>
      </c>
      <c r="D54" s="62">
        <v>6</v>
      </c>
      <c r="E54" s="70" t="s">
        <v>788</v>
      </c>
      <c r="F54" s="62" t="s">
        <v>463</v>
      </c>
      <c r="G54" s="81">
        <v>4</v>
      </c>
      <c r="H54" s="81">
        <v>8</v>
      </c>
      <c r="I54" s="91">
        <v>1</v>
      </c>
      <c r="J54" s="76" t="s">
        <v>619</v>
      </c>
      <c r="K54" s="77"/>
      <c r="L54" s="77"/>
    </row>
    <row r="55" spans="1:12">
      <c r="A55" s="73" t="s">
        <v>467</v>
      </c>
      <c r="B55" s="65">
        <v>2015</v>
      </c>
      <c r="C55" s="62">
        <v>2023</v>
      </c>
      <c r="D55" s="62">
        <v>8</v>
      </c>
      <c r="E55" s="64" t="s">
        <v>789</v>
      </c>
      <c r="F55" s="65" t="s">
        <v>271</v>
      </c>
      <c r="G55" s="81">
        <v>3</v>
      </c>
      <c r="H55" s="81">
        <v>43</v>
      </c>
      <c r="I55" s="91">
        <v>1</v>
      </c>
      <c r="J55" s="76" t="s">
        <v>469</v>
      </c>
      <c r="K55" s="76"/>
      <c r="L55" s="76"/>
    </row>
    <row r="56" spans="1:12">
      <c r="A56" s="61" t="s">
        <v>481</v>
      </c>
      <c r="B56" s="62">
        <v>2017</v>
      </c>
      <c r="C56" s="62">
        <v>2023</v>
      </c>
      <c r="D56" s="62">
        <v>6</v>
      </c>
      <c r="E56" s="72" t="s">
        <v>790</v>
      </c>
      <c r="F56" s="62" t="s">
        <v>489</v>
      </c>
      <c r="G56" s="81">
        <v>1</v>
      </c>
      <c r="H56" s="81">
        <v>5</v>
      </c>
      <c r="I56" s="91">
        <v>1</v>
      </c>
      <c r="J56" s="76" t="s">
        <v>731</v>
      </c>
      <c r="K56" s="77"/>
      <c r="L56" s="77"/>
    </row>
    <row r="57" spans="1:12">
      <c r="A57" s="61" t="s">
        <v>481</v>
      </c>
      <c r="B57" s="62">
        <v>2016</v>
      </c>
      <c r="C57" s="62">
        <v>2022</v>
      </c>
      <c r="D57" s="62">
        <v>6</v>
      </c>
      <c r="E57" s="86" t="s">
        <v>791</v>
      </c>
      <c r="F57" s="85" t="s">
        <v>527</v>
      </c>
      <c r="G57" s="81">
        <v>0</v>
      </c>
      <c r="H57" s="81">
        <v>10</v>
      </c>
      <c r="I57" s="91">
        <v>0</v>
      </c>
      <c r="J57" s="80" t="s">
        <v>732</v>
      </c>
      <c r="K57" s="77"/>
      <c r="L57" s="77"/>
    </row>
    <row r="58" spans="1:12">
      <c r="A58" s="61" t="s">
        <v>490</v>
      </c>
      <c r="B58" s="62">
        <v>2016</v>
      </c>
      <c r="C58" s="62">
        <v>2022</v>
      </c>
      <c r="D58" s="62">
        <v>6</v>
      </c>
      <c r="E58" s="66" t="s">
        <v>792</v>
      </c>
      <c r="F58" s="62" t="s">
        <v>471</v>
      </c>
      <c r="G58" s="81">
        <v>0</v>
      </c>
      <c r="H58" s="81">
        <v>1</v>
      </c>
      <c r="I58" s="91">
        <v>1</v>
      </c>
      <c r="J58" s="82" t="s">
        <v>733</v>
      </c>
      <c r="K58" s="77"/>
      <c r="L58" s="77"/>
    </row>
  </sheetData>
  <hyperlinks>
    <hyperlink ref="E53" r:id="rId1" display="https://lsom.uthscsa.edu/ct-surgery/team-member/hope-cordova-do/" xr:uid="{90B356DA-A275-449E-A0CE-3B52DE6AE3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 12.29.24</vt:lpstr>
      <vt:lpstr>Archive All data w links 2023</vt:lpstr>
      <vt:lpstr>Excluded</vt:lpstr>
      <vt:lpstr>Graduated </vt:lpstr>
      <vt:lpstr>Graduated publications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Samadzadeh Tabrizi, Nika</dc:creator>
  <cp:keywords/>
  <dc:description/>
  <cp:lastModifiedBy>Nika Samadzadeh</cp:lastModifiedBy>
  <cp:revision/>
  <dcterms:created xsi:type="dcterms:W3CDTF">2024-02-02T23:19:15Z</dcterms:created>
  <dcterms:modified xsi:type="dcterms:W3CDTF">2025-03-31T17:16:15Z</dcterms:modified>
  <cp:category/>
  <cp:contentStatus/>
</cp:coreProperties>
</file>